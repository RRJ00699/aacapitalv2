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C93" i="6"/>
  <c r="D93" i="6"/>
  <c r="D13" i="1" s="1"/>
  <c r="E93" i="6"/>
  <c r="E13" i="1" s="1"/>
  <c r="F93" i="6"/>
  <c r="G93" i="6"/>
  <c r="B93" i="6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<sst xmlns="http://schemas.openxmlformats.org/spreadsheetml/2006/main" count="145" uniqueCount="93">
  <si>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</si>
  <si>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</si>
  <si>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</si>
  <si>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</si>
  <si>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</si>
  <si>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</si>
  <si>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</si>
  <si>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</si>
  <si>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</si>
  <si>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</si>
  <si>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</si>
  <si>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</si>
  <si>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</si>
  <si>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</si>
  <si>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</si>
  <si>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</si>
  <si>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</si>
  <si>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</si>
  <si>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</si>
  <si>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</si>
  <si>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</si>
  <si>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</si>
  <si>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</si>
  <si>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</si>
  <si>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</si>
  <si>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</si>
  <si>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</si>
  <si>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</si>
  <si>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</si>
  <si>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</si>
  <si>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</si>
  <si>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</si>
  <si>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</si>
  <si>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</si>
  <si>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</si>
  <si>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</si>
  <si>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</si>
  <si>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</si>
  <si>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</si>
  <si>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</si>
  <si>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</si>
  <si>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</si>
  <si>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</si>
  <si>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</si>
  <si>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</si>
  <si>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</si>
  <si>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</si>
  <si>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</si>
  <si>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</si>
  <si>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</si>
  <si>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</si>
  <si>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</si>
  <si>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</si>
  <si>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</si>
  <si>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</si>
  <si>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</si>
  <si>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</si>
  <si>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</si>
  <si>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</si>
  <si>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</si>
  <si>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</si>
  <si>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</si>
  <si>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</si>
  <si>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AUTHUM INVESTMENT &amp; INFRASTRUCTURE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</si>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</sst>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530.15</v>
      </c>
    </row>
    <row r="9" spans="1:11" x14ac:dyDescent="0.2">
      <c r="A9" s="5" t="s">
        <v>79</v>
      </c>
      <c r="B9">
        <v>45021.69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/>
      <c r="C16" s="16"/>
      <c r="D16" s="16"/>
      <c r="E16" s="16"/>
      <c r="F16" s="16"/>
      <c r="G16" s="16"/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H17">
        <v>538.76</v>
      </c>
      <c r="I17">
        <v>2592.91</v>
      </c>
      <c r="J17">
        <v>4580.36</v>
      </c>
      <c r="K17">
        <v>2608.8</v>
      </c>
    </row>
    <row r="18" spans="1:1" s="9" customFormat="1" x14ac:dyDescent="0.2">
      <c r="A18" s="5" t="s">
        <v>80</v>
      </c>
      <c r="K18">
        <v>31.14</v>
      </c>
    </row>
    <row r="19" spans="1:1" s="9" customFormat="1" x14ac:dyDescent="0.2">
      <c r="A19" s="5" t="s">
        <v>81</v>
      </c>
      <c r="K19">
        <v>-13.33</v>
      </c>
    </row>
    <row r="20" spans="1:1" s="9" customFormat="1" x14ac:dyDescent="0.2">
      <c r="A20" s="5" t="s">
        <v>82</v>
      </c>
    </row>
    <row r="21" spans="1:1" s="9" customFormat="1" x14ac:dyDescent="0.2">
      <c r="A21" s="5" t="s">
        <v>83</v>
      </c>
      <c r="H21">
        <v>18.13</v>
      </c>
      <c r="I21">
        <v>31.4</v>
      </c>
      <c r="J21">
        <v>25.23</v>
      </c>
    </row>
    <row r="22" spans="1:1" s="9" customFormat="1" x14ac:dyDescent="0.2">
      <c r="A22" s="5" t="s">
        <v>84</v>
      </c>
      <c r="H22">
        <v>14.81</v>
      </c>
      <c r="I22">
        <v>42.43</v>
      </c>
      <c r="J22">
        <v>48.11</v>
      </c>
      <c r="K22">
        <v>75.71</v>
      </c>
    </row>
    <row r="23" spans="1:1" s="9" customFormat="1" x14ac:dyDescent="0.2">
      <c r="A23" s="5" t="s">
        <v>85</v>
      </c>
      <c r="H23">
        <v>33.28</v>
      </c>
      <c r="I23">
        <v>51.17</v>
      </c>
      <c r="J23">
        <v>62.21</v>
      </c>
    </row>
    <row r="24" spans="1:1" s="9" customFormat="1" x14ac:dyDescent="0.2">
      <c r="A24" s="5" t="s">
        <v>86</v>
      </c>
      <c r="H24">
        <v>120.17</v>
      </c>
      <c r="I24">
        <v>-1766.59</v>
      </c>
      <c r="J24">
        <v>348.03</v>
      </c>
      <c r="K24">
        <v>190.1</v>
      </c>
    </row>
    <row r="25" spans="1:1" s="9" customFormat="1" x14ac:dyDescent="0.2">
      <c r="A25" s="9" t="s">
        <v>9</v>
      </c>
      <c r="H25">
        <v>4289.19</v>
      </c>
      <c r="I25">
        <v>75.86</v>
      </c>
      <c r="J25">
        <v>31.86</v>
      </c>
      <c r="K25">
        <v>45.08</v>
      </c>
    </row>
    <row r="26" spans="1:1" s="9" customFormat="1" x14ac:dyDescent="0.2">
      <c r="A26" s="9" t="s">
        <v>10</v>
      </c>
      <c r="H26">
        <v>9.4</v>
      </c>
      <c r="I26">
        <v>8.16</v>
      </c>
      <c r="J26">
        <v>9.48</v>
      </c>
      <c r="K26">
        <v>29.77</v>
      </c>
    </row>
    <row r="27" spans="1:1" s="9" customFormat="1" x14ac:dyDescent="0.2">
      <c r="A27" s="9" t="s">
        <v>11</v>
      </c>
      <c r="H27">
        <v>280.78</v>
      </c>
      <c r="I27">
        <v>76.64</v>
      </c>
      <c r="J27">
        <v>51.99</v>
      </c>
      <c r="K27">
        <v>198.8</v>
      </c>
    </row>
    <row r="28" spans="1:1" s="9" customFormat="1" x14ac:dyDescent="0.2">
      <c r="A28" s="9" t="s">
        <v>12</v>
      </c>
      <c r="H28">
        <v>4351.38</v>
      </c>
      <c r="I28">
        <v>4225.56</v>
      </c>
      <c r="J28">
        <v>4067.17</v>
      </c>
      <c r="K28">
        <v>2115.03</v>
      </c>
    </row>
    <row r="29" spans="1:1" s="9" customFormat="1" x14ac:dyDescent="0.2">
      <c r="A29" s="9" t="s">
        <v>13</v>
      </c>
      <c r="H29">
        <v>47.35</v>
      </c>
      <c r="I29">
        <v>-59.27</v>
      </c>
      <c r="J29">
        <v>-174.24</v>
      </c>
      <c r="K29">
        <v>185.68</v>
      </c>
    </row>
    <row r="30" spans="1:1" s="9" customFormat="1" x14ac:dyDescent="0.2">
      <c r="A30" s="9" t="s">
        <v>14</v>
      </c>
      <c r="H30">
        <v>4304.03</v>
      </c>
      <c r="I30">
        <v>4284.83</v>
      </c>
      <c r="J30">
        <v>4241.41</v>
      </c>
      <c r="K30">
        <v>1931.09</v>
      </c>
    </row>
    <row r="31" spans="1:1" s="9" customFormat="1" x14ac:dyDescent="0.2">
      <c r="A31" s="9" t="s">
        <v>70</v>
      </c>
      <c r="J31">
        <v>11.89</v>
      </c>
      <c r="K31">
        <v>42.46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691.39</v>
      </c>
      <c r="C42">
        <v>1338.56</v>
      </c>
      <c r="D42">
        <v>1416.94</v>
      </c>
      <c r="E42">
        <v>1092.65</v>
      </c>
      <c r="F42">
        <v>616.94</v>
      </c>
      <c r="G42">
        <v>1451.81</v>
      </c>
      <c r="H42">
        <v>1215.13</v>
      </c>
      <c r="I42">
        <v>604.91</v>
      </c>
      <c r="J42">
        <v>478.04</v>
      </c>
      <c r="K42">
        <v>310.71</v>
      </c>
    </row>
    <row r="43" spans="1:11" s="9" customFormat="1" x14ac:dyDescent="0.2">
      <c r="A43" s="9" t="s">
        <v>7</v>
      </c>
      <c r="B43">
        <v>25.35</v>
      </c>
      <c r="C43">
        <v>53.71</v>
      </c>
      <c r="D43">
        <v>161.96</v>
      </c>
      <c r="E43">
        <v>141.11</v>
      </c>
      <c r="F43">
        <v>-7.05</v>
      </c>
      <c r="G43">
        <v>187.58</v>
      </c>
      <c r="H43">
        <v>56.38</v>
      </c>
      <c r="I43">
        <v>22.4</v>
      </c>
      <c r="J43">
        <v>122.57</v>
      </c>
      <c r="K43">
        <v>108.91</v>
      </c>
    </row>
    <row r="44" spans="1:11" s="9" customFormat="1" x14ac:dyDescent="0.2">
      <c r="A44" s="9" t="s">
        <v>9</v>
      </c>
      <c r="B44">
        <v>2.22</v>
      </c>
      <c r="C44">
        <v>18.34</v>
      </c>
      <c r="D44">
        <v>1.72</v>
      </c>
      <c r="E44">
        <v>24.18</v>
      </c>
      <c r="F44">
        <v>2.61</v>
      </c>
      <c r="G44">
        <v>5.37</v>
      </c>
      <c r="H44">
        <v>9.15</v>
      </c>
      <c r="I44">
        <v>3.94</v>
      </c>
      <c r="J44">
        <v>-0.34</v>
      </c>
      <c r="K44">
        <v>32.34</v>
      </c>
    </row>
    <row r="45" spans="1:11" s="9" customFormat="1" x14ac:dyDescent="0.2">
      <c r="A45" s="9" t="s">
        <v>10</v>
      </c>
      <c r="B45">
        <v>2.08</v>
      </c>
      <c r="C45">
        <v>2.0</v>
      </c>
      <c r="D45">
        <v>1.31</v>
      </c>
      <c r="E45">
        <v>1.57</v>
      </c>
      <c r="F45">
        <v>3.45</v>
      </c>
      <c r="G45">
        <v>3.15</v>
      </c>
      <c r="H45">
        <v>3.09</v>
      </c>
      <c r="I45">
        <v>4.74</v>
      </c>
      <c r="J45">
        <v>7.62</v>
      </c>
      <c r="K45">
        <v>14.33</v>
      </c>
    </row>
    <row r="46" spans="1:11" s="9" customFormat="1" x14ac:dyDescent="0.2">
      <c r="A46" s="9" t="s">
        <v>11</v>
      </c>
      <c r="B46">
        <v>11.1</v>
      </c>
      <c r="C46">
        <v>-36.7</v>
      </c>
      <c r="D46">
        <v>9.76</v>
      </c>
      <c r="E46">
        <v>14.56</v>
      </c>
      <c r="F46">
        <v>9.57</v>
      </c>
      <c r="G46">
        <v>18.1</v>
      </c>
      <c r="H46">
        <v>21.27</v>
      </c>
      <c r="I46">
        <v>42.49</v>
      </c>
      <c r="J46">
        <v>69.11</v>
      </c>
      <c r="K46">
        <v>65.94</v>
      </c>
    </row>
    <row r="47" spans="1:11" s="9" customFormat="1" x14ac:dyDescent="0.2">
      <c r="A47" s="9" t="s">
        <v>12</v>
      </c>
      <c r="B47">
        <v>655.08</v>
      </c>
      <c r="C47">
        <v>1337.89</v>
      </c>
      <c r="D47">
        <v>1245.63</v>
      </c>
      <c r="E47">
        <v>959.59</v>
      </c>
      <c r="F47">
        <v>613.58</v>
      </c>
      <c r="G47">
        <v>1248.35</v>
      </c>
      <c r="H47">
        <v>1143.54</v>
      </c>
      <c r="I47">
        <v>539.22</v>
      </c>
      <c r="J47">
        <v>278.4</v>
      </c>
      <c r="K47">
        <v>153.87</v>
      </c>
    </row>
    <row r="48" spans="1:11" s="9" customFormat="1" x14ac:dyDescent="0.2">
      <c r="A48" s="9" t="s">
        <v>13</v>
      </c>
      <c r="B48">
        <v>53.72</v>
      </c>
      <c r="C48">
        <v>-199.22</v>
      </c>
      <c r="D48">
        <v>149.0</v>
      </c>
      <c r="E48">
        <v>116.82</v>
      </c>
      <c r="F48">
        <v>74.17</v>
      </c>
      <c r="G48">
        <v>-514.24</v>
      </c>
      <c r="H48">
        <v>200.53</v>
      </c>
      <c r="I48">
        <v>-228.11</v>
      </c>
      <c r="J48">
        <v>116.93</v>
      </c>
      <c r="K48">
        <v>96.33</v>
      </c>
    </row>
    <row r="49" spans="1:11" s="9" customFormat="1" x14ac:dyDescent="0.2">
      <c r="A49" s="9" t="s">
        <v>14</v>
      </c>
      <c r="B49">
        <v>601.36</v>
      </c>
      <c r="C49">
        <v>1537.11</v>
      </c>
      <c r="D49">
        <v>1096.63</v>
      </c>
      <c r="E49">
        <v>842.77</v>
      </c>
      <c r="F49">
        <v>539.41</v>
      </c>
      <c r="G49">
        <v>1762.59</v>
      </c>
      <c r="H49">
        <v>942.99</v>
      </c>
      <c r="I49">
        <v>766.87</v>
      </c>
      <c r="J49">
        <v>161.0</v>
      </c>
      <c r="K49">
        <v>59.75</v>
      </c>
    </row>
    <row r="50" spans="1:11" x14ac:dyDescent="0.2">
      <c r="A50" s="9" t="s">
        <v>8</v>
      </c>
      <c r="B50">
        <v>666.04</v>
      </c>
      <c r="C50">
        <v>1284.85</v>
      </c>
      <c r="D50">
        <v>1254.98</v>
      </c>
      <c r="E50">
        <v>951.54</v>
      </c>
      <c r="F50">
        <v>623.99</v>
      </c>
      <c r="G50">
        <v>1264.23</v>
      </c>
      <c r="H50">
        <v>1158.75</v>
      </c>
      <c r="I50">
        <v>582.51</v>
      </c>
      <c r="J50">
        <v>355.47</v>
      </c>
      <c r="K50">
        <v>201.8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/>
      <c r="C56" s="16"/>
      <c r="D56" s="16"/>
      <c r="E56" s="16"/>
      <c r="F56" s="16"/>
      <c r="G56" s="16"/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H57">
        <v>16.98</v>
      </c>
      <c r="I57">
        <v>16.98</v>
      </c>
      <c r="J57">
        <v>16.98</v>
      </c>
      <c r="K57">
        <v>84.92</v>
      </c>
    </row>
    <row r="58" spans="1:11" x14ac:dyDescent="0.2">
      <c r="A58" s="9" t="s">
        <v>25</v>
      </c>
      <c r="H58">
        <v>3399.43</v>
      </c>
      <c r="I58">
        <v>10328.13</v>
      </c>
      <c r="J58">
        <v>14672.36</v>
      </c>
      <c r="K58">
        <v>14642.92</v>
      </c>
    </row>
    <row r="59" spans="1:11" x14ac:dyDescent="0.2">
      <c r="A59" s="9" t="s">
        <v>71</v>
      </c>
      <c r="H59">
        <v>1704.06</v>
      </c>
      <c r="I59">
        <v>1128.34</v>
      </c>
      <c r="J59">
        <v>1054.2</v>
      </c>
      <c r="K59">
        <v>3335.56</v>
      </c>
    </row>
    <row r="60" spans="1:11" x14ac:dyDescent="0.2">
      <c r="A60" s="9" t="s">
        <v>72</v>
      </c>
      <c r="H60">
        <v>1779.17</v>
      </c>
      <c r="I60">
        <v>147.74</v>
      </c>
      <c r="J60">
        <v>343.86</v>
      </c>
      <c r="K60">
        <v>1147.33</v>
      </c>
    </row>
    <row r="61" spans="1:11" s="1" customFormat="1" x14ac:dyDescent="0.2">
      <c r="A61" s="1" t="s">
        <v>26</v>
      </c>
      <c r="H61">
        <v>6899.64</v>
      </c>
      <c r="I61">
        <v>11621.19</v>
      </c>
      <c r="J61">
        <v>16087.4</v>
      </c>
      <c r="K61">
        <v>19210.73</v>
      </c>
    </row>
    <row r="62" spans="1:11" x14ac:dyDescent="0.2">
      <c r="A62" s="9" t="s">
        <v>27</v>
      </c>
      <c r="H62">
        <v>316.87</v>
      </c>
      <c r="I62">
        <v>355.46</v>
      </c>
      <c r="J62">
        <v>414.4</v>
      </c>
      <c r="K62">
        <v>788.94</v>
      </c>
    </row>
    <row r="63" spans="1:11" x14ac:dyDescent="0.2">
      <c r="A63" s="9" t="s">
        <v>28</v>
      </c>
      <c r="I63">
        <v>1.58</v>
      </c>
      <c r="J63">
        <v>6.15</v>
      </c>
    </row>
    <row r="64" spans="1:11" x14ac:dyDescent="0.2">
      <c r="A64" s="9" t="s">
        <v>29</v>
      </c>
      <c r="H64">
        <v>3543.45</v>
      </c>
      <c r="I64">
        <v>8940.39</v>
      </c>
      <c r="J64">
        <v>12738.77</v>
      </c>
      <c r="K64">
        <v>15472.61</v>
      </c>
    </row>
    <row r="65" spans="1:1" x14ac:dyDescent="0.2">
      <c r="A65" s="9" t="s">
        <v>73</v>
      </c>
      <c r="H65">
        <v>3039.32</v>
      </c>
      <c r="I65">
        <v>2323.76</v>
      </c>
      <c r="J65">
        <v>2928.08</v>
      </c>
      <c r="K65">
        <v>2949.18</v>
      </c>
    </row>
    <row r="66" spans="1:1" s="1" customFormat="1" x14ac:dyDescent="0.2">
      <c r="A66" s="1" t="s">
        <v>26</v>
      </c>
      <c r="H66">
        <v>6899.64</v>
      </c>
      <c r="I66">
        <v>11621.19</v>
      </c>
      <c r="J66">
        <v>16087.4</v>
      </c>
      <c r="K66">
        <v>19210.73</v>
      </c>
    </row>
    <row r="67" spans="1:1" s="9" customFormat="1" x14ac:dyDescent="0.2">
      <c r="A67" s="9" t="s">
        <v>78</v>
      </c>
      <c r="H67">
        <v>0.21</v>
      </c>
      <c r="I67">
        <v>60.02</v>
      </c>
      <c r="J67">
        <v>19.46</v>
      </c>
      <c r="K67">
        <v>35.45</v>
      </c>
    </row>
    <row r="68" spans="1:1" x14ac:dyDescent="0.2">
      <c r="A68" s="9" t="s">
        <v>45</v>
      </c>
      <c r="K68">
        <v>30.92</v>
      </c>
    </row>
    <row r="69" spans="1:1" x14ac:dyDescent="0.2">
      <c r="A69" s="5" t="s">
        <v>87</v>
      </c>
      <c r="H69">
        <v>630.71</v>
      </c>
      <c r="I69">
        <v>455.16</v>
      </c>
      <c r="J69">
        <v>369.25</v>
      </c>
      <c r="K69">
        <v>486.75</v>
      </c>
    </row>
    <row r="70" spans="1:1" x14ac:dyDescent="0.2">
      <c r="A70" s="5" t="s">
        <v>74</v>
      </c>
      <c r="H70">
        <v>169845100.0</v>
      </c>
      <c r="I70">
        <v>169845100.0</v>
      </c>
      <c r="J70">
        <v>169845100.0</v>
      </c>
    </row>
    <row r="71" spans="1:1" x14ac:dyDescent="0.2">
      <c r="A71" s="5" t="s">
        <v>75</v>
      </c>
    </row>
    <row r="72" spans="1:1" x14ac:dyDescent="0.2">
      <c r="A72" s="5" t="s">
        <v>88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/>
      <c r="C81" s="16"/>
      <c r="D81" s="16"/>
      <c r="E81" s="16"/>
      <c r="F81" s="16"/>
      <c r="G81" s="16"/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H82">
        <v>244.68</v>
      </c>
      <c r="I82">
        <v>3290.58</v>
      </c>
      <c r="J82">
        <v>325.72</v>
      </c>
      <c r="K82">
        <v>1524.49</v>
      </c>
    </row>
    <row r="83" spans="1:11" s="9" customFormat="1" x14ac:dyDescent="0.2">
      <c r="A83" s="9" t="s">
        <v>33</v>
      </c>
      <c r="H83">
        <v>47.5</v>
      </c>
      <c r="I83">
        <v>-2265.55</v>
      </c>
      <c r="J83">
        <v>-290.3</v>
      </c>
      <c r="K83">
        <v>-3958.43</v>
      </c>
    </row>
    <row r="84" spans="1:11" s="9" customFormat="1" x14ac:dyDescent="0.2">
      <c r="A84" s="9" t="s">
        <v>34</v>
      </c>
      <c r="H84">
        <v>-626.62</v>
      </c>
      <c r="I84">
        <v>-1175.34</v>
      </c>
      <c r="J84">
        <v>-126.72</v>
      </c>
      <c r="K84">
        <v>2375.83</v>
      </c>
    </row>
    <row r="85" spans="1:11" s="1" customFormat="1" x14ac:dyDescent="0.2">
      <c r="A85" s="9" t="s">
        <v>35</v>
      </c>
      <c r="H85">
        <v>-334.44</v>
      </c>
      <c r="I85">
        <v>-150.31</v>
      </c>
      <c r="J85">
        <v>-91.3</v>
      </c>
      <c r="K85">
        <v>-58.11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H90">
        <v>38.95</v>
      </c>
      <c r="I90">
        <v>145.06</v>
      </c>
      <c r="J90">
        <v>346.09</v>
      </c>
      <c r="K90">
        <v>429.85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f>IF($B7&gt;0,(B70*B72/$B7)+SUM(C71:$K71),0)/10000000</f>
      </c>
      <c r="C93" s="31">
        <f>IF($B7&gt;0,(C70*C72/$B7)+SUM(D71:$K71),0)/10000000</f>
      </c>
      <c r="D93" s="31">
        <f>IF($B7&gt;0,(D70*D72/$B7)+SUM(E71:$K71),0)/10000000</f>
      </c>
      <c r="E93" s="31">
        <f>IF($B7&gt;0,(E70*E72/$B7)+SUM(F71:$K71),0)/10000000</f>
      </c>
      <c r="F93" s="31">
        <f>IF($B7&gt;0,(F70*F72/$B7)+SUM(G71:$K71),0)/10000000</f>
      </c>
      <c r="G93" s="31">
        <f>IF($B7&gt;0,(G70*G72/$B7)+SUM(H71:$K71),0)/10000000</f>
      </c>
      <c r="H93" s="31">
        <v>84.92</v>
      </c>
      <c r="I93" s="31">
        <v>84.92</v>
      </c>
      <c r="J93" s="31">
        <v>84.92</v>
      </c>
      <c r="K93" s="31">
        <v>84.92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