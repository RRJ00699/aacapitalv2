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F93" i="6"/>
  <c r="G93" i="6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<sst xmlns="http://schemas.openxmlformats.org/spreadsheetml/2006/main" count="145" uniqueCount="93">
  <si>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</si>
  <si>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</si>
  <si>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</si>
  <si>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</si>
  <si>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</si>
  <si>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</si>
  <si>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</si>
  <si>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</si>
  <si>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</si>
  <si>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</si>
  <si>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</si>
  <si>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</si>
  <si>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</si>
  <si>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</si>
  <si>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</si>
  <si>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</si>
  <si>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</si>
  <si>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</si>
  <si>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</si>
  <si>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</si>
  <si>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</si>
  <si>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</si>
  <si>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</si>
  <si>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</si>
  <si>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</si>
  <si>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</si>
  <si>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</si>
  <si>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</si>
  <si>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</si>
  <si>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</si>
  <si>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</si>
  <si>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</si>
  <si>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</si>
  <si>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</si>
  <si>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</si>
  <si>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</si>
  <si>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</si>
  <si>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</si>
  <si>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</si>
  <si>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</si>
  <si>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</si>
  <si>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</si>
  <si>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</si>
  <si>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</si>
  <si>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</si>
  <si>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</si>
  <si>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</si>
  <si>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</si>
  <si>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</si>
  <si>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</si>
  <si>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</si>
  <si>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</si>
  <si>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</si>
  <si>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</si>
  <si>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</si>
  <si>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</si>
  <si>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</si>
  <si>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</si>
  <si>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</si>
  <si>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</si>
  <si>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</si>
  <si>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</si>
  <si>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</si>
  <si>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TCI EXPRESS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</si>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</sst>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513.30</v>
      </c>
    </row>
    <row r="9" spans="1:11" x14ac:dyDescent="0.2">
      <c r="A9" s="5" t="s">
        <v>79</v>
      </c>
      <c r="B9">
        <v>1972.05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/>
      <c r="F16" s="16"/>
      <c r="G16" s="16"/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H17">
        <v>1241.01</v>
      </c>
      <c r="I17">
        <v>1253.82</v>
      </c>
      <c r="J17">
        <v>1208.27</v>
      </c>
      <c r="K17">
        <v>1237.41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H20">
        <v>3.74</v>
      </c>
      <c r="I20">
        <v>4.07</v>
      </c>
      <c r="J20">
        <v>4.29</v>
      </c>
    </row>
    <row r="21" spans="1:1" s="9" customFormat="1" x14ac:dyDescent="0.2">
      <c r="A21" s="5" t="s">
        <v>83</v>
      </c>
      <c r="H21">
        <v>862.01</v>
      </c>
      <c r="I21">
        <v>870.49</v>
      </c>
      <c r="J21">
        <v>875.15</v>
      </c>
    </row>
    <row r="22" spans="1:1" s="9" customFormat="1" x14ac:dyDescent="0.2">
      <c r="A22" s="5" t="s">
        <v>84</v>
      </c>
      <c r="H22">
        <v>124.91</v>
      </c>
      <c r="I22">
        <v>134.49</v>
      </c>
      <c r="J22">
        <v>141.63</v>
      </c>
      <c r="K22">
        <v>145.87</v>
      </c>
    </row>
    <row r="23" spans="1:1" s="9" customFormat="1" x14ac:dyDescent="0.2">
      <c r="A23" s="5" t="s">
        <v>85</v>
      </c>
      <c r="H23">
        <v>49.81</v>
      </c>
      <c r="I23">
        <v>50.26</v>
      </c>
      <c r="J23">
        <v>54.75</v>
      </c>
    </row>
    <row r="24" spans="1:1" s="9" customFormat="1" x14ac:dyDescent="0.2">
      <c r="A24" s="5" t="s">
        <v>86</v>
      </c>
      <c r="H24">
        <v>6.06</v>
      </c>
      <c r="I24">
        <v>7.29</v>
      </c>
      <c r="J24">
        <v>7.78</v>
      </c>
      <c r="K24">
        <v>966.29</v>
      </c>
    </row>
    <row r="25" spans="1:1" s="9" customFormat="1" x14ac:dyDescent="0.2">
      <c r="A25" s="9" t="s">
        <v>9</v>
      </c>
      <c r="H25">
        <v>7.17</v>
      </c>
      <c r="I25">
        <v>7.15</v>
      </c>
      <c r="J25">
        <v>13.44</v>
      </c>
      <c r="K25">
        <v>12.98</v>
      </c>
    </row>
    <row r="26" spans="1:1" s="9" customFormat="1" x14ac:dyDescent="0.2">
      <c r="A26" s="9" t="s">
        <v>10</v>
      </c>
      <c r="H26">
        <v>15.31</v>
      </c>
      <c r="I26">
        <v>18.95</v>
      </c>
      <c r="J26">
        <v>21.62</v>
      </c>
      <c r="K26">
        <v>25.74</v>
      </c>
    </row>
    <row r="27" spans="1:1" s="9" customFormat="1" x14ac:dyDescent="0.2">
      <c r="A27" s="9" t="s">
        <v>11</v>
      </c>
      <c r="H27">
        <v>1.81</v>
      </c>
      <c r="I27">
        <v>1.47</v>
      </c>
      <c r="J27">
        <v>1.31</v>
      </c>
      <c r="K27">
        <v>2.13</v>
      </c>
    </row>
    <row r="28" spans="1:1" s="9" customFormat="1" x14ac:dyDescent="0.2">
      <c r="A28" s="9" t="s">
        <v>12</v>
      </c>
      <c r="H28">
        <v>184.53</v>
      </c>
      <c r="I28">
        <v>173.95</v>
      </c>
      <c r="J28">
        <v>115.18</v>
      </c>
      <c r="K28">
        <v>110.36</v>
      </c>
    </row>
    <row r="29" spans="1:1" s="9" customFormat="1" x14ac:dyDescent="0.2">
      <c r="A29" s="9" t="s">
        <v>13</v>
      </c>
      <c r="H29">
        <v>45.25</v>
      </c>
      <c r="I29">
        <v>42.28</v>
      </c>
      <c r="J29">
        <v>29.37</v>
      </c>
      <c r="K29">
        <v>28.93</v>
      </c>
    </row>
    <row r="30" spans="1:1" s="9" customFormat="1" x14ac:dyDescent="0.2">
      <c r="A30" s="9" t="s">
        <v>14</v>
      </c>
      <c r="H30">
        <v>139.28</v>
      </c>
      <c r="I30">
        <v>131.67</v>
      </c>
      <c r="J30">
        <v>85.81</v>
      </c>
      <c r="K30">
        <v>81.43</v>
      </c>
    </row>
    <row r="31" spans="1:1" s="9" customFormat="1" x14ac:dyDescent="0.2">
      <c r="A31" s="9" t="s">
        <v>70</v>
      </c>
      <c r="H31">
        <v>30.64</v>
      </c>
      <c r="I31">
        <v>30.68</v>
      </c>
      <c r="J31">
        <v>30.72</v>
      </c>
      <c r="K31">
        <v>26.88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311.86</v>
      </c>
      <c r="C42">
        <v>317.11</v>
      </c>
      <c r="D42">
        <v>292.98</v>
      </c>
      <c r="E42">
        <v>311.54</v>
      </c>
      <c r="F42">
        <v>296.47</v>
      </c>
      <c r="G42">
        <v>307.28</v>
      </c>
      <c r="H42">
        <v>286.75</v>
      </c>
      <c r="I42">
        <v>308.53</v>
      </c>
      <c r="J42">
        <v>314.05</v>
      </c>
      <c r="K42">
        <v>328.08</v>
      </c>
    </row>
    <row r="43" spans="1:11" s="9" customFormat="1" x14ac:dyDescent="0.2">
      <c r="A43" s="9" t="s">
        <v>7</v>
      </c>
      <c r="B43">
        <v>266.29</v>
      </c>
      <c r="C43">
        <v>272.27</v>
      </c>
      <c r="D43">
        <v>260.26</v>
      </c>
      <c r="E43">
        <v>274.72</v>
      </c>
      <c r="F43">
        <v>267.56</v>
      </c>
      <c r="G43">
        <v>281.01</v>
      </c>
      <c r="H43">
        <v>258.64</v>
      </c>
      <c r="I43">
        <v>275.02</v>
      </c>
      <c r="J43">
        <v>281.94</v>
      </c>
      <c r="K43">
        <v>296.55</v>
      </c>
    </row>
    <row r="44" spans="1:11" s="9" customFormat="1" x14ac:dyDescent="0.2">
      <c r="A44" s="9" t="s">
        <v>9</v>
      </c>
      <c r="B44">
        <v>1.97</v>
      </c>
      <c r="C44">
        <v>1.93</v>
      </c>
      <c r="D44">
        <v>2.28</v>
      </c>
      <c r="E44">
        <v>2.47</v>
      </c>
      <c r="F44">
        <v>2.57</v>
      </c>
      <c r="G44">
        <v>6.13</v>
      </c>
      <c r="H44">
        <v>3.76</v>
      </c>
      <c r="I44">
        <v>4.24</v>
      </c>
      <c r="J44">
        <v>3.49</v>
      </c>
      <c r="K44">
        <v>1.49</v>
      </c>
    </row>
    <row r="45" spans="1:11" s="9" customFormat="1" x14ac:dyDescent="0.2">
      <c r="A45" s="9" t="s">
        <v>10</v>
      </c>
      <c r="B45">
        <v>4.77</v>
      </c>
      <c r="C45">
        <v>4.86</v>
      </c>
      <c r="D45">
        <v>5.08</v>
      </c>
      <c r="E45">
        <v>5.37</v>
      </c>
      <c r="F45">
        <v>5.3</v>
      </c>
      <c r="G45">
        <v>5.93</v>
      </c>
      <c r="H45">
        <v>5.32</v>
      </c>
      <c r="I45">
        <v>5.42</v>
      </c>
      <c r="J45">
        <v>5.7</v>
      </c>
      <c r="K45">
        <v>9.3</v>
      </c>
    </row>
    <row r="46" spans="1:11" s="9" customFormat="1" x14ac:dyDescent="0.2">
      <c r="A46" s="9" t="s">
        <v>11</v>
      </c>
      <c r="B46">
        <v>0.33</v>
      </c>
      <c r="C46">
        <v>0.4</v>
      </c>
      <c r="D46">
        <v>0.27</v>
      </c>
      <c r="E46">
        <v>0.33</v>
      </c>
      <c r="F46">
        <v>0.26</v>
      </c>
      <c r="G46">
        <v>0.47</v>
      </c>
      <c r="H46">
        <v>0.26</v>
      </c>
      <c r="I46">
        <v>0.38</v>
      </c>
      <c r="J46">
        <v>0.28</v>
      </c>
      <c r="K46">
        <v>1.21</v>
      </c>
    </row>
    <row r="47" spans="1:11" s="9" customFormat="1" x14ac:dyDescent="0.2">
      <c r="A47" s="9" t="s">
        <v>12</v>
      </c>
      <c r="B47">
        <v>42.44</v>
      </c>
      <c r="C47">
        <v>41.51</v>
      </c>
      <c r="D47">
        <v>29.65</v>
      </c>
      <c r="E47">
        <v>33.59</v>
      </c>
      <c r="F47">
        <v>25.92</v>
      </c>
      <c r="G47">
        <v>26.0</v>
      </c>
      <c r="H47">
        <v>26.29</v>
      </c>
      <c r="I47">
        <v>31.95</v>
      </c>
      <c r="J47">
        <v>29.62</v>
      </c>
      <c r="K47">
        <v>22.51</v>
      </c>
    </row>
    <row r="48" spans="1:11" s="9" customFormat="1" x14ac:dyDescent="0.2">
      <c r="A48" s="9" t="s">
        <v>13</v>
      </c>
      <c r="B48">
        <v>10.25</v>
      </c>
      <c r="C48">
        <v>9.92</v>
      </c>
      <c r="D48">
        <v>7.35</v>
      </c>
      <c r="E48">
        <v>8.66</v>
      </c>
      <c r="F48">
        <v>6.73</v>
      </c>
      <c r="G48">
        <v>6.64</v>
      </c>
      <c r="H48">
        <v>6.82</v>
      </c>
      <c r="I48">
        <v>8.04</v>
      </c>
      <c r="J48">
        <v>7.59</v>
      </c>
      <c r="K48">
        <v>6.48</v>
      </c>
    </row>
    <row r="49" spans="1:11" s="9" customFormat="1" x14ac:dyDescent="0.2">
      <c r="A49" s="9" t="s">
        <v>14</v>
      </c>
      <c r="B49">
        <v>32.19</v>
      </c>
      <c r="C49">
        <v>31.59</v>
      </c>
      <c r="D49">
        <v>22.3</v>
      </c>
      <c r="E49">
        <v>24.93</v>
      </c>
      <c r="F49">
        <v>19.19</v>
      </c>
      <c r="G49">
        <v>19.36</v>
      </c>
      <c r="H49">
        <v>19.47</v>
      </c>
      <c r="I49">
        <v>23.91</v>
      </c>
      <c r="J49">
        <v>22.03</v>
      </c>
      <c r="K49">
        <v>16.03</v>
      </c>
    </row>
    <row r="50" spans="1:11" x14ac:dyDescent="0.2">
      <c r="A50" s="9" t="s">
        <v>8</v>
      </c>
      <c r="B50">
        <v>45.57</v>
      </c>
      <c r="C50">
        <v>44.84</v>
      </c>
      <c r="D50">
        <v>32.72</v>
      </c>
      <c r="E50">
        <v>36.82</v>
      </c>
      <c r="F50">
        <v>28.91</v>
      </c>
      <c r="G50">
        <v>26.27</v>
      </c>
      <c r="H50">
        <v>28.11</v>
      </c>
      <c r="I50">
        <v>33.51</v>
      </c>
      <c r="J50">
        <v>32.11</v>
      </c>
      <c r="K50">
        <v>31.53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/>
      <c r="F56" s="16"/>
      <c r="G56" s="16"/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H57">
        <v>7.66</v>
      </c>
      <c r="I57">
        <v>7.67</v>
      </c>
      <c r="J57">
        <v>7.68</v>
      </c>
      <c r="K57">
        <v>7.68</v>
      </c>
    </row>
    <row r="58" spans="1:11" x14ac:dyDescent="0.2">
      <c r="A58" s="9" t="s">
        <v>25</v>
      </c>
      <c r="H58">
        <v>588.71</v>
      </c>
      <c r="I58">
        <v>696.3</v>
      </c>
      <c r="J58">
        <v>756.73</v>
      </c>
      <c r="K58">
        <v>811.12</v>
      </c>
    </row>
    <row r="59" spans="1:11" x14ac:dyDescent="0.2">
      <c r="A59" s="9" t="s">
        <v>71</v>
      </c>
      <c r="H59">
        <v>7.07</v>
      </c>
      <c r="I59">
        <v>10.46</v>
      </c>
      <c r="J59">
        <v>9.86</v>
      </c>
      <c r="K59">
        <v>63.35</v>
      </c>
    </row>
    <row r="60" spans="1:11" x14ac:dyDescent="0.2">
      <c r="A60" s="9" t="s">
        <v>72</v>
      </c>
      <c r="H60">
        <v>131.5</v>
      </c>
      <c r="I60">
        <v>135.99</v>
      </c>
      <c r="J60">
        <v>144.38</v>
      </c>
      <c r="K60">
        <v>142.6</v>
      </c>
    </row>
    <row r="61" spans="1:11" s="1" customFormat="1" x14ac:dyDescent="0.2">
      <c r="A61" s="1" t="s">
        <v>26</v>
      </c>
      <c r="H61">
        <v>734.94</v>
      </c>
      <c r="I61">
        <v>850.42</v>
      </c>
      <c r="J61">
        <v>918.65</v>
      </c>
      <c r="K61">
        <v>1024.75</v>
      </c>
    </row>
    <row r="62" spans="1:11" x14ac:dyDescent="0.2">
      <c r="A62" s="9" t="s">
        <v>27</v>
      </c>
      <c r="H62">
        <v>374.07</v>
      </c>
      <c r="I62">
        <v>451.71</v>
      </c>
      <c r="J62">
        <v>461.97</v>
      </c>
      <c r="K62">
        <v>546.8</v>
      </c>
    </row>
    <row r="63" spans="1:11" x14ac:dyDescent="0.2">
      <c r="A63" s="9" t="s">
        <v>28</v>
      </c>
      <c r="H63">
        <v>61.14</v>
      </c>
      <c r="I63">
        <v>16.06</v>
      </c>
      <c r="J63">
        <v>20.34</v>
      </c>
      <c r="K63">
        <v>28.54</v>
      </c>
    </row>
    <row r="64" spans="1:11" x14ac:dyDescent="0.2">
      <c r="A64" s="9" t="s">
        <v>29</v>
      </c>
      <c r="H64">
        <v>32.54</v>
      </c>
      <c r="I64">
        <v>90.57</v>
      </c>
      <c r="J64">
        <v>148.38</v>
      </c>
      <c r="K64">
        <v>123.9</v>
      </c>
    </row>
    <row r="65" spans="1:1" x14ac:dyDescent="0.2">
      <c r="A65" s="9" t="s">
        <v>73</v>
      </c>
      <c r="H65">
        <v>267.19</v>
      </c>
      <c r="I65">
        <v>292.08</v>
      </c>
      <c r="J65">
        <v>287.96</v>
      </c>
      <c r="K65">
        <v>325.51</v>
      </c>
    </row>
    <row r="66" spans="1:1" s="1" customFormat="1" x14ac:dyDescent="0.2">
      <c r="A66" s="1" t="s">
        <v>26</v>
      </c>
      <c r="H66">
        <v>734.94</v>
      </c>
      <c r="I66">
        <v>850.42</v>
      </c>
      <c r="J66">
        <v>918.65</v>
      </c>
      <c r="K66">
        <v>1024.75</v>
      </c>
    </row>
    <row r="67" spans="1:1" s="9" customFormat="1" x14ac:dyDescent="0.2">
      <c r="A67" s="9" t="s">
        <v>78</v>
      </c>
      <c r="H67">
        <v>211.47</v>
      </c>
      <c r="I67">
        <v>231.76</v>
      </c>
      <c r="J67">
        <v>225.89</v>
      </c>
      <c r="K67">
        <v>238.65</v>
      </c>
    </row>
    <row r="68" spans="1:1" x14ac:dyDescent="0.2">
      <c r="A68" s="9" t="s">
        <v>45</v>
      </c>
    </row>
    <row r="69" spans="1:1" x14ac:dyDescent="0.2">
      <c r="A69" s="5" t="s">
        <v>87</v>
      </c>
      <c r="H69">
        <v>16.68</v>
      </c>
      <c r="I69">
        <v>20.39</v>
      </c>
      <c r="J69">
        <v>15.33</v>
      </c>
      <c r="K69">
        <v>20.04</v>
      </c>
    </row>
    <row r="70" spans="1:1" x14ac:dyDescent="0.2">
      <c r="A70" s="5" t="s">
        <v>74</v>
      </c>
      <c r="H70">
        <v>38311650.0</v>
      </c>
      <c r="I70">
        <v>38342485.0</v>
      </c>
      <c r="J70">
        <v>38380020.0</v>
      </c>
    </row>
    <row r="71" spans="1:1" x14ac:dyDescent="0.2">
      <c r="A71" s="5" t="s">
        <v>75</v>
      </c>
    </row>
    <row r="72" spans="1:1" x14ac:dyDescent="0.2">
      <c r="A72" s="5" t="s">
        <v>88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/>
      <c r="F81" s="16"/>
      <c r="G81" s="16"/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H82">
        <v>146.51</v>
      </c>
      <c r="I82">
        <v>136.02</v>
      </c>
      <c r="J82">
        <v>118.43</v>
      </c>
      <c r="K82">
        <v>101.43</v>
      </c>
    </row>
    <row r="83" spans="1:11" s="9" customFormat="1" x14ac:dyDescent="0.2">
      <c r="A83" s="9" t="s">
        <v>33</v>
      </c>
      <c r="H83">
        <v>-64.71</v>
      </c>
      <c r="I83">
        <v>-105.05</v>
      </c>
      <c r="J83">
        <v>-91.5</v>
      </c>
      <c r="K83">
        <v>-88.94</v>
      </c>
    </row>
    <row r="84" spans="1:11" s="9" customFormat="1" x14ac:dyDescent="0.2">
      <c r="A84" s="9" t="s">
        <v>34</v>
      </c>
      <c r="H84">
        <v>-83.74</v>
      </c>
      <c r="I84">
        <v>-27.76</v>
      </c>
      <c r="J84">
        <v>-32.19</v>
      </c>
      <c r="K84">
        <v>-8.13</v>
      </c>
    </row>
    <row r="85" spans="1:11" s="1" customFormat="1" x14ac:dyDescent="0.2">
      <c r="A85" s="9" t="s">
        <v>35</v>
      </c>
      <c r="H85">
        <v>-1.94</v>
      </c>
      <c r="I85">
        <v>3.21</v>
      </c>
      <c r="J85">
        <v>-5.26</v>
      </c>
      <c r="K85">
        <v>4.36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H90">
        <v>1492.95</v>
      </c>
      <c r="I90">
        <v>1023.95</v>
      </c>
      <c r="J90">
        <v>612.75</v>
      </c>
      <c r="K90">
        <v>461.5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f>IF($B7&gt;0,(F70*F72/$B7)+SUM(G71:$K71),0)/10000000</f>
      </c>
      <c r="G93" s="31">
        <f>IF($B7&gt;0,(G70*G72/$B7)+SUM(H71:$K71),0)/10000000</f>
      </c>
      <c r="H93" s="31">
        <v>3.83</v>
      </c>
      <c r="I93" s="31">
        <v>3.83</v>
      </c>
      <c r="J93" s="31">
        <v>3.84</v>
      </c>
      <c r="K93" s="31">
        <v>3.84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