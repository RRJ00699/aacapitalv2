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G93" i="6"/>
  <c r="H93" i="6"/>
  <c r="I93" i="6"/>
  <c r="J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<sst xmlns="http://schemas.openxmlformats.org/spreadsheetml/2006/main" count="145" uniqueCount="93">
  <si>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</si>
  <si>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</si>
  <si>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</si>
  <si>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</si>
  <si>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</si>
  <si>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</si>
  <si>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</si>
  <si>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</si>
  <si>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</si>
  <si>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</si>
  <si>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</si>
  <si>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</si>
  <si>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</si>
  <si>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</si>
  <si>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</si>
  <si>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</si>
  <si>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</si>
  <si>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</si>
  <si>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</si>
  <si>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</si>
  <si>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</si>
  <si>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</si>
  <si>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</si>
  <si>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</si>
  <si>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</si>
  <si>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</si>
  <si>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</si>
  <si>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</si>
  <si>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</si>
  <si>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</si>
  <si>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</si>
  <si>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</si>
  <si>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</si>
  <si>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</si>
  <si>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</si>
  <si>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</si>
  <si>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</si>
  <si>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</si>
  <si>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</si>
  <si>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</si>
  <si>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</si>
  <si>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</si>
  <si>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</si>
  <si>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</si>
  <si>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</si>
  <si>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</si>
  <si>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</si>
  <si>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</si>
  <si>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</si>
  <si>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</si>
  <si>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</si>
  <si>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</si>
  <si>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</si>
  <si>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</si>
  <si>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</si>
  <si>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</si>
  <si>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</si>
  <si>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</si>
  <si>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</si>
  <si>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</si>
  <si>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</si>
  <si>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</si>
  <si>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</si>
  <si>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TATA MOTORS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</si>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</sst>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406.60</v>
      </c>
    </row>
    <row r="9" spans="1:11" x14ac:dyDescent="0.2">
      <c r="A9" s="5" t="s">
        <v>79</v>
      </c>
      <c r="B9">
        <v>149321.88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/>
      <c r="G16" s="16"/>
      <c r="H16" s="16"/>
      <c r="I16" s="16"/>
      <c r="J16" s="16">
        <v>45747.0</v>
      </c>
      <c r="K16" s="16">
        <v>46112.0</v>
      </c>
    </row>
    <row r="17" spans="1:1" s="9" customFormat="1" x14ac:dyDescent="0.2">
      <c r="A17" s="9" t="s">
        <v>6</v>
      </c>
      <c r="J17">
        <v>58217.0</v>
      </c>
      <c r="K17">
        <v>83855.0</v>
      </c>
    </row>
    <row r="18" spans="1:1" s="9" customFormat="1" x14ac:dyDescent="0.2">
      <c r="A18" s="5" t="s">
        <v>80</v>
      </c>
      <c r="J18">
        <v>37181.0</v>
      </c>
      <c r="K18">
        <v>57024.0</v>
      </c>
    </row>
    <row r="19" spans="1:1" s="9" customFormat="1" x14ac:dyDescent="0.2">
      <c r="A19" s="5" t="s">
        <v>81</v>
      </c>
      <c r="J19">
        <v>-2015.0</v>
      </c>
      <c r="K19">
        <v>292.0</v>
      </c>
    </row>
    <row r="20" spans="1:1" s="9" customFormat="1" x14ac:dyDescent="0.2">
      <c r="A20" s="5" t="s">
        <v>82</v>
      </c>
      <c r="J20">
        <v>457.0</v>
      </c>
      <c r="K20">
        <v>627.0</v>
      </c>
    </row>
    <row r="21" spans="1:1" s="9" customFormat="1" x14ac:dyDescent="0.2">
      <c r="A21" s="5" t="s">
        <v>83</v>
      </c>
      <c r="J21">
        <v>2063.0</v>
      </c>
      <c r="K21">
        <v>2693.0</v>
      </c>
    </row>
    <row r="22" spans="1:1" s="9" customFormat="1" x14ac:dyDescent="0.2">
      <c r="A22" s="5" t="s">
        <v>84</v>
      </c>
      <c r="J22">
        <v>4223.0</v>
      </c>
      <c r="K22">
        <v>5804.0</v>
      </c>
    </row>
    <row r="23" spans="1:1" s="9" customFormat="1" x14ac:dyDescent="0.2">
      <c r="A23" s="5" t="s">
        <v>85</v>
      </c>
      <c r="J23">
        <v>3788.0</v>
      </c>
      <c r="K23">
        <v>4789.0</v>
      </c>
    </row>
    <row r="24" spans="1:1" s="9" customFormat="1" x14ac:dyDescent="0.2">
      <c r="A24" s="5" t="s">
        <v>86</v>
      </c>
      <c r="J24">
        <v>2318.0</v>
      </c>
      <c r="K24">
        <v>5593.0</v>
      </c>
    </row>
    <row r="25" spans="1:1" s="9" customFormat="1" x14ac:dyDescent="0.2">
      <c r="A25" s="9" t="s">
        <v>9</v>
      </c>
      <c r="J25">
        <v>685.0</v>
      </c>
      <c r="K25">
        <v>-135.0</v>
      </c>
    </row>
    <row r="26" spans="1:1" s="9" customFormat="1" x14ac:dyDescent="0.2">
      <c r="A26" s="9" t="s">
        <v>10</v>
      </c>
      <c r="J26">
        <v>1690.0</v>
      </c>
      <c r="K26">
        <v>1945.0</v>
      </c>
    </row>
    <row r="27" spans="1:1" s="9" customFormat="1" x14ac:dyDescent="0.2">
      <c r="A27" s="9" t="s">
        <v>11</v>
      </c>
      <c r="J27">
        <v>1079.0</v>
      </c>
      <c r="K27">
        <v>874.0</v>
      </c>
    </row>
    <row r="28" spans="1:1" s="9" customFormat="1" x14ac:dyDescent="0.2">
      <c r="A28" s="9" t="s">
        <v>12</v>
      </c>
      <c r="J28">
        <v>4088.0</v>
      </c>
      <c r="K28">
        <v>4663.0</v>
      </c>
    </row>
    <row r="29" spans="1:1" s="9" customFormat="1" x14ac:dyDescent="0.2">
      <c r="A29" s="9" t="s">
        <v>13</v>
      </c>
      <c r="J29">
        <v>893.0</v>
      </c>
      <c r="K29">
        <v>1633.0</v>
      </c>
    </row>
    <row r="30" spans="1:1" s="9" customFormat="1" x14ac:dyDescent="0.2">
      <c r="A30" s="9" t="s">
        <v>14</v>
      </c>
      <c r="J30">
        <v>3195.0</v>
      </c>
      <c r="K30">
        <v>3030.0</v>
      </c>
    </row>
    <row r="31" spans="1:1" s="9" customFormat="1" x14ac:dyDescent="0.2">
      <c r="A31" s="9" t="s">
        <v>70</v>
      </c>
      <c r="K31">
        <v>1472.0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/>
      <c r="C41" s="16"/>
      <c r="D41" s="16"/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E42">
        <v>17535.0</v>
      </c>
      <c r="F42">
        <v>18819.0</v>
      </c>
      <c r="G42">
        <v>21863.0</v>
      </c>
      <c r="H42">
        <v>17324.0</v>
      </c>
      <c r="I42">
        <v>18585.0</v>
      </c>
      <c r="J42">
        <v>21847.0</v>
      </c>
      <c r="K42">
        <v>26098.0</v>
      </c>
    </row>
    <row r="43" spans="1:11" s="9" customFormat="1" x14ac:dyDescent="0.2">
      <c r="A43" s="9" t="s">
        <v>7</v>
      </c>
      <c r="E43">
        <v>15828.0</v>
      </c>
      <c r="F43">
        <v>16786.0</v>
      </c>
      <c r="G43">
        <v>19432.0</v>
      </c>
      <c r="H43">
        <v>15248.0</v>
      </c>
      <c r="I43">
        <v>16553.0</v>
      </c>
      <c r="J43">
        <v>19260.0</v>
      </c>
      <c r="K43">
        <v>22771.0</v>
      </c>
    </row>
    <row r="44" spans="1:11" s="9" customFormat="1" x14ac:dyDescent="0.2">
      <c r="A44" s="9" t="s">
        <v>9</v>
      </c>
      <c r="E44">
        <v>206.0</v>
      </c>
      <c r="F44">
        <v>407.0</v>
      </c>
      <c r="G44">
        <v>72.0</v>
      </c>
      <c r="H44">
        <v>332.0</v>
      </c>
      <c r="I44">
        <v>-1865.0</v>
      </c>
      <c r="J44">
        <v>-981.0</v>
      </c>
      <c r="K44">
        <v>-28.0</v>
      </c>
    </row>
    <row r="45" spans="1:11" s="9" customFormat="1" x14ac:dyDescent="0.2">
      <c r="A45" s="9" t="s">
        <v>10</v>
      </c>
      <c r="E45">
        <v>541.0</v>
      </c>
      <c r="F45">
        <v>557.0</v>
      </c>
      <c r="G45">
        <v>592.0</v>
      </c>
      <c r="H45">
        <v>480.0</v>
      </c>
      <c r="I45">
        <v>472.0</v>
      </c>
      <c r="J45">
        <v>483.0</v>
      </c>
      <c r="K45">
        <v>510.0</v>
      </c>
    </row>
    <row r="46" spans="1:11" s="9" customFormat="1" x14ac:dyDescent="0.2">
      <c r="A46" s="9" t="s">
        <v>11</v>
      </c>
      <c r="E46">
        <v>408.0</v>
      </c>
      <c r="F46">
        <v>352.0</v>
      </c>
      <c r="G46">
        <v>319.0</v>
      </c>
      <c r="H46">
        <v>254.0</v>
      </c>
      <c r="I46">
        <v>256.0</v>
      </c>
      <c r="J46">
        <v>198.0</v>
      </c>
      <c r="K46">
        <v>166.0</v>
      </c>
    </row>
    <row r="47" spans="1:11" s="9" customFormat="1" x14ac:dyDescent="0.2">
      <c r="A47" s="9" t="s">
        <v>12</v>
      </c>
      <c r="E47">
        <v>964.0</v>
      </c>
      <c r="F47">
        <v>1531.0</v>
      </c>
      <c r="G47">
        <v>1592.0</v>
      </c>
      <c r="H47">
        <v>1674.0</v>
      </c>
      <c r="I47">
        <v>-561.0</v>
      </c>
      <c r="J47">
        <v>925.0</v>
      </c>
      <c r="K47">
        <v>2623.0</v>
      </c>
    </row>
    <row r="48" spans="1:11" s="9" customFormat="1" x14ac:dyDescent="0.2">
      <c r="A48" s="9" t="s">
        <v>13</v>
      </c>
      <c r="E48">
        <v>466.0</v>
      </c>
      <c r="F48">
        <v>176.0</v>
      </c>
      <c r="G48">
        <v>252.0</v>
      </c>
      <c r="H48">
        <v>277.0</v>
      </c>
      <c r="I48">
        <v>306.0</v>
      </c>
      <c r="J48">
        <v>220.0</v>
      </c>
      <c r="K48">
        <v>830.0</v>
      </c>
    </row>
    <row r="49" spans="1:11" s="9" customFormat="1" x14ac:dyDescent="0.2">
      <c r="A49" s="9" t="s">
        <v>14</v>
      </c>
      <c r="E49">
        <v>498.0</v>
      </c>
      <c r="F49">
        <v>1355.0</v>
      </c>
      <c r="G49">
        <v>1340.0</v>
      </c>
      <c r="H49">
        <v>1397.0</v>
      </c>
      <c r="I49">
        <v>-867.0</v>
      </c>
      <c r="J49">
        <v>705.0</v>
      </c>
      <c r="K49">
        <v>1793.0</v>
      </c>
    </row>
    <row r="50" spans="1:11" x14ac:dyDescent="0.2">
      <c r="A50" s="9" t="s">
        <v>8</v>
      </c>
      <c r="E50">
        <v>1707.0</v>
      </c>
      <c r="F50">
        <v>2033.0</v>
      </c>
      <c r="G50">
        <v>2431.0</v>
      </c>
      <c r="H50">
        <v>2076.0</v>
      </c>
      <c r="I50">
        <v>2032.0</v>
      </c>
      <c r="J50">
        <v>2587.0</v>
      </c>
      <c r="K50">
        <v>3327.0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/>
      <c r="G56" s="16"/>
      <c r="H56" s="16"/>
      <c r="I56" s="16"/>
      <c r="J56" s="16">
        <v>45747.0</v>
      </c>
      <c r="K56" s="16">
        <v>46112.0</v>
      </c>
    </row>
    <row r="57" spans="1:11" x14ac:dyDescent="0.2">
      <c r="A57" s="9" t="s">
        <v>24</v>
      </c>
      <c r="K57">
        <v>736.0</v>
      </c>
    </row>
    <row r="58" spans="1:11" x14ac:dyDescent="0.2">
      <c r="A58" s="9" t="s">
        <v>25</v>
      </c>
      <c r="J58">
        <v>10533.0</v>
      </c>
      <c r="K58">
        <v>11998.0</v>
      </c>
    </row>
    <row r="59" spans="1:11" x14ac:dyDescent="0.2">
      <c r="A59" s="9" t="s">
        <v>71</v>
      </c>
      <c r="J59">
        <v>9925.0</v>
      </c>
      <c r="K59">
        <v>5615.0</v>
      </c>
    </row>
    <row r="60" spans="1:11" x14ac:dyDescent="0.2">
      <c r="A60" s="9" t="s">
        <v>72</v>
      </c>
      <c r="J60">
        <v>26393.0</v>
      </c>
      <c r="K60">
        <v>33960.0</v>
      </c>
    </row>
    <row r="61" spans="1:11" s="1" customFormat="1" x14ac:dyDescent="0.2">
      <c r="A61" s="1" t="s">
        <v>26</v>
      </c>
      <c r="J61">
        <v>46851.0</v>
      </c>
      <c r="K61">
        <v>52309.0</v>
      </c>
    </row>
    <row r="62" spans="1:11" x14ac:dyDescent="0.2">
      <c r="A62" s="9" t="s">
        <v>27</v>
      </c>
      <c r="J62">
        <v>13664.0</v>
      </c>
      <c r="K62">
        <v>13962.0</v>
      </c>
    </row>
    <row r="63" spans="1:11" x14ac:dyDescent="0.2">
      <c r="A63" s="9" t="s">
        <v>28</v>
      </c>
      <c r="J63">
        <v>1875.0</v>
      </c>
      <c r="K63">
        <v>2026.0</v>
      </c>
    </row>
    <row r="64" spans="1:11" x14ac:dyDescent="0.2">
      <c r="A64" s="9" t="s">
        <v>29</v>
      </c>
      <c r="J64">
        <v>5282.0</v>
      </c>
      <c r="K64">
        <v>13283.0</v>
      </c>
    </row>
    <row r="65" spans="1:1" x14ac:dyDescent="0.2">
      <c r="A65" s="9" t="s">
        <v>73</v>
      </c>
      <c r="J65">
        <v>26030.0</v>
      </c>
      <c r="K65">
        <v>23038.0</v>
      </c>
    </row>
    <row r="66" spans="1:1" s="1" customFormat="1" x14ac:dyDescent="0.2">
      <c r="A66" s="1" t="s">
        <v>26</v>
      </c>
      <c r="J66">
        <v>46851.0</v>
      </c>
      <c r="K66">
        <v>52309.0</v>
      </c>
    </row>
    <row r="67" spans="1:1" s="9" customFormat="1" x14ac:dyDescent="0.2">
      <c r="A67" s="9" t="s">
        <v>78</v>
      </c>
      <c r="J67">
        <v>3064.0</v>
      </c>
      <c r="K67">
        <v>2721.0</v>
      </c>
    </row>
    <row r="68" spans="1:1" x14ac:dyDescent="0.2">
      <c r="A68" s="9" t="s">
        <v>45</v>
      </c>
      <c r="J68">
        <v>4625.0</v>
      </c>
      <c r="K68">
        <v>5448.0</v>
      </c>
    </row>
    <row r="69" spans="1:1" x14ac:dyDescent="0.2">
      <c r="A69" s="5" t="s">
        <v>87</v>
      </c>
      <c r="J69">
        <v>2266.0</v>
      </c>
      <c r="K69">
        <v>7776.0</v>
      </c>
    </row>
    <row r="70" spans="1:1" x14ac:dyDescent="0.2">
      <c r="A70" s="5" t="s">
        <v>74</v>
      </c>
      <c r="K70">
        <v>3682331373.0</v>
      </c>
    </row>
    <row r="71" spans="1:1" x14ac:dyDescent="0.2">
      <c r="A71" s="5" t="s">
        <v>75</v>
      </c>
    </row>
    <row r="72" spans="1:1" x14ac:dyDescent="0.2">
      <c r="A72" s="5" t="s">
        <v>88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/>
      <c r="G81" s="16"/>
      <c r="H81" s="16"/>
      <c r="I81" s="16"/>
      <c r="J81" s="16">
        <v>45747.0</v>
      </c>
      <c r="K81" s="16">
        <v>46112.0</v>
      </c>
    </row>
    <row r="82" spans="1:11" s="1" customFormat="1" x14ac:dyDescent="0.2">
      <c r="A82" s="9" t="s">
        <v>32</v>
      </c>
      <c r="J82">
        <v>8547.0</v>
      </c>
      <c r="K82">
        <v>14981.0</v>
      </c>
    </row>
    <row r="83" spans="1:11" s="9" customFormat="1" x14ac:dyDescent="0.2">
      <c r="A83" s="9" t="s">
        <v>33</v>
      </c>
      <c r="J83">
        <v>456.0</v>
      </c>
      <c r="K83">
        <v>-3892.0</v>
      </c>
    </row>
    <row r="84" spans="1:11" s="9" customFormat="1" x14ac:dyDescent="0.2">
      <c r="A84" s="9" t="s">
        <v>34</v>
      </c>
      <c r="J84">
        <v>-7970.0</v>
      </c>
      <c r="K84">
        <v>-5223.0</v>
      </c>
    </row>
    <row r="85" spans="1:11" s="1" customFormat="1" x14ac:dyDescent="0.2">
      <c r="A85" s="9" t="s">
        <v>35</v>
      </c>
      <c r="J85">
        <v>1033.0</v>
      </c>
      <c r="K85">
        <v>5866.0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K90">
        <v>394.8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f>IF($B7&gt;0,(G70*G72/$B7)+SUM(H71:$K71),0)/10000000</f>
      </c>
      <c r="H93" s="31">
        <f>IF($B7&gt;0,(H70*H72/$B7)+SUM(I71:$K71),0)/10000000</f>
      </c>
      <c r="I93" s="31">
        <f>IF($B7&gt;0,(I70*I72/$B7)+SUM(J71:$K71),0)/10000000</f>
      </c>
      <c r="J93" s="31">
        <f>IF($B7&gt;0,(J70*J72/$B7)+SUM(K71:$K71),0)/10000000</f>
      </c>
      <c r="K93" s="31">
        <v>368.23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