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G93" i="6"/>
  <c r="H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<sst xmlns="http://schemas.openxmlformats.org/spreadsheetml/2006/main" count="145" uniqueCount="93">
  <si>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</si>
  <si>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</si>
  <si>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</si>
  <si>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</si>
  <si>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</si>
  <si>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</si>
  <si>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</si>
  <si>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</si>
  <si>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</si>
  <si>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</si>
  <si>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</si>
  <si>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</si>
  <si>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</si>
  <si>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</si>
  <si>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</si>
  <si>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</si>
  <si>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</si>
  <si>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</si>
  <si>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</si>
  <si>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</si>
  <si>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</si>
  <si>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</si>
  <si>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</si>
  <si>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</si>
  <si>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</si>
  <si>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</si>
  <si>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</si>
  <si>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</si>
  <si>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</si>
  <si>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</si>
  <si>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</si>
  <si>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</si>
  <si>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</si>
  <si>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</si>
  <si>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</si>
  <si>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</si>
  <si>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</si>
  <si>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</si>
  <si>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</si>
  <si>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</si>
  <si>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</si>
  <si>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</si>
  <si>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</si>
  <si>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</si>
  <si>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</si>
  <si>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</si>
  <si>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</si>
  <si>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</si>
  <si>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</si>
  <si>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</si>
  <si>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</si>
  <si>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</si>
  <si>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</si>
  <si>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</si>
  <si>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</si>
  <si>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</si>
  <si>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</si>
  <si>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</si>
  <si>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</si>
  <si>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</si>
  <si>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</si>
  <si>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</si>
  <si>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</si>
  <si>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KILBURN ENGINEERING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</si>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</sst>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471.30</v>
      </c>
    </row>
    <row r="9" spans="1:11" x14ac:dyDescent="0.2">
      <c r="A9" s="5" t="s">
        <v>79</v>
      </c>
      <c r="B9">
        <v>2566.95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/>
      <c r="G16" s="16"/>
      <c r="H16" s="16"/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I17">
        <v>329.48</v>
      </c>
      <c r="J17">
        <v>424.46</v>
      </c>
      <c r="K17">
        <v>628.8</v>
      </c>
    </row>
    <row r="18" spans="1:1" s="9" customFormat="1" x14ac:dyDescent="0.2">
      <c r="A18" s="5" t="s">
        <v>80</v>
      </c>
      <c r="I18">
        <v>161.07</v>
      </c>
      <c r="J18">
        <v>181.15</v>
      </c>
      <c r="K18">
        <v>266.94</v>
      </c>
    </row>
    <row r="19" spans="1:1" s="9" customFormat="1" x14ac:dyDescent="0.2">
      <c r="A19" s="5" t="s">
        <v>81</v>
      </c>
      <c r="I19">
        <v>-4.34</v>
      </c>
      <c r="J19">
        <v>0.23</v>
      </c>
      <c r="K19">
        <v>-3.95</v>
      </c>
    </row>
    <row r="20" spans="1:1" s="9" customFormat="1" x14ac:dyDescent="0.2">
      <c r="A20" s="5" t="s">
        <v>82</v>
      </c>
      <c r="I20">
        <v>1.53</v>
      </c>
      <c r="J20">
        <v>2.88</v>
      </c>
    </row>
    <row r="21" spans="1:1" s="9" customFormat="1" x14ac:dyDescent="0.2">
      <c r="A21" s="5" t="s">
        <v>83</v>
      </c>
      <c r="I21">
        <v>37.25</v>
      </c>
      <c r="J21">
        <v>49.74</v>
      </c>
    </row>
    <row r="22" spans="1:1" s="9" customFormat="1" x14ac:dyDescent="0.2">
      <c r="A22" s="5" t="s">
        <v>84</v>
      </c>
      <c r="I22">
        <v>27.63</v>
      </c>
      <c r="J22">
        <v>50.39</v>
      </c>
      <c r="K22">
        <v>71.92</v>
      </c>
    </row>
    <row r="23" spans="1:1" s="9" customFormat="1" x14ac:dyDescent="0.2">
      <c r="A23" s="5" t="s">
        <v>85</v>
      </c>
      <c r="I23">
        <v>17.03</v>
      </c>
      <c r="J23">
        <v>31.46</v>
      </c>
    </row>
    <row r="24" spans="1:1" s="9" customFormat="1" x14ac:dyDescent="0.2">
      <c r="A24" s="5" t="s">
        <v>86</v>
      </c>
      <c r="I24">
        <v>4.04</v>
      </c>
      <c r="J24">
        <v>7.36</v>
      </c>
      <c r="K24">
        <v>138.86</v>
      </c>
    </row>
    <row r="25" spans="1:1" s="9" customFormat="1" x14ac:dyDescent="0.2">
      <c r="A25" s="9" t="s">
        <v>9</v>
      </c>
      <c r="I25">
        <v>3.66</v>
      </c>
      <c r="J25">
        <v>3.16</v>
      </c>
      <c r="K25">
        <v>15.71</v>
      </c>
    </row>
    <row r="26" spans="1:1" s="9" customFormat="1" x14ac:dyDescent="0.2">
      <c r="A26" s="9" t="s">
        <v>10</v>
      </c>
      <c r="I26">
        <v>3.46</v>
      </c>
      <c r="J26">
        <v>7.33</v>
      </c>
      <c r="K26">
        <v>11.66</v>
      </c>
    </row>
    <row r="27" spans="1:1" s="9" customFormat="1" x14ac:dyDescent="0.2">
      <c r="A27" s="9" t="s">
        <v>11</v>
      </c>
      <c r="I27">
        <v>9.86</v>
      </c>
      <c r="J27">
        <v>14.87</v>
      </c>
      <c r="K27">
        <v>15.06</v>
      </c>
    </row>
    <row r="28" spans="1:1" s="9" customFormat="1" x14ac:dyDescent="0.2">
      <c r="A28" s="9" t="s">
        <v>12</v>
      </c>
      <c r="I28">
        <v>66.93</v>
      </c>
      <c r="J28">
        <v>82.67</v>
      </c>
      <c r="K28">
        <v>136.12</v>
      </c>
    </row>
    <row r="29" spans="1:1" s="9" customFormat="1" x14ac:dyDescent="0.2">
      <c r="A29" s="9" t="s">
        <v>13</v>
      </c>
      <c r="I29">
        <v>16.39</v>
      </c>
      <c r="J29">
        <v>20.28</v>
      </c>
      <c r="K29">
        <v>39.93</v>
      </c>
    </row>
    <row r="30" spans="1:1" s="9" customFormat="1" x14ac:dyDescent="0.2">
      <c r="A30" s="9" t="s">
        <v>14</v>
      </c>
      <c r="I30">
        <v>50.54</v>
      </c>
      <c r="J30">
        <v>62.39</v>
      </c>
      <c r="K30">
        <v>96.2</v>
      </c>
    </row>
    <row r="31" spans="1:1" s="9" customFormat="1" x14ac:dyDescent="0.2">
      <c r="A31" s="9" t="s">
        <v>70</v>
      </c>
      <c r="I31">
        <v>8.36</v>
      </c>
      <c r="J31">
        <v>9.5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/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C42">
        <v>121.52</v>
      </c>
      <c r="D42">
        <v>85.48</v>
      </c>
      <c r="E42">
        <v>103.77</v>
      </c>
      <c r="F42">
        <v>108.27</v>
      </c>
      <c r="G42">
        <v>126.94</v>
      </c>
      <c r="H42">
        <v>129.25</v>
      </c>
      <c r="I42">
        <v>153.6</v>
      </c>
      <c r="J42">
        <v>156.78</v>
      </c>
      <c r="K42">
        <v>189.18</v>
      </c>
    </row>
    <row r="43" spans="1:11" s="9" customFormat="1" x14ac:dyDescent="0.2">
      <c r="A43" s="9" t="s">
        <v>7</v>
      </c>
      <c r="C43">
        <v>90.89</v>
      </c>
      <c r="D43">
        <v>67.03</v>
      </c>
      <c r="E43">
        <v>80.65</v>
      </c>
      <c r="F43">
        <v>84.79</v>
      </c>
      <c r="G43">
        <v>90.98</v>
      </c>
      <c r="H43">
        <v>95.94</v>
      </c>
      <c r="I43">
        <v>113.82</v>
      </c>
      <c r="J43">
        <v>120.69</v>
      </c>
      <c r="K43">
        <v>151.48</v>
      </c>
    </row>
    <row r="44" spans="1:11" s="9" customFormat="1" x14ac:dyDescent="0.2">
      <c r="A44" s="9" t="s">
        <v>9</v>
      </c>
      <c r="C44">
        <v>1.26</v>
      </c>
      <c r="D44">
        <v>0.65</v>
      </c>
      <c r="E44">
        <v>0.5</v>
      </c>
      <c r="F44">
        <v>1.15</v>
      </c>
      <c r="G44">
        <v>0.86</v>
      </c>
      <c r="H44">
        <v>2.53</v>
      </c>
      <c r="I44">
        <v>3.61</v>
      </c>
      <c r="J44">
        <v>2.15</v>
      </c>
      <c r="K44">
        <v>7.42</v>
      </c>
    </row>
    <row r="45" spans="1:11" s="9" customFormat="1" x14ac:dyDescent="0.2">
      <c r="A45" s="9" t="s">
        <v>10</v>
      </c>
      <c r="C45">
        <v>0.96</v>
      </c>
      <c r="D45">
        <v>1.39</v>
      </c>
      <c r="E45">
        <v>1.38</v>
      </c>
      <c r="F45">
        <v>2.0</v>
      </c>
      <c r="G45">
        <v>2.56</v>
      </c>
      <c r="H45">
        <v>2.81</v>
      </c>
      <c r="I45">
        <v>2.9</v>
      </c>
      <c r="J45">
        <v>3.0</v>
      </c>
      <c r="K45">
        <v>2.94</v>
      </c>
    </row>
    <row r="46" spans="1:11" s="9" customFormat="1" x14ac:dyDescent="0.2">
      <c r="A46" s="9" t="s">
        <v>11</v>
      </c>
      <c r="C46">
        <v>2.52</v>
      </c>
      <c r="D46">
        <v>2.98</v>
      </c>
      <c r="E46">
        <v>3.22</v>
      </c>
      <c r="F46">
        <v>3.12</v>
      </c>
      <c r="G46">
        <v>4.84</v>
      </c>
      <c r="H46">
        <v>3.38</v>
      </c>
      <c r="I46">
        <v>3.06</v>
      </c>
      <c r="J46">
        <v>3.24</v>
      </c>
      <c r="K46">
        <v>5.12</v>
      </c>
    </row>
    <row r="47" spans="1:11" s="9" customFormat="1" x14ac:dyDescent="0.2">
      <c r="A47" s="9" t="s">
        <v>12</v>
      </c>
      <c r="C47">
        <v>28.41</v>
      </c>
      <c r="D47">
        <v>14.73</v>
      </c>
      <c r="E47">
        <v>19.02</v>
      </c>
      <c r="F47">
        <v>19.51</v>
      </c>
      <c r="G47">
        <v>29.42</v>
      </c>
      <c r="H47">
        <v>29.65</v>
      </c>
      <c r="I47">
        <v>37.43</v>
      </c>
      <c r="J47">
        <v>32.0</v>
      </c>
      <c r="K47">
        <v>37.06</v>
      </c>
    </row>
    <row r="48" spans="1:11" s="9" customFormat="1" x14ac:dyDescent="0.2">
      <c r="A48" s="9" t="s">
        <v>13</v>
      </c>
      <c r="C48">
        <v>5.31</v>
      </c>
      <c r="D48">
        <v>3.14</v>
      </c>
      <c r="E48">
        <v>3.8</v>
      </c>
      <c r="F48">
        <v>4.33</v>
      </c>
      <c r="G48">
        <v>9.0</v>
      </c>
      <c r="H48">
        <v>8.34</v>
      </c>
      <c r="I48">
        <v>10.54</v>
      </c>
      <c r="J48">
        <v>8.84</v>
      </c>
      <c r="K48">
        <v>12.21</v>
      </c>
    </row>
    <row r="49" spans="1:11" s="9" customFormat="1" x14ac:dyDescent="0.2">
      <c r="A49" s="9" t="s">
        <v>14</v>
      </c>
      <c r="C49">
        <v>23.11</v>
      </c>
      <c r="D49">
        <v>11.59</v>
      </c>
      <c r="E49">
        <v>15.22</v>
      </c>
      <c r="F49">
        <v>15.17</v>
      </c>
      <c r="G49">
        <v>20.41</v>
      </c>
      <c r="H49">
        <v>21.31</v>
      </c>
      <c r="I49">
        <v>26.88</v>
      </c>
      <c r="J49">
        <v>23.16</v>
      </c>
      <c r="K49">
        <v>24.86</v>
      </c>
    </row>
    <row r="50" spans="1:11" x14ac:dyDescent="0.2">
      <c r="A50" s="9" t="s">
        <v>8</v>
      </c>
      <c r="C50">
        <v>30.63</v>
      </c>
      <c r="D50">
        <v>18.45</v>
      </c>
      <c r="E50">
        <v>23.12</v>
      </c>
      <c r="F50">
        <v>23.48</v>
      </c>
      <c r="G50">
        <v>35.96</v>
      </c>
      <c r="H50">
        <v>33.31</v>
      </c>
      <c r="I50">
        <v>39.78</v>
      </c>
      <c r="J50">
        <v>36.09</v>
      </c>
      <c r="K50">
        <v>37.7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/>
      <c r="G56" s="16"/>
      <c r="H56" s="16"/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I57">
        <v>41.82</v>
      </c>
      <c r="J57">
        <v>47.49</v>
      </c>
      <c r="K57">
        <v>52.96</v>
      </c>
    </row>
    <row r="58" spans="1:11" x14ac:dyDescent="0.2">
      <c r="A58" s="9" t="s">
        <v>25</v>
      </c>
      <c r="I58">
        <v>212.57</v>
      </c>
      <c r="J58">
        <v>425.03</v>
      </c>
      <c r="K58">
        <v>601.15</v>
      </c>
    </row>
    <row r="59" spans="1:11" x14ac:dyDescent="0.2">
      <c r="A59" s="9" t="s">
        <v>71</v>
      </c>
      <c r="I59">
        <v>85.05</v>
      </c>
      <c r="J59">
        <v>87.74</v>
      </c>
      <c r="K59">
        <v>89.99</v>
      </c>
    </row>
    <row r="60" spans="1:11" x14ac:dyDescent="0.2">
      <c r="A60" s="9" t="s">
        <v>72</v>
      </c>
      <c r="I60">
        <v>146.08</v>
      </c>
      <c r="J60">
        <v>170.52</v>
      </c>
      <c r="K60">
        <v>150.39</v>
      </c>
    </row>
    <row r="61" spans="1:11" s="1" customFormat="1" x14ac:dyDescent="0.2">
      <c r="A61" s="1" t="s">
        <v>26</v>
      </c>
      <c r="I61">
        <v>485.52</v>
      </c>
      <c r="J61">
        <v>730.78</v>
      </c>
      <c r="K61">
        <v>894.49</v>
      </c>
    </row>
    <row r="62" spans="1:11" x14ac:dyDescent="0.2">
      <c r="A62" s="9" t="s">
        <v>27</v>
      </c>
      <c r="I62">
        <v>159.07</v>
      </c>
      <c r="J62">
        <v>283.61</v>
      </c>
      <c r="K62">
        <v>291.87</v>
      </c>
    </row>
    <row r="63" spans="1:11" x14ac:dyDescent="0.2">
      <c r="A63" s="9" t="s">
        <v>28</v>
      </c>
      <c r="I63">
        <v>4.97</v>
      </c>
      <c r="J63">
        <v>5.08</v>
      </c>
      <c r="K63">
        <v>4.63</v>
      </c>
    </row>
    <row r="64" spans="1:11" x14ac:dyDescent="0.2">
      <c r="A64" s="9" t="s">
        <v>29</v>
      </c>
      <c r="I64">
        <v>9.24</v>
      </c>
      <c r="J64">
        <v>8.44</v>
      </c>
      <c r="K64">
        <v>7.32</v>
      </c>
    </row>
    <row r="65" spans="1:1" x14ac:dyDescent="0.2">
      <c r="A65" s="9" t="s">
        <v>73</v>
      </c>
      <c r="I65">
        <v>312.24</v>
      </c>
      <c r="J65">
        <v>433.65</v>
      </c>
      <c r="K65">
        <v>590.67</v>
      </c>
    </row>
    <row r="66" spans="1:1" s="1" customFormat="1" x14ac:dyDescent="0.2">
      <c r="A66" s="1" t="s">
        <v>26</v>
      </c>
      <c r="I66">
        <v>485.52</v>
      </c>
      <c r="J66">
        <v>730.78</v>
      </c>
      <c r="K66">
        <v>894.49</v>
      </c>
    </row>
    <row r="67" spans="1:1" s="9" customFormat="1" x14ac:dyDescent="0.2">
      <c r="A67" s="9" t="s">
        <v>78</v>
      </c>
      <c r="I67">
        <v>78.39</v>
      </c>
      <c r="J67">
        <v>105.48</v>
      </c>
      <c r="K67">
        <v>202.23</v>
      </c>
    </row>
    <row r="68" spans="1:1" x14ac:dyDescent="0.2">
      <c r="A68" s="9" t="s">
        <v>45</v>
      </c>
      <c r="I68">
        <v>30.9</v>
      </c>
      <c r="J68">
        <v>47.98</v>
      </c>
      <c r="K68">
        <v>46.32</v>
      </c>
    </row>
    <row r="69" spans="1:1" x14ac:dyDescent="0.2">
      <c r="A69" s="5" t="s">
        <v>87</v>
      </c>
      <c r="I69">
        <v>30.33</v>
      </c>
      <c r="J69">
        <v>27.04</v>
      </c>
      <c r="K69">
        <v>67.38</v>
      </c>
    </row>
    <row r="70" spans="1:1" x14ac:dyDescent="0.2">
      <c r="A70" s="5" t="s">
        <v>74</v>
      </c>
      <c r="I70">
        <v>41820358.0</v>
      </c>
      <c r="J70">
        <v>47487858.0</v>
      </c>
    </row>
    <row r="71" spans="1:1" x14ac:dyDescent="0.2">
      <c r="A71" s="5" t="s">
        <v>75</v>
      </c>
    </row>
    <row r="72" spans="1:1" x14ac:dyDescent="0.2">
      <c r="A72" s="5" t="s">
        <v>88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/>
      <c r="G81" s="16"/>
      <c r="H81" s="16"/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I82">
        <v>25.97</v>
      </c>
      <c r="J82">
        <v>-9.82</v>
      </c>
      <c r="K82">
        <v>-17.76</v>
      </c>
    </row>
    <row r="83" spans="1:11" s="9" customFormat="1" x14ac:dyDescent="0.2">
      <c r="A83" s="9" t="s">
        <v>33</v>
      </c>
      <c r="I83">
        <v>-99.91</v>
      </c>
      <c r="J83">
        <v>-102.68</v>
      </c>
      <c r="K83">
        <v>-23.91</v>
      </c>
    </row>
    <row r="84" spans="1:11" s="9" customFormat="1" x14ac:dyDescent="0.2">
      <c r="A84" s="9" t="s">
        <v>34</v>
      </c>
      <c r="I84">
        <v>73.92</v>
      </c>
      <c r="J84">
        <v>116.89</v>
      </c>
      <c r="K84">
        <v>68.15</v>
      </c>
    </row>
    <row r="85" spans="1:11" s="1" customFormat="1" x14ac:dyDescent="0.2">
      <c r="A85" s="9" t="s">
        <v>35</v>
      </c>
      <c r="I85">
        <v>-0.02</v>
      </c>
      <c r="J85">
        <v>4.39</v>
      </c>
      <c r="K85">
        <v>26.49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I90">
        <v>335.05</v>
      </c>
      <c r="J90">
        <v>406.75</v>
      </c>
      <c r="K90">
        <v>452.3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f>IF($B7&gt;0,(G70*G72/$B7)+SUM(H71:$K71),0)/10000000</f>
      </c>
      <c r="H93" s="31">
        <f>IF($B7&gt;0,(H70*H72/$B7)+SUM(I71:$K71),0)/10000000</f>
      </c>
      <c r="I93" s="31">
        <v>4.18</v>
      </c>
      <c r="J93" s="31">
        <v>4.75</v>
      </c>
      <c r="K93" s="31">
        <v>5.3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