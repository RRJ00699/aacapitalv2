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Compliance Team\1. Quant MF Compliances\1. QMML (MF Compliances)\1. Compliances\Annual\Commission to Distributors\"/>
    </mc:Choice>
  </mc:AlternateContent>
  <xr:revisionPtr revIDLastSave="0" documentId="13_ncr:1_{EFBE8564-25F8-4CF0-8BD3-F30A8F378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Sheet1!$A$4:$M$2505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90" i="1"/>
  <c r="M7" i="1"/>
  <c r="M8" i="1"/>
  <c r="M9" i="1"/>
  <c r="M10" i="1"/>
  <c r="M11" i="1"/>
  <c r="M12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8" i="1"/>
  <c r="M31" i="1"/>
  <c r="M34" i="1"/>
  <c r="M36" i="1"/>
  <c r="M37" i="1"/>
  <c r="M38" i="1"/>
  <c r="M40" i="1"/>
  <c r="M41" i="1"/>
  <c r="M42" i="1"/>
  <c r="M46" i="1"/>
  <c r="M48" i="1"/>
  <c r="M49" i="1"/>
  <c r="M50" i="1"/>
  <c r="M52" i="1"/>
  <c r="M53" i="1"/>
  <c r="M55" i="1"/>
  <c r="M56" i="1"/>
  <c r="M58" i="1"/>
  <c r="M63" i="1"/>
  <c r="M68" i="1"/>
  <c r="M69" i="1"/>
  <c r="M70" i="1"/>
  <c r="M72" i="1"/>
  <c r="M73" i="1"/>
  <c r="M74" i="1"/>
  <c r="M76" i="1"/>
  <c r="M77" i="1"/>
  <c r="M79" i="1"/>
  <c r="M82" i="1"/>
  <c r="M83" i="1"/>
  <c r="M84" i="1"/>
  <c r="M85" i="1"/>
  <c r="M86" i="1"/>
  <c r="M88" i="1"/>
  <c r="M89" i="1"/>
  <c r="M91" i="1"/>
  <c r="M92" i="1"/>
  <c r="M95" i="1"/>
  <c r="M96" i="1"/>
  <c r="M97" i="1"/>
  <c r="M101" i="1"/>
  <c r="M102" i="1"/>
  <c r="M104" i="1"/>
  <c r="M105" i="1"/>
  <c r="M107" i="1"/>
  <c r="M108" i="1"/>
  <c r="M109" i="1"/>
  <c r="M110" i="1"/>
  <c r="M112" i="1"/>
  <c r="M113" i="1"/>
  <c r="M114" i="1"/>
  <c r="M116" i="1"/>
  <c r="M118" i="1"/>
  <c r="M119" i="1"/>
  <c r="M123" i="1"/>
  <c r="M124" i="1"/>
  <c r="M128" i="1"/>
  <c r="M129" i="1"/>
  <c r="M131" i="1"/>
  <c r="M132" i="1"/>
  <c r="M133" i="1"/>
  <c r="M134" i="1"/>
  <c r="M135" i="1"/>
  <c r="M136" i="1"/>
  <c r="M137" i="1"/>
  <c r="M138" i="1"/>
  <c r="M139" i="1"/>
  <c r="M140" i="1"/>
  <c r="M142" i="1"/>
  <c r="M144" i="1"/>
  <c r="M145" i="1"/>
  <c r="M146" i="1"/>
  <c r="M147" i="1"/>
  <c r="M150" i="1"/>
  <c r="M152" i="1"/>
  <c r="M153" i="1"/>
  <c r="M154" i="1"/>
  <c r="M156" i="1"/>
  <c r="M157" i="1"/>
  <c r="M158" i="1"/>
  <c r="M159" i="1"/>
  <c r="M160" i="1"/>
  <c r="M161" i="1"/>
  <c r="M164" i="1"/>
  <c r="M165" i="1"/>
  <c r="M166" i="1"/>
  <c r="M167" i="1"/>
  <c r="M168" i="1"/>
  <c r="M169" i="1"/>
  <c r="M173" i="1"/>
  <c r="M174" i="1"/>
  <c r="M175" i="1"/>
  <c r="M176" i="1"/>
  <c r="M177" i="1"/>
  <c r="M178" i="1"/>
  <c r="M181" i="1"/>
  <c r="M182" i="1"/>
  <c r="M185" i="1"/>
  <c r="M186" i="1"/>
  <c r="M189" i="1"/>
  <c r="M190" i="1"/>
  <c r="M191" i="1"/>
  <c r="M194" i="1"/>
  <c r="M197" i="1"/>
  <c r="M199" i="1"/>
  <c r="M200" i="1"/>
  <c r="M203" i="1"/>
  <c r="M204" i="1"/>
  <c r="M205" i="1"/>
  <c r="M208" i="1"/>
  <c r="M209" i="1"/>
  <c r="M211" i="1"/>
  <c r="M213" i="1"/>
  <c r="M214" i="1"/>
  <c r="M215" i="1"/>
  <c r="M217" i="1"/>
  <c r="M220" i="1"/>
  <c r="M221" i="1"/>
  <c r="M223" i="1"/>
  <c r="M225" i="1"/>
  <c r="M228" i="1"/>
  <c r="M230" i="1"/>
  <c r="M233" i="1"/>
  <c r="M234" i="1"/>
  <c r="M236" i="1"/>
  <c r="M239" i="1"/>
  <c r="M240" i="1"/>
  <c r="M241" i="1"/>
  <c r="M242" i="1"/>
  <c r="M243" i="1"/>
  <c r="M245" i="1"/>
  <c r="M246" i="1"/>
  <c r="M248" i="1"/>
  <c r="M250" i="1"/>
  <c r="M256" i="1"/>
  <c r="M257" i="1"/>
  <c r="M258" i="1"/>
  <c r="M261" i="1"/>
  <c r="M263" i="1"/>
  <c r="M264" i="1"/>
  <c r="M266" i="1"/>
  <c r="M267" i="1"/>
  <c r="M268" i="1"/>
  <c r="M269" i="1"/>
  <c r="M270" i="1"/>
  <c r="M272" i="1"/>
  <c r="M273" i="1"/>
  <c r="M275" i="1"/>
  <c r="M277" i="1"/>
  <c r="M278" i="1"/>
  <c r="M279" i="1"/>
  <c r="M280" i="1"/>
  <c r="M281" i="1"/>
  <c r="M283" i="1"/>
  <c r="M284" i="1"/>
  <c r="M287" i="1"/>
  <c r="M290" i="1"/>
  <c r="M298" i="1"/>
  <c r="M299" i="1"/>
  <c r="M300" i="1"/>
  <c r="M301" i="1"/>
  <c r="M302" i="1"/>
  <c r="M304" i="1"/>
  <c r="M306" i="1"/>
  <c r="M307" i="1"/>
  <c r="M308" i="1"/>
  <c r="M311" i="1"/>
  <c r="M312" i="1"/>
  <c r="M314" i="1"/>
  <c r="M315" i="1"/>
  <c r="M316" i="1"/>
  <c r="M317" i="1"/>
  <c r="M318" i="1"/>
  <c r="M319" i="1"/>
  <c r="M320" i="1"/>
  <c r="M321" i="1"/>
  <c r="M323" i="1"/>
  <c r="M326" i="1"/>
  <c r="M328" i="1"/>
  <c r="M329" i="1"/>
  <c r="M330" i="1"/>
  <c r="M331" i="1"/>
  <c r="M333" i="1"/>
  <c r="M336" i="1"/>
  <c r="M337" i="1"/>
  <c r="M338" i="1"/>
  <c r="M339" i="1"/>
  <c r="M341" i="1"/>
  <c r="M342" i="1"/>
  <c r="M343" i="1"/>
  <c r="M344" i="1"/>
  <c r="M345" i="1"/>
  <c r="M346" i="1"/>
  <c r="M348" i="1"/>
  <c r="M349" i="1"/>
  <c r="M350" i="1"/>
  <c r="M352" i="1"/>
  <c r="M353" i="1"/>
  <c r="M354" i="1"/>
  <c r="M355" i="1"/>
  <c r="M362" i="1"/>
  <c r="M363" i="1"/>
  <c r="M364" i="1"/>
  <c r="M366" i="1"/>
  <c r="M367" i="1"/>
  <c r="M368" i="1"/>
  <c r="M369" i="1"/>
  <c r="M370" i="1"/>
  <c r="M371" i="1"/>
  <c r="M372" i="1"/>
  <c r="M374" i="1"/>
  <c r="M375" i="1"/>
  <c r="M377" i="1"/>
  <c r="M380" i="1"/>
  <c r="M382" i="1"/>
  <c r="M383" i="1"/>
  <c r="M385" i="1"/>
  <c r="M387" i="1"/>
  <c r="M389" i="1"/>
  <c r="M391" i="1"/>
  <c r="M392" i="1"/>
  <c r="M393" i="1"/>
  <c r="M394" i="1"/>
  <c r="M395" i="1"/>
  <c r="M398" i="1"/>
  <c r="M401" i="1"/>
  <c r="M405" i="1"/>
  <c r="M406" i="1"/>
  <c r="M407" i="1"/>
  <c r="M408" i="1"/>
  <c r="M409" i="1"/>
  <c r="M410" i="1"/>
  <c r="M411" i="1"/>
  <c r="M413" i="1"/>
  <c r="M414" i="1"/>
  <c r="M415" i="1"/>
  <c r="M417" i="1"/>
  <c r="M426" i="1"/>
  <c r="M427" i="1"/>
  <c r="M428" i="1"/>
  <c r="M429" i="1"/>
  <c r="M430" i="1"/>
  <c r="M432" i="1"/>
  <c r="M433" i="1"/>
  <c r="M434" i="1"/>
  <c r="M435" i="1"/>
  <c r="M436" i="1"/>
  <c r="M438" i="1"/>
  <c r="M440" i="1"/>
  <c r="M441" i="1"/>
  <c r="M443" i="1"/>
  <c r="M445" i="1"/>
  <c r="M446" i="1"/>
  <c r="M447" i="1"/>
  <c r="M449" i="1"/>
  <c r="M450" i="1"/>
  <c r="M452" i="1"/>
  <c r="M453" i="1"/>
  <c r="M455" i="1"/>
  <c r="M458" i="1"/>
  <c r="M459" i="1"/>
  <c r="M460" i="1"/>
  <c r="M461" i="1"/>
  <c r="M463" i="1"/>
  <c r="M465" i="1"/>
  <c r="M467" i="1"/>
  <c r="M468" i="1"/>
  <c r="M470" i="1"/>
  <c r="M471" i="1"/>
  <c r="M473" i="1"/>
  <c r="M474" i="1"/>
  <c r="M476" i="1"/>
  <c r="M477" i="1"/>
  <c r="M479" i="1"/>
  <c r="M480" i="1"/>
  <c r="M481" i="1"/>
  <c r="M483" i="1"/>
  <c r="M484" i="1"/>
  <c r="M485" i="1"/>
  <c r="M486" i="1"/>
  <c r="M489" i="1"/>
  <c r="M490" i="1"/>
  <c r="M493" i="1"/>
  <c r="M494" i="1"/>
  <c r="M496" i="1"/>
  <c r="M497" i="1"/>
  <c r="M498" i="1"/>
  <c r="M500" i="1"/>
  <c r="M501" i="1"/>
  <c r="M502" i="1"/>
  <c r="M504" i="1"/>
  <c r="M505" i="1"/>
  <c r="M506" i="1"/>
  <c r="M507" i="1"/>
  <c r="M509" i="1"/>
  <c r="M511" i="1"/>
  <c r="M512" i="1"/>
  <c r="M513" i="1"/>
  <c r="M514" i="1"/>
  <c r="M515" i="1"/>
  <c r="M516" i="1"/>
  <c r="M517" i="1"/>
  <c r="M518" i="1"/>
  <c r="M521" i="1"/>
  <c r="M525" i="1"/>
  <c r="M526" i="1"/>
  <c r="M527" i="1"/>
  <c r="M528" i="1"/>
  <c r="M530" i="1"/>
  <c r="M531" i="1"/>
  <c r="M532" i="1"/>
  <c r="M533" i="1"/>
  <c r="M535" i="1"/>
  <c r="M537" i="1"/>
  <c r="M538" i="1"/>
  <c r="M541" i="1"/>
  <c r="M542" i="1"/>
  <c r="M546" i="1"/>
  <c r="M547" i="1"/>
  <c r="M549" i="1"/>
  <c r="M551" i="1"/>
  <c r="M555" i="1"/>
  <c r="M556" i="1"/>
  <c r="M557" i="1"/>
  <c r="M558" i="1"/>
  <c r="M559" i="1"/>
  <c r="M563" i="1"/>
  <c r="M564" i="1"/>
  <c r="M565" i="1"/>
  <c r="M566" i="1"/>
  <c r="M568" i="1"/>
  <c r="M570" i="1"/>
  <c r="M572" i="1"/>
  <c r="M573" i="1"/>
  <c r="M576" i="1"/>
  <c r="M581" i="1"/>
  <c r="M586" i="1"/>
  <c r="M588" i="1"/>
  <c r="M592" i="1"/>
  <c r="M598" i="1"/>
  <c r="M599" i="1"/>
  <c r="M600" i="1"/>
  <c r="M601" i="1"/>
  <c r="M603" i="1"/>
  <c r="M604" i="1"/>
  <c r="M606" i="1"/>
  <c r="M607" i="1"/>
  <c r="M608" i="1"/>
  <c r="M610" i="1"/>
  <c r="M611" i="1"/>
  <c r="M615" i="1"/>
  <c r="M616" i="1"/>
  <c r="M618" i="1"/>
  <c r="M621" i="1"/>
  <c r="M622" i="1"/>
  <c r="M623" i="1"/>
  <c r="M624" i="1"/>
  <c r="M625" i="1"/>
  <c r="M627" i="1"/>
  <c r="M628" i="1"/>
  <c r="M629" i="1"/>
  <c r="M630" i="1"/>
  <c r="M632" i="1"/>
  <c r="M633" i="1"/>
  <c r="M634" i="1"/>
  <c r="M635" i="1"/>
  <c r="M637" i="1"/>
  <c r="M638" i="1"/>
  <c r="M639" i="1"/>
  <c r="M640" i="1"/>
  <c r="M643" i="1"/>
  <c r="M644" i="1"/>
  <c r="M646" i="1"/>
  <c r="M647" i="1"/>
  <c r="M650" i="1"/>
  <c r="M651" i="1"/>
  <c r="M652" i="1"/>
  <c r="M653" i="1"/>
  <c r="M654" i="1"/>
  <c r="M655" i="1"/>
  <c r="M656" i="1"/>
  <c r="M657" i="1"/>
  <c r="M658" i="1"/>
  <c r="M659" i="1"/>
  <c r="M660" i="1"/>
  <c r="M662" i="1"/>
  <c r="M664" i="1"/>
  <c r="M665" i="1"/>
  <c r="M666" i="1"/>
  <c r="M667" i="1"/>
  <c r="M668" i="1"/>
  <c r="M669" i="1"/>
  <c r="M670" i="1"/>
  <c r="M671" i="1"/>
  <c r="M672" i="1"/>
  <c r="M673" i="1"/>
  <c r="M675" i="1"/>
  <c r="M676" i="1"/>
  <c r="M677" i="1"/>
  <c r="M679" i="1"/>
  <c r="M680" i="1"/>
  <c r="M684" i="1"/>
  <c r="M685" i="1"/>
  <c r="M686" i="1"/>
  <c r="M687" i="1"/>
  <c r="M688" i="1"/>
  <c r="M690" i="1"/>
  <c r="M691" i="1"/>
  <c r="M693" i="1"/>
  <c r="M694" i="1"/>
  <c r="M696" i="1"/>
  <c r="M697" i="1"/>
  <c r="M698" i="1"/>
  <c r="M699" i="1"/>
  <c r="M700" i="1"/>
  <c r="M701" i="1"/>
  <c r="M702" i="1"/>
  <c r="M706" i="1"/>
  <c r="M708" i="1"/>
  <c r="M710" i="1"/>
  <c r="M711" i="1"/>
  <c r="M712" i="1"/>
  <c r="M713" i="1"/>
  <c r="M718" i="1"/>
  <c r="M719" i="1"/>
  <c r="M720" i="1"/>
  <c r="M721" i="1"/>
  <c r="M722" i="1"/>
  <c r="M725" i="1"/>
  <c r="M726" i="1"/>
  <c r="M727" i="1"/>
  <c r="M728" i="1"/>
  <c r="M729" i="1"/>
  <c r="M731" i="1"/>
  <c r="M733" i="1"/>
  <c r="M734" i="1"/>
  <c r="M738" i="1"/>
  <c r="M741" i="1"/>
  <c r="M742" i="1"/>
  <c r="M743" i="1"/>
  <c r="M745" i="1"/>
  <c r="M746" i="1"/>
  <c r="M748" i="1"/>
  <c r="M749" i="1"/>
  <c r="M750" i="1"/>
  <c r="M751" i="1"/>
  <c r="M752" i="1"/>
  <c r="M755" i="1"/>
  <c r="M756" i="1"/>
  <c r="M757" i="1"/>
  <c r="M758" i="1"/>
  <c r="M759" i="1"/>
  <c r="M761" i="1"/>
  <c r="M762" i="1"/>
  <c r="M763" i="1"/>
  <c r="M765" i="1"/>
  <c r="M766" i="1"/>
  <c r="M767" i="1"/>
  <c r="M769" i="1"/>
  <c r="M770" i="1"/>
  <c r="M772" i="1"/>
  <c r="M773" i="1"/>
  <c r="M774" i="1"/>
  <c r="M775" i="1"/>
  <c r="M776" i="1"/>
  <c r="M778" i="1"/>
  <c r="M779" i="1"/>
  <c r="M780" i="1"/>
  <c r="M782" i="1"/>
  <c r="M783" i="1"/>
  <c r="M784" i="1"/>
  <c r="M785" i="1"/>
  <c r="M787" i="1"/>
  <c r="M788" i="1"/>
  <c r="M790" i="1"/>
  <c r="M791" i="1"/>
  <c r="M793" i="1"/>
  <c r="M795" i="1"/>
  <c r="M796" i="1"/>
  <c r="M798" i="1"/>
  <c r="M799" i="1"/>
  <c r="M800" i="1"/>
  <c r="M803" i="1"/>
  <c r="M804" i="1"/>
  <c r="M805" i="1"/>
  <c r="M806" i="1"/>
  <c r="M807" i="1"/>
  <c r="M809" i="1"/>
  <c r="M810" i="1"/>
  <c r="M811" i="1"/>
  <c r="M813" i="1"/>
  <c r="M815" i="1"/>
  <c r="M818" i="1"/>
  <c r="M819" i="1"/>
  <c r="M821" i="1"/>
  <c r="M822" i="1"/>
  <c r="M823" i="1"/>
  <c r="M824" i="1"/>
  <c r="M827" i="1"/>
  <c r="M828" i="1"/>
  <c r="M829" i="1"/>
  <c r="M832" i="1"/>
  <c r="M833" i="1"/>
  <c r="M834" i="1"/>
  <c r="M836" i="1"/>
  <c r="M838" i="1"/>
  <c r="M839" i="1"/>
  <c r="M840" i="1"/>
  <c r="M841" i="1"/>
  <c r="M842" i="1"/>
  <c r="M843" i="1"/>
  <c r="M845" i="1"/>
  <c r="M848" i="1"/>
  <c r="M849" i="1"/>
  <c r="M850" i="1"/>
  <c r="M852" i="1"/>
  <c r="M853" i="1"/>
  <c r="M855" i="1"/>
  <c r="M856" i="1"/>
  <c r="M858" i="1"/>
  <c r="M859" i="1"/>
  <c r="M863" i="1"/>
  <c r="M865" i="1"/>
  <c r="M868" i="1"/>
  <c r="M870" i="1"/>
  <c r="M873" i="1"/>
  <c r="M874" i="1"/>
  <c r="M876" i="1"/>
  <c r="M879" i="1"/>
  <c r="M881" i="1"/>
  <c r="M882" i="1"/>
  <c r="M884" i="1"/>
  <c r="M888" i="1"/>
  <c r="M890" i="1"/>
  <c r="M891" i="1"/>
  <c r="M893" i="1"/>
  <c r="M894" i="1"/>
  <c r="M897" i="1"/>
  <c r="M898" i="1"/>
  <c r="M899" i="1"/>
  <c r="M901" i="1"/>
  <c r="M902" i="1"/>
  <c r="M904" i="1"/>
  <c r="M905" i="1"/>
  <c r="M909" i="1"/>
  <c r="M911" i="1"/>
  <c r="M914" i="1"/>
  <c r="M915" i="1"/>
  <c r="M916" i="1"/>
  <c r="M917" i="1"/>
  <c r="M918" i="1"/>
  <c r="M919" i="1"/>
  <c r="M920" i="1"/>
  <c r="M921" i="1"/>
  <c r="M923" i="1"/>
  <c r="M924" i="1"/>
  <c r="M925" i="1"/>
  <c r="M926" i="1"/>
  <c r="M927" i="1"/>
  <c r="M928" i="1"/>
  <c r="M930" i="1"/>
  <c r="M932" i="1"/>
  <c r="M933" i="1"/>
  <c r="M934" i="1"/>
  <c r="M938" i="1"/>
  <c r="M939" i="1"/>
  <c r="M941" i="1"/>
  <c r="M945" i="1"/>
  <c r="M946" i="1"/>
  <c r="M947" i="1"/>
  <c r="M951" i="1"/>
  <c r="M953" i="1"/>
  <c r="M954" i="1"/>
  <c r="M956" i="1"/>
  <c r="M957" i="1"/>
  <c r="M958" i="1"/>
  <c r="M961" i="1"/>
  <c r="M962" i="1"/>
  <c r="M964" i="1"/>
  <c r="M966" i="1"/>
  <c r="M968" i="1"/>
  <c r="M969" i="1"/>
  <c r="M972" i="1"/>
  <c r="M973" i="1"/>
  <c r="M974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90" i="1"/>
  <c r="M991" i="1"/>
  <c r="M992" i="1"/>
  <c r="M997" i="1"/>
  <c r="M998" i="1"/>
  <c r="M999" i="1"/>
  <c r="M1001" i="1"/>
  <c r="M1002" i="1"/>
  <c r="M1003" i="1"/>
  <c r="M1004" i="1"/>
  <c r="M1006" i="1"/>
  <c r="M1007" i="1"/>
  <c r="M1010" i="1"/>
  <c r="M1011" i="1"/>
  <c r="M1012" i="1"/>
  <c r="M1013" i="1"/>
  <c r="M1014" i="1"/>
  <c r="M1017" i="1"/>
  <c r="M1018" i="1"/>
  <c r="M1019" i="1"/>
  <c r="M1020" i="1"/>
  <c r="M1021" i="1"/>
  <c r="M1022" i="1"/>
  <c r="M1023" i="1"/>
  <c r="M1025" i="1"/>
  <c r="M1026" i="1"/>
  <c r="M1027" i="1"/>
  <c r="M1028" i="1"/>
  <c r="M1029" i="1"/>
  <c r="M1031" i="1"/>
  <c r="M1032" i="1"/>
  <c r="M1033" i="1"/>
  <c r="M1034" i="1"/>
  <c r="M1036" i="1"/>
  <c r="M1037" i="1"/>
  <c r="M1038" i="1"/>
  <c r="M1039" i="1"/>
  <c r="M1040" i="1"/>
  <c r="M1042" i="1"/>
  <c r="M1043" i="1"/>
  <c r="M1044" i="1"/>
  <c r="M1045" i="1"/>
  <c r="M1046" i="1"/>
  <c r="M1049" i="1"/>
  <c r="M1050" i="1"/>
  <c r="M1051" i="1"/>
  <c r="M1055" i="1"/>
  <c r="M1056" i="1"/>
  <c r="M1057" i="1"/>
  <c r="M1058" i="1"/>
  <c r="M1059" i="1"/>
  <c r="M1060" i="1"/>
  <c r="M1061" i="1"/>
  <c r="M1062" i="1"/>
  <c r="M1064" i="1"/>
  <c r="M1065" i="1"/>
  <c r="M1066" i="1"/>
  <c r="M1067" i="1"/>
  <c r="M1068" i="1"/>
  <c r="M1069" i="1"/>
  <c r="M1070" i="1"/>
  <c r="M1071" i="1"/>
  <c r="M1074" i="1"/>
  <c r="M1075" i="1"/>
  <c r="M1076" i="1"/>
  <c r="M1077" i="1"/>
  <c r="M1078" i="1"/>
  <c r="M1080" i="1"/>
  <c r="M1081" i="1"/>
  <c r="M1082" i="1"/>
  <c r="M1083" i="1"/>
  <c r="M1084" i="1"/>
  <c r="M1085" i="1"/>
  <c r="M1086" i="1"/>
  <c r="M1088" i="1"/>
  <c r="M1089" i="1"/>
  <c r="M1090" i="1"/>
  <c r="M1093" i="1"/>
  <c r="M1094" i="1"/>
  <c r="M1095" i="1"/>
  <c r="M1096" i="1"/>
  <c r="M1098" i="1"/>
  <c r="M1099" i="1"/>
  <c r="M1100" i="1"/>
  <c r="M1101" i="1"/>
  <c r="M1102" i="1"/>
  <c r="M1103" i="1"/>
  <c r="M1104" i="1"/>
  <c r="M1106" i="1"/>
  <c r="M1110" i="1"/>
  <c r="M1111" i="1"/>
  <c r="M1113" i="1"/>
  <c r="M1114" i="1"/>
  <c r="M1115" i="1"/>
  <c r="M1116" i="1"/>
  <c r="M1117" i="1"/>
  <c r="M1118" i="1"/>
  <c r="M1120" i="1"/>
  <c r="M1122" i="1"/>
  <c r="M1123" i="1"/>
  <c r="M1125" i="1"/>
  <c r="M1126" i="1"/>
  <c r="M1127" i="1"/>
  <c r="M1130" i="1"/>
  <c r="M1131" i="1"/>
  <c r="M1134" i="1"/>
  <c r="M1135" i="1"/>
  <c r="M1136" i="1"/>
  <c r="M1139" i="1"/>
  <c r="M1141" i="1"/>
  <c r="M1144" i="1"/>
  <c r="M1145" i="1"/>
  <c r="M1146" i="1"/>
  <c r="M1147" i="1"/>
  <c r="M1149" i="1"/>
  <c r="M1150" i="1"/>
  <c r="M1152" i="1"/>
  <c r="M1153" i="1"/>
  <c r="M1154" i="1"/>
  <c r="M1155" i="1"/>
  <c r="M1156" i="1"/>
  <c r="M1157" i="1"/>
  <c r="M1158" i="1"/>
  <c r="M1160" i="1"/>
  <c r="M1161" i="1"/>
  <c r="M1163" i="1"/>
  <c r="M1164" i="1"/>
  <c r="M1165" i="1"/>
  <c r="M1168" i="1"/>
  <c r="M1169" i="1"/>
  <c r="M1171" i="1"/>
  <c r="M1172" i="1"/>
  <c r="M1173" i="1"/>
  <c r="M1175" i="1"/>
  <c r="M1176" i="1"/>
  <c r="M1178" i="1"/>
  <c r="M1179" i="1"/>
  <c r="M1180" i="1"/>
  <c r="M1182" i="1"/>
  <c r="M1184" i="1"/>
  <c r="M1185" i="1"/>
  <c r="M1186" i="1"/>
  <c r="M1187" i="1"/>
  <c r="M1189" i="1"/>
  <c r="M1190" i="1"/>
  <c r="M1191" i="1"/>
  <c r="M1192" i="1"/>
  <c r="M1193" i="1"/>
  <c r="M1194" i="1"/>
  <c r="M1196" i="1"/>
  <c r="M1197" i="1"/>
  <c r="M1198" i="1"/>
  <c r="M1199" i="1"/>
  <c r="M1201" i="1"/>
  <c r="M1203" i="1"/>
  <c r="M1205" i="1"/>
  <c r="M1208" i="1"/>
  <c r="M1209" i="1"/>
  <c r="M1210" i="1"/>
  <c r="M1211" i="1"/>
  <c r="M1213" i="1"/>
  <c r="M1214" i="1"/>
  <c r="M1215" i="1"/>
  <c r="M1218" i="1"/>
  <c r="M1219" i="1"/>
  <c r="M1220" i="1"/>
  <c r="M1221" i="1"/>
  <c r="M1222" i="1"/>
  <c r="M1223" i="1"/>
  <c r="M1225" i="1"/>
  <c r="M1226" i="1"/>
  <c r="M1227" i="1"/>
  <c r="M1228" i="1"/>
  <c r="M1229" i="1"/>
  <c r="M1230" i="1"/>
  <c r="M1231" i="1"/>
  <c r="M1232" i="1"/>
  <c r="M1234" i="1"/>
  <c r="M1235" i="1"/>
  <c r="M1236" i="1"/>
  <c r="M1240" i="1"/>
  <c r="M1242" i="1"/>
  <c r="M1243" i="1"/>
  <c r="M1245" i="1"/>
  <c r="M1247" i="1"/>
  <c r="M1248" i="1"/>
  <c r="M1249" i="1"/>
  <c r="M1250" i="1"/>
  <c r="M1252" i="1"/>
  <c r="M1253" i="1"/>
  <c r="M1254" i="1"/>
  <c r="M1255" i="1"/>
  <c r="M1256" i="1"/>
  <c r="M1263" i="1"/>
  <c r="M1264" i="1"/>
  <c r="M1265" i="1"/>
  <c r="M1266" i="1"/>
  <c r="M1268" i="1"/>
  <c r="M1269" i="1"/>
  <c r="M1270" i="1"/>
  <c r="M1271" i="1"/>
  <c r="M1272" i="1"/>
  <c r="M1274" i="1"/>
  <c r="M1275" i="1"/>
  <c r="M1277" i="1"/>
  <c r="M1281" i="1"/>
  <c r="M1282" i="1"/>
  <c r="M1283" i="1"/>
  <c r="M1284" i="1"/>
  <c r="M1285" i="1"/>
  <c r="M1286" i="1"/>
  <c r="M1288" i="1"/>
  <c r="M1291" i="1"/>
  <c r="M1292" i="1"/>
  <c r="M1293" i="1"/>
  <c r="M1295" i="1"/>
  <c r="M1297" i="1"/>
  <c r="M1300" i="1"/>
  <c r="M1302" i="1"/>
  <c r="M1303" i="1"/>
  <c r="M1306" i="1"/>
  <c r="M1307" i="1"/>
  <c r="M1308" i="1"/>
  <c r="M1309" i="1"/>
  <c r="M1310" i="1"/>
  <c r="M1312" i="1"/>
  <c r="M1313" i="1"/>
  <c r="M1315" i="1"/>
  <c r="M1316" i="1"/>
  <c r="M1317" i="1"/>
  <c r="M1319" i="1"/>
  <c r="M1320" i="1"/>
  <c r="M1321" i="1"/>
  <c r="M1322" i="1"/>
  <c r="M1324" i="1"/>
  <c r="M1325" i="1"/>
  <c r="M1326" i="1"/>
  <c r="M1327" i="1"/>
  <c r="M1329" i="1"/>
  <c r="M1330" i="1"/>
  <c r="M1331" i="1"/>
  <c r="M1332" i="1"/>
  <c r="M1336" i="1"/>
  <c r="M1338" i="1"/>
  <c r="M1340" i="1"/>
  <c r="M1342" i="1"/>
  <c r="M1344" i="1"/>
  <c r="M1345" i="1"/>
  <c r="M1346" i="1"/>
  <c r="M1347" i="1"/>
  <c r="M1349" i="1"/>
  <c r="M1351" i="1"/>
  <c r="M1352" i="1"/>
  <c r="M1353" i="1"/>
  <c r="M1354" i="1"/>
  <c r="M1355" i="1"/>
  <c r="M1356" i="1"/>
  <c r="M1357" i="1"/>
  <c r="M1358" i="1"/>
  <c r="M1362" i="1"/>
  <c r="M1364" i="1"/>
  <c r="M1365" i="1"/>
  <c r="M1366" i="1"/>
  <c r="M1367" i="1"/>
  <c r="M1369" i="1"/>
  <c r="M1371" i="1"/>
  <c r="M1373" i="1"/>
  <c r="M1374" i="1"/>
  <c r="M1375" i="1"/>
  <c r="M1376" i="1"/>
  <c r="M1380" i="1"/>
  <c r="M1381" i="1"/>
  <c r="M1383" i="1"/>
  <c r="M1387" i="1"/>
  <c r="M1388" i="1"/>
  <c r="M1389" i="1"/>
  <c r="M1391" i="1"/>
  <c r="M1392" i="1"/>
  <c r="M1393" i="1"/>
  <c r="M1394" i="1"/>
  <c r="M1396" i="1"/>
  <c r="M1397" i="1"/>
  <c r="M1398" i="1"/>
  <c r="M1399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4" i="1"/>
  <c r="M1415" i="1"/>
  <c r="M1416" i="1"/>
  <c r="M1417" i="1"/>
  <c r="M1421" i="1"/>
  <c r="M1424" i="1"/>
  <c r="M1426" i="1"/>
  <c r="M1427" i="1"/>
  <c r="M1428" i="1"/>
  <c r="M1429" i="1"/>
  <c r="M1430" i="1"/>
  <c r="M1431" i="1"/>
  <c r="M1435" i="1"/>
  <c r="M1436" i="1"/>
  <c r="M1437" i="1"/>
  <c r="M1439" i="1"/>
  <c r="M1440" i="1"/>
  <c r="M1441" i="1"/>
  <c r="M1442" i="1"/>
  <c r="M1445" i="1"/>
  <c r="M1446" i="1"/>
  <c r="M1447" i="1"/>
  <c r="M1451" i="1"/>
  <c r="M1452" i="1"/>
  <c r="M1453" i="1"/>
  <c r="M1454" i="1"/>
  <c r="M1456" i="1"/>
  <c r="M1457" i="1"/>
  <c r="M1458" i="1"/>
  <c r="M1461" i="1"/>
  <c r="M1462" i="1"/>
  <c r="M1463" i="1"/>
  <c r="M1464" i="1"/>
  <c r="M1466" i="1"/>
  <c r="M1471" i="1"/>
  <c r="M1472" i="1"/>
  <c r="M1473" i="1"/>
  <c r="M1474" i="1"/>
  <c r="M1477" i="1"/>
  <c r="M1478" i="1"/>
  <c r="M1479" i="1"/>
  <c r="M1480" i="1"/>
  <c r="M1481" i="1"/>
  <c r="M1484" i="1"/>
  <c r="M1485" i="1"/>
  <c r="M1489" i="1"/>
  <c r="M1490" i="1"/>
  <c r="M1492" i="1"/>
  <c r="M1493" i="1"/>
  <c r="M1494" i="1"/>
  <c r="M1495" i="1"/>
  <c r="M1496" i="1"/>
  <c r="M1497" i="1"/>
  <c r="M1501" i="1"/>
  <c r="M1502" i="1"/>
  <c r="M1504" i="1"/>
  <c r="M1505" i="1"/>
  <c r="M1508" i="1"/>
  <c r="M1509" i="1"/>
  <c r="M1510" i="1"/>
  <c r="M1511" i="1"/>
  <c r="M1512" i="1"/>
  <c r="M1514" i="1"/>
  <c r="M1516" i="1"/>
  <c r="M1520" i="1"/>
  <c r="M1521" i="1"/>
  <c r="M1528" i="1"/>
  <c r="M1529" i="1"/>
  <c r="M1530" i="1"/>
  <c r="M1533" i="1"/>
  <c r="M1534" i="1"/>
  <c r="M1535" i="1"/>
  <c r="M1536" i="1"/>
  <c r="M1537" i="1"/>
  <c r="M1538" i="1"/>
  <c r="M1539" i="1"/>
  <c r="M1540" i="1"/>
  <c r="M1542" i="1"/>
  <c r="M1544" i="1"/>
  <c r="M1546" i="1"/>
  <c r="M1550" i="1"/>
  <c r="M1553" i="1"/>
  <c r="M1558" i="1"/>
  <c r="M1559" i="1"/>
  <c r="M1562" i="1"/>
  <c r="M1563" i="1"/>
  <c r="M1564" i="1"/>
  <c r="M1567" i="1"/>
  <c r="M1568" i="1"/>
  <c r="M1569" i="1"/>
  <c r="M1570" i="1"/>
  <c r="M1572" i="1"/>
  <c r="M1573" i="1"/>
  <c r="M1574" i="1"/>
  <c r="M1575" i="1"/>
  <c r="M1581" i="1"/>
  <c r="M1584" i="1"/>
  <c r="M1585" i="1"/>
  <c r="M1588" i="1"/>
  <c r="M1591" i="1"/>
  <c r="M1592" i="1"/>
  <c r="M1593" i="1"/>
  <c r="M1595" i="1"/>
  <c r="M1596" i="1"/>
  <c r="M1599" i="1"/>
  <c r="M1600" i="1"/>
  <c r="M1604" i="1"/>
  <c r="M1605" i="1"/>
  <c r="M1608" i="1"/>
  <c r="M1609" i="1"/>
  <c r="M1610" i="1"/>
  <c r="M1611" i="1"/>
  <c r="M1612" i="1"/>
  <c r="M1613" i="1"/>
  <c r="M1614" i="1"/>
  <c r="M1615" i="1"/>
  <c r="M1616" i="1"/>
  <c r="M1619" i="1"/>
  <c r="M1620" i="1"/>
  <c r="M1621" i="1"/>
  <c r="M1623" i="1"/>
  <c r="M1624" i="1"/>
  <c r="M1625" i="1"/>
  <c r="M1626" i="1"/>
  <c r="M1627" i="1"/>
  <c r="M1628" i="1"/>
  <c r="M1630" i="1"/>
  <c r="M1631" i="1"/>
  <c r="M1632" i="1"/>
  <c r="M1634" i="1"/>
  <c r="M1635" i="1"/>
  <c r="M1637" i="1"/>
  <c r="M1640" i="1"/>
  <c r="M1641" i="1"/>
  <c r="M1643" i="1"/>
  <c r="M1646" i="1"/>
  <c r="M1647" i="1"/>
  <c r="M1648" i="1"/>
  <c r="M1649" i="1"/>
  <c r="M1650" i="1"/>
  <c r="M1653" i="1"/>
  <c r="M1654" i="1"/>
  <c r="M1656" i="1"/>
  <c r="M1657" i="1"/>
  <c r="M1658" i="1"/>
  <c r="M1659" i="1"/>
  <c r="M1662" i="1"/>
  <c r="M1663" i="1"/>
  <c r="M1664" i="1"/>
  <c r="M1666" i="1"/>
  <c r="M1667" i="1"/>
  <c r="M1669" i="1"/>
  <c r="M1670" i="1"/>
  <c r="M1671" i="1"/>
  <c r="M1672" i="1"/>
  <c r="M1674" i="1"/>
  <c r="M1675" i="1"/>
  <c r="M1676" i="1"/>
  <c r="M1678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3" i="1"/>
  <c r="M1695" i="1"/>
  <c r="M1696" i="1"/>
  <c r="M1697" i="1"/>
  <c r="M1698" i="1"/>
  <c r="M1701" i="1"/>
  <c r="M1702" i="1"/>
  <c r="M1703" i="1"/>
  <c r="M1705" i="1"/>
  <c r="M1706" i="1"/>
  <c r="M1707" i="1"/>
  <c r="M1708" i="1"/>
  <c r="M1709" i="1"/>
  <c r="M1710" i="1"/>
  <c r="M1713" i="1"/>
  <c r="M1714" i="1"/>
  <c r="M1715" i="1"/>
  <c r="M1716" i="1"/>
  <c r="M1718" i="1"/>
  <c r="M1719" i="1"/>
  <c r="M1720" i="1"/>
  <c r="M1721" i="1"/>
  <c r="M1722" i="1"/>
  <c r="M1723" i="1"/>
  <c r="M1724" i="1"/>
  <c r="M1727" i="1"/>
  <c r="M1730" i="1"/>
  <c r="M1731" i="1"/>
  <c r="M1733" i="1"/>
  <c r="M1735" i="1"/>
  <c r="M1738" i="1"/>
  <c r="M1740" i="1"/>
  <c r="M1741" i="1"/>
  <c r="M1742" i="1"/>
  <c r="M1743" i="1"/>
  <c r="M1744" i="1"/>
  <c r="M1745" i="1"/>
  <c r="M1746" i="1"/>
  <c r="M1748" i="1"/>
  <c r="M1753" i="1"/>
  <c r="M1756" i="1"/>
  <c r="M1758" i="1"/>
  <c r="M1759" i="1"/>
  <c r="M1760" i="1"/>
  <c r="M1762" i="1"/>
  <c r="M1763" i="1"/>
  <c r="M1765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1" i="1"/>
  <c r="M1782" i="1"/>
  <c r="M1783" i="1"/>
  <c r="M1784" i="1"/>
  <c r="M1785" i="1"/>
  <c r="M1786" i="1"/>
  <c r="M1787" i="1"/>
  <c r="M1789" i="1"/>
  <c r="M1791" i="1"/>
  <c r="M1792" i="1"/>
  <c r="M1794" i="1"/>
  <c r="M1795" i="1"/>
  <c r="M1796" i="1"/>
  <c r="M1797" i="1"/>
  <c r="M1798" i="1"/>
  <c r="M1799" i="1"/>
  <c r="M1801" i="1"/>
  <c r="M1802" i="1"/>
  <c r="M1804" i="1"/>
  <c r="M1805" i="1"/>
  <c r="M1806" i="1"/>
  <c r="M1808" i="1"/>
  <c r="M1809" i="1"/>
  <c r="M1810" i="1"/>
  <c r="M1812" i="1"/>
  <c r="M1813" i="1"/>
  <c r="M1814" i="1"/>
  <c r="M1815" i="1"/>
  <c r="M1816" i="1"/>
  <c r="M1818" i="1"/>
  <c r="M1819" i="1"/>
  <c r="M1820" i="1"/>
  <c r="M1821" i="1"/>
  <c r="M1822" i="1"/>
  <c r="M1823" i="1"/>
  <c r="M1824" i="1"/>
  <c r="M1825" i="1"/>
  <c r="M1826" i="1"/>
  <c r="M1827" i="1"/>
  <c r="M1829" i="1"/>
  <c r="M1833" i="1"/>
  <c r="M1834" i="1"/>
  <c r="M1837" i="1"/>
  <c r="M1839" i="1"/>
  <c r="M1841" i="1"/>
  <c r="M1842" i="1"/>
  <c r="M1843" i="1"/>
  <c r="M1844" i="1"/>
  <c r="M1845" i="1"/>
  <c r="M1847" i="1"/>
  <c r="M1848" i="1"/>
  <c r="M1851" i="1"/>
  <c r="M1852" i="1"/>
  <c r="M1853" i="1"/>
  <c r="M1855" i="1"/>
  <c r="M1856" i="1"/>
  <c r="M1858" i="1"/>
  <c r="M1859" i="1"/>
  <c r="M1861" i="1"/>
  <c r="M1862" i="1"/>
  <c r="M1863" i="1"/>
  <c r="M1866" i="1"/>
  <c r="M1867" i="1"/>
  <c r="M1869" i="1"/>
  <c r="M1870" i="1"/>
  <c r="M1871" i="1"/>
  <c r="M1874" i="1"/>
  <c r="M1875" i="1"/>
  <c r="M1876" i="1"/>
  <c r="M1877" i="1"/>
  <c r="M1878" i="1"/>
  <c r="M1879" i="1"/>
  <c r="M1882" i="1"/>
  <c r="M1883" i="1"/>
  <c r="M1885" i="1"/>
  <c r="M1886" i="1"/>
  <c r="M1888" i="1"/>
  <c r="M1889" i="1"/>
  <c r="M1890" i="1"/>
  <c r="M1892" i="1"/>
  <c r="M1893" i="1"/>
  <c r="M1894" i="1"/>
  <c r="M1895" i="1"/>
  <c r="M1898" i="1"/>
  <c r="M1899" i="1"/>
  <c r="M1900" i="1"/>
  <c r="M1901" i="1"/>
  <c r="M1903" i="1"/>
  <c r="M1904" i="1"/>
  <c r="M1907" i="1"/>
  <c r="M1908" i="1"/>
  <c r="M1909" i="1"/>
  <c r="M1910" i="1"/>
  <c r="M1911" i="1"/>
  <c r="M1914" i="1"/>
  <c r="M1915" i="1"/>
  <c r="M1916" i="1"/>
  <c r="M1917" i="1"/>
  <c r="M1918" i="1"/>
  <c r="M1919" i="1"/>
  <c r="M1920" i="1"/>
  <c r="M1921" i="1"/>
  <c r="M1922" i="1"/>
  <c r="M1923" i="1"/>
  <c r="M1925" i="1"/>
  <c r="M1928" i="1"/>
  <c r="M1929" i="1"/>
  <c r="M1932" i="1"/>
  <c r="M1934" i="1"/>
  <c r="M1937" i="1"/>
  <c r="M1938" i="1"/>
  <c r="M1939" i="1"/>
  <c r="M1940" i="1"/>
  <c r="M1942" i="1"/>
  <c r="M1943" i="1"/>
  <c r="M1944" i="1"/>
  <c r="M1945" i="1"/>
  <c r="M1949" i="1"/>
  <c r="M1950" i="1"/>
  <c r="M1952" i="1"/>
  <c r="M1954" i="1"/>
  <c r="M1955" i="1"/>
  <c r="M1956" i="1"/>
  <c r="M1957" i="1"/>
  <c r="M1960" i="1"/>
  <c r="M1961" i="1"/>
  <c r="M1962" i="1"/>
  <c r="M1963" i="1"/>
  <c r="M1964" i="1"/>
  <c r="M1966" i="1"/>
  <c r="M1967" i="1"/>
  <c r="M1969" i="1"/>
  <c r="M1970" i="1"/>
  <c r="M1971" i="1"/>
  <c r="M1972" i="1"/>
  <c r="M1976" i="1"/>
  <c r="M1980" i="1"/>
  <c r="M1981" i="1"/>
  <c r="M1982" i="1"/>
  <c r="M1983" i="1"/>
  <c r="M1986" i="1"/>
  <c r="M1987" i="1"/>
  <c r="M1989" i="1"/>
  <c r="M1990" i="1"/>
  <c r="M1991" i="1"/>
  <c r="M1993" i="1"/>
  <c r="M1994" i="1"/>
  <c r="M1997" i="1"/>
  <c r="M1998" i="1"/>
  <c r="M1999" i="1"/>
  <c r="M2001" i="1"/>
  <c r="M2002" i="1"/>
  <c r="M2004" i="1"/>
  <c r="M2005" i="1"/>
  <c r="M2006" i="1"/>
  <c r="M2007" i="1"/>
  <c r="M2009" i="1"/>
  <c r="M2011" i="1"/>
  <c r="M2012" i="1"/>
  <c r="M2013" i="1"/>
  <c r="M2014" i="1"/>
  <c r="M2017" i="1"/>
  <c r="M2018" i="1"/>
  <c r="M2019" i="1"/>
  <c r="M2023" i="1"/>
  <c r="M2024" i="1"/>
  <c r="M2025" i="1"/>
  <c r="M2026" i="1"/>
  <c r="M2028" i="1"/>
  <c r="M2029" i="1"/>
  <c r="M2032" i="1"/>
  <c r="M2033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8" i="1"/>
  <c r="M2050" i="1"/>
  <c r="M2051" i="1"/>
  <c r="M2052" i="1"/>
  <c r="M2053" i="1"/>
  <c r="M2054" i="1"/>
  <c r="M2055" i="1"/>
  <c r="M2056" i="1"/>
  <c r="M2057" i="1"/>
  <c r="M2059" i="1"/>
  <c r="M2062" i="1"/>
  <c r="M2063" i="1"/>
  <c r="M2064" i="1"/>
  <c r="M2065" i="1"/>
  <c r="M2066" i="1"/>
  <c r="M2067" i="1"/>
  <c r="M2068" i="1"/>
  <c r="M2069" i="1"/>
  <c r="M2072" i="1"/>
  <c r="M2075" i="1"/>
  <c r="M2076" i="1"/>
  <c r="M2077" i="1"/>
  <c r="M2078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5" i="1"/>
  <c r="M2096" i="1"/>
  <c r="M2097" i="1"/>
  <c r="M2098" i="1"/>
  <c r="M2099" i="1"/>
  <c r="M2100" i="1"/>
  <c r="M2102" i="1"/>
  <c r="M2103" i="1"/>
  <c r="M2106" i="1"/>
  <c r="M2107" i="1"/>
  <c r="M2108" i="1"/>
  <c r="M2109" i="1"/>
  <c r="M2110" i="1"/>
  <c r="M2111" i="1"/>
  <c r="M2112" i="1"/>
  <c r="M2113" i="1"/>
  <c r="M2115" i="1"/>
  <c r="M2116" i="1"/>
  <c r="M2119" i="1"/>
  <c r="M2120" i="1"/>
  <c r="M2121" i="1"/>
  <c r="M2122" i="1"/>
  <c r="M2123" i="1"/>
  <c r="M2125" i="1"/>
  <c r="M2126" i="1"/>
  <c r="M2127" i="1"/>
  <c r="M2128" i="1"/>
  <c r="M2130" i="1"/>
  <c r="M2136" i="1"/>
  <c r="M2138" i="1"/>
  <c r="M2140" i="1"/>
  <c r="M2141" i="1"/>
  <c r="M2144" i="1"/>
  <c r="M2145" i="1"/>
  <c r="M2146" i="1"/>
  <c r="M2148" i="1"/>
  <c r="M2149" i="1"/>
  <c r="M2150" i="1"/>
  <c r="M2151" i="1"/>
  <c r="M2153" i="1"/>
  <c r="M2154" i="1"/>
  <c r="M2155" i="1"/>
  <c r="M2157" i="1"/>
  <c r="M2159" i="1"/>
  <c r="M2160" i="1"/>
  <c r="M2163" i="1"/>
  <c r="M2164" i="1"/>
  <c r="M2165" i="1"/>
  <c r="M2167" i="1"/>
  <c r="M2169" i="1"/>
  <c r="M2171" i="1"/>
  <c r="M2173" i="1"/>
  <c r="M2174" i="1"/>
  <c r="M2175" i="1"/>
  <c r="M2176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1" i="1"/>
  <c r="M2202" i="1"/>
  <c r="M2203" i="1"/>
  <c r="M2204" i="1"/>
  <c r="M2205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2" i="1"/>
  <c r="M2223" i="1"/>
  <c r="M2224" i="1"/>
  <c r="M2226" i="1"/>
  <c r="M2228" i="1"/>
  <c r="M2230" i="1"/>
  <c r="M2234" i="1"/>
  <c r="M2235" i="1"/>
  <c r="M2236" i="1"/>
  <c r="M2237" i="1"/>
  <c r="M2239" i="1"/>
  <c r="M2241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6" i="1"/>
  <c r="M2257" i="1"/>
  <c r="M2258" i="1"/>
  <c r="M2261" i="1"/>
  <c r="M2262" i="1"/>
  <c r="M2263" i="1"/>
  <c r="M2264" i="1"/>
  <c r="M2266" i="1"/>
  <c r="M2268" i="1"/>
  <c r="M2269" i="1"/>
  <c r="M2270" i="1"/>
  <c r="M2271" i="1"/>
  <c r="M2273" i="1"/>
  <c r="M2274" i="1"/>
  <c r="M2275" i="1"/>
  <c r="M2277" i="1"/>
  <c r="M2278" i="1"/>
  <c r="M2279" i="1"/>
  <c r="M2280" i="1"/>
  <c r="M2282" i="1"/>
  <c r="M2283" i="1"/>
  <c r="M2285" i="1"/>
  <c r="M2286" i="1"/>
  <c r="M2287" i="1"/>
  <c r="M2288" i="1"/>
  <c r="M2289" i="1"/>
  <c r="M2290" i="1"/>
  <c r="M2291" i="1"/>
  <c r="M2292" i="1"/>
  <c r="M2293" i="1"/>
  <c r="M2294" i="1"/>
  <c r="M2295" i="1"/>
  <c r="M2297" i="1"/>
  <c r="M2298" i="1"/>
  <c r="M2299" i="1"/>
  <c r="M2300" i="1"/>
  <c r="M2301" i="1"/>
  <c r="M2302" i="1"/>
  <c r="M2303" i="1"/>
  <c r="M2304" i="1"/>
  <c r="M2305" i="1"/>
  <c r="M2306" i="1"/>
  <c r="M2308" i="1"/>
  <c r="M2309" i="1"/>
  <c r="M2310" i="1"/>
  <c r="M2312" i="1"/>
  <c r="M2313" i="1"/>
  <c r="M2314" i="1"/>
  <c r="M2315" i="1"/>
  <c r="M2317" i="1"/>
  <c r="M2318" i="1"/>
  <c r="M2320" i="1"/>
  <c r="M2321" i="1"/>
  <c r="M2322" i="1"/>
  <c r="M2323" i="1"/>
  <c r="M2325" i="1"/>
  <c r="M2326" i="1"/>
  <c r="M2327" i="1"/>
  <c r="M2328" i="1"/>
  <c r="M2330" i="1"/>
  <c r="M2331" i="1"/>
  <c r="M2332" i="1"/>
  <c r="M2333" i="1"/>
  <c r="M2334" i="1"/>
  <c r="M2335" i="1"/>
  <c r="M2336" i="1"/>
  <c r="M2337" i="1"/>
  <c r="M2338" i="1"/>
  <c r="M2339" i="1"/>
  <c r="M2342" i="1"/>
  <c r="M2343" i="1"/>
  <c r="M2344" i="1"/>
  <c r="M2346" i="1"/>
  <c r="M2348" i="1"/>
  <c r="M2349" i="1"/>
  <c r="M2350" i="1"/>
  <c r="M2351" i="1"/>
  <c r="M2352" i="1"/>
  <c r="M2356" i="1"/>
  <c r="M2357" i="1"/>
  <c r="M2359" i="1"/>
  <c r="M2360" i="1"/>
  <c r="M2361" i="1"/>
  <c r="M2362" i="1"/>
  <c r="M2363" i="1"/>
  <c r="M2365" i="1"/>
  <c r="M2366" i="1"/>
  <c r="M2367" i="1"/>
  <c r="M2368" i="1"/>
  <c r="M2369" i="1"/>
  <c r="M2370" i="1"/>
  <c r="M2371" i="1"/>
  <c r="M2372" i="1"/>
  <c r="M2374" i="1"/>
  <c r="M2375" i="1"/>
  <c r="M2376" i="1"/>
  <c r="M2378" i="1"/>
  <c r="M2380" i="1"/>
  <c r="M2381" i="1"/>
  <c r="M2382" i="1"/>
  <c r="M2383" i="1"/>
  <c r="M2384" i="1"/>
  <c r="M2387" i="1"/>
  <c r="M2388" i="1"/>
  <c r="M2389" i="1"/>
  <c r="M2392" i="1"/>
  <c r="M2393" i="1"/>
  <c r="M2395" i="1"/>
  <c r="M2396" i="1"/>
  <c r="M2397" i="1"/>
  <c r="M2399" i="1"/>
  <c r="M2400" i="1"/>
  <c r="M2402" i="1"/>
  <c r="M2404" i="1"/>
  <c r="M2405" i="1"/>
  <c r="M2406" i="1"/>
  <c r="M2407" i="1"/>
  <c r="M2409" i="1"/>
  <c r="M2410" i="1"/>
  <c r="M2411" i="1"/>
  <c r="M2412" i="1"/>
  <c r="M2416" i="1"/>
  <c r="M2419" i="1"/>
  <c r="M2420" i="1"/>
  <c r="M2421" i="1"/>
  <c r="M2422" i="1"/>
  <c r="M2423" i="1"/>
  <c r="M2428" i="1"/>
  <c r="M2429" i="1"/>
  <c r="M2431" i="1"/>
  <c r="M2432" i="1"/>
  <c r="M2435" i="1"/>
  <c r="M2437" i="1"/>
  <c r="M2438" i="1"/>
  <c r="M2439" i="1"/>
  <c r="M2441" i="1"/>
  <c r="M2443" i="1"/>
  <c r="M2444" i="1"/>
  <c r="M2445" i="1"/>
  <c r="M2446" i="1"/>
  <c r="M2447" i="1"/>
  <c r="M2448" i="1"/>
  <c r="M2449" i="1"/>
  <c r="M2450" i="1"/>
  <c r="M2452" i="1"/>
  <c r="M2453" i="1"/>
  <c r="M2454" i="1"/>
  <c r="M2455" i="1"/>
  <c r="M2456" i="1"/>
  <c r="M2457" i="1"/>
  <c r="M2458" i="1"/>
  <c r="M2459" i="1"/>
  <c r="M2461" i="1"/>
  <c r="M2464" i="1"/>
  <c r="M2466" i="1"/>
  <c r="M2469" i="1"/>
  <c r="M2470" i="1"/>
  <c r="M2472" i="1"/>
  <c r="M2473" i="1"/>
  <c r="M2474" i="1"/>
  <c r="M2475" i="1"/>
  <c r="M2476" i="1"/>
  <c r="M2479" i="1"/>
  <c r="M2480" i="1"/>
  <c r="M2481" i="1"/>
  <c r="M2482" i="1"/>
  <c r="M2483" i="1"/>
  <c r="M2485" i="1"/>
  <c r="M2486" i="1"/>
  <c r="M2488" i="1"/>
  <c r="M2491" i="1"/>
  <c r="M2492" i="1"/>
  <c r="M2493" i="1"/>
  <c r="M2494" i="1"/>
  <c r="M2495" i="1"/>
  <c r="M2497" i="1"/>
  <c r="M2499" i="1"/>
  <c r="M2500" i="1"/>
  <c r="M2501" i="1"/>
  <c r="M2502" i="1"/>
  <c r="M2503" i="1"/>
  <c r="M2504" i="1"/>
  <c r="L2505" i="1"/>
  <c r="K2505" i="1"/>
  <c r="I2505" i="1"/>
  <c r="H250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</calcChain>
</file>

<file path=xl/sharedStrings.xml><?xml version="1.0" encoding="utf-8"?>
<sst xmlns="http://schemas.openxmlformats.org/spreadsheetml/2006/main" count="7520" uniqueCount="5015">
  <si>
    <t>Sr. No.</t>
  </si>
  <si>
    <t>ARN</t>
  </si>
  <si>
    <t>JM Financial Services Limited</t>
  </si>
  <si>
    <t>HDFC Bank Limited</t>
  </si>
  <si>
    <t>SKP Securities Limited</t>
  </si>
  <si>
    <t>SPA Capital Services Limited</t>
  </si>
  <si>
    <t>Way2Wealth Securities Private Limited</t>
  </si>
  <si>
    <t>Bajaj Capital Ltd.</t>
  </si>
  <si>
    <t>SBICAP Securities Limited</t>
  </si>
  <si>
    <t>Shubhangi Gopal Pai</t>
  </si>
  <si>
    <t>Bluechip Corporate Investment Centre Private limited</t>
  </si>
  <si>
    <t>Stock Holding Corporation of India Limited</t>
  </si>
  <si>
    <t>Axis Bank Limited</t>
  </si>
  <si>
    <t>ICICI Bank Limited</t>
  </si>
  <si>
    <t>Tata Securities Limited</t>
  </si>
  <si>
    <t>Hongkong &amp; Shanghai Banking Corporation Ltd.</t>
  </si>
  <si>
    <t>Eastern Financiers Ltd.</t>
  </si>
  <si>
    <t>RR Investors Capital Services Pvt Ltd.</t>
  </si>
  <si>
    <t>Lakshminarayanan Kumaar</t>
  </si>
  <si>
    <t>Bluechip Capital Services Private Limited</t>
  </si>
  <si>
    <t>Rayomand Kaikhushru Madan</t>
  </si>
  <si>
    <t>Lalit Kumar</t>
  </si>
  <si>
    <t>IDBI Bank Ltd</t>
  </si>
  <si>
    <t>Finmass</t>
  </si>
  <si>
    <t>INFINITY CAPITAL</t>
  </si>
  <si>
    <t>Amit Tarunkumar Punjani</t>
  </si>
  <si>
    <t>Sadashiv Arvind Phene</t>
  </si>
  <si>
    <t>Geojit Financial Services Ltd</t>
  </si>
  <si>
    <t>Devang Suryakant Desai</t>
  </si>
  <si>
    <t>Viral R Kothari</t>
  </si>
  <si>
    <t>Bees Network Limited</t>
  </si>
  <si>
    <t>Amit Dinesh Shah</t>
  </si>
  <si>
    <t>NJ IndiaInvest Pvt Ltd</t>
  </si>
  <si>
    <t>Mata Securities India Pvt. Ltd</t>
  </si>
  <si>
    <t>Punamchand Dagdulal Kawad</t>
  </si>
  <si>
    <t>Jignesh V Shah</t>
  </si>
  <si>
    <t>Ramkumar H Barchha</t>
  </si>
  <si>
    <t>Kotak Securities Ltd</t>
  </si>
  <si>
    <t>Zeenat S Jagani</t>
  </si>
  <si>
    <t>Hexagon Capital Advisors Private Limited</t>
  </si>
  <si>
    <t>Chandulal L Vasa</t>
  </si>
  <si>
    <t>ALLEGIANCE WORKMATE PRIVATE LIMITED</t>
  </si>
  <si>
    <t>Amitkumar D Mehta</t>
  </si>
  <si>
    <t>Surendra Kumar Bagaria</t>
  </si>
  <si>
    <t>Bonanza Portfolio Ltd</t>
  </si>
  <si>
    <t>Ashutosh Financial Services Private Limited</t>
  </si>
  <si>
    <t>Jayanta Ghosh</t>
  </si>
  <si>
    <t>PLC Securities Ltd</t>
  </si>
  <si>
    <t>Ritesh D Sheth</t>
  </si>
  <si>
    <t>Vikrant N Shah</t>
  </si>
  <si>
    <t>Daulat A Phene</t>
  </si>
  <si>
    <t>Diwakar B Desai</t>
  </si>
  <si>
    <t>Jyotsna P Puranik</t>
  </si>
  <si>
    <t>Vishvambhar C S Kenkare</t>
  </si>
  <si>
    <t>A.G. Financial Services</t>
  </si>
  <si>
    <t>Ramesh Kumar Jethani</t>
  </si>
  <si>
    <t>Russell Credit Limited</t>
  </si>
  <si>
    <t>Blue Circle Financial Services</t>
  </si>
  <si>
    <t>Rajesh R Mehta</t>
  </si>
  <si>
    <t>Sykes &amp; Ray Equities (I) Ltd.</t>
  </si>
  <si>
    <t>DCB Bank Limited</t>
  </si>
  <si>
    <t>Standard Chartered Securities (India) Limited</t>
  </si>
  <si>
    <t>K Arun Kumar</t>
  </si>
  <si>
    <t>Sandeep J Shukla</t>
  </si>
  <si>
    <t>Paresh A Shah</t>
  </si>
  <si>
    <t>Anil B Parikh</t>
  </si>
  <si>
    <t>Mahesh G Gattani</t>
  </si>
  <si>
    <t>Manju K Poddar</t>
  </si>
  <si>
    <t>Kedar P Kulkarni</t>
  </si>
  <si>
    <t>Zen Securities Limited</t>
  </si>
  <si>
    <t>Viren Mahasukhlal Shah</t>
  </si>
  <si>
    <t>Jayant Vrajlal Mehta</t>
  </si>
  <si>
    <t>Indusind Bank Ltd</t>
  </si>
  <si>
    <t>DISA FINANCIAL SERVICES PVT LTD</t>
  </si>
  <si>
    <t>J R Laddha Financial Services (P) Ltd.</t>
  </si>
  <si>
    <t>DMS INVESTMENT SERVICES PRIVATE LIMITED</t>
  </si>
  <si>
    <t>Manasi Ramananda Patwardhan</t>
  </si>
  <si>
    <t>The Karur Vysya Bank Limited</t>
  </si>
  <si>
    <t>Chirag Kailaschandra Shah</t>
  </si>
  <si>
    <t>Siddharam Gurusiddappa Kolkur</t>
  </si>
  <si>
    <t>Batlivala &amp; Karani Securities India Pvt. Ltd.</t>
  </si>
  <si>
    <t>Alok Kumar Dutta</t>
  </si>
  <si>
    <t>Harji Arjan Madhaparia</t>
  </si>
  <si>
    <t>Hansa Harji Madhaparia</t>
  </si>
  <si>
    <t>Satya Prakash</t>
  </si>
  <si>
    <t>G K GLOBAS LLP</t>
  </si>
  <si>
    <t>Nirmala A Dhanopya</t>
  </si>
  <si>
    <t>Thousand Lights Investments Pvt. Ltd.</t>
  </si>
  <si>
    <t>Aashwiin Rasiklal Shah</t>
  </si>
  <si>
    <t>Rajiv Ranjan Singh</t>
  </si>
  <si>
    <t>Manju Kumari</t>
  </si>
  <si>
    <t>Pawan Kumar Agrawal</t>
  </si>
  <si>
    <t>Nayan Balmukund Saraiya</t>
  </si>
  <si>
    <t>ICICI Securities Limited</t>
  </si>
  <si>
    <t>Francis Michael Clement D'Cruz</t>
  </si>
  <si>
    <t>Joseph Pearl Stanley</t>
  </si>
  <si>
    <t>Pankaj Trikamdas Mavani</t>
  </si>
  <si>
    <t>Archana Sudhir Bhingarde</t>
  </si>
  <si>
    <t>IDBI Capital Markets &amp; Securities Limited</t>
  </si>
  <si>
    <t>PINNACLE FINANCIAL AND INVESTMENTS SERVICES PRIVATE LIMITED</t>
  </si>
  <si>
    <t>Naresh Popatrao Karpe</t>
  </si>
  <si>
    <t>Oswal Dhan Private Limited</t>
  </si>
  <si>
    <t>B D Shroff Securities Private Limited</t>
  </si>
  <si>
    <t>Shree Sidvin Financial Services &amp; Invest. Pvt. Ltd.</t>
  </si>
  <si>
    <t>SS INDIA SAVINGS PRIVATE LIMITED</t>
  </si>
  <si>
    <t>Dalal &amp; Broacha Stock Broking Pvt. Ltd.</t>
  </si>
  <si>
    <t>Premin Securities</t>
  </si>
  <si>
    <t>Hemant Dattatraya Dighe</t>
  </si>
  <si>
    <t>Kedar Dattatraya Borgaonkar</t>
  </si>
  <si>
    <t>Kalyani Capital Services Pvt. Ltd.</t>
  </si>
  <si>
    <t>Integrated Enterprises (India) Pvt Ltd</t>
  </si>
  <si>
    <t>Anilkumar Maganlal Desai</t>
  </si>
  <si>
    <t>Ganesh Shridhar Shanbhag</t>
  </si>
  <si>
    <t>M D Saraf Securities Private Ltd.</t>
  </si>
  <si>
    <t>Balaji Capital Services Pvt Ltd</t>
  </si>
  <si>
    <t>Rajbir Singh</t>
  </si>
  <si>
    <t>Quantum Information Services Private Limited</t>
  </si>
  <si>
    <t>Sanjay Siroliya</t>
  </si>
  <si>
    <t>CD Equisearch Private Limited</t>
  </si>
  <si>
    <t>VUK FINVEST PRIVATE LIMITED</t>
  </si>
  <si>
    <t>Bhagavathalu Ramakrishna Sanjay</t>
  </si>
  <si>
    <t>A V Venkitasubramanian</t>
  </si>
  <si>
    <t>Vinita Baraya</t>
  </si>
  <si>
    <t>Aravindakshan K M</t>
  </si>
  <si>
    <t>VGP Portfolio</t>
  </si>
  <si>
    <t>PhillipCapital (India) Pvt Ltd</t>
  </si>
  <si>
    <t>Natsons Securities</t>
  </si>
  <si>
    <t>Wealth First Advisors Pvt Ltd</t>
  </si>
  <si>
    <t>Dipak Kumar Das</t>
  </si>
  <si>
    <t>PRESCIENT FINANCIAL SERVICES</t>
  </si>
  <si>
    <t>Namita Mahesh Jain</t>
  </si>
  <si>
    <t>Shivranjani Securities Company Pvt Ltd</t>
  </si>
  <si>
    <t>Nandkishor Yeshwant Sinari</t>
  </si>
  <si>
    <t>Money Options Services Pvt Ltd</t>
  </si>
  <si>
    <t>Standard Chartered Bank</t>
  </si>
  <si>
    <t>Sanjay Shantaram Nade</t>
  </si>
  <si>
    <t>ARTHAM FINSERVE PRIVATE LIMITED</t>
  </si>
  <si>
    <t>SHENOY INVESTMENT SERVICES PRIVATE LIMITED</t>
  </si>
  <si>
    <t>Harley Securities Pvt Ltd</t>
  </si>
  <si>
    <t>Axiom Financial Services Pvt Ltd</t>
  </si>
  <si>
    <t>Anand Prakash Gupta</t>
  </si>
  <si>
    <t>Riddhi Siddhi Financial Services</t>
  </si>
  <si>
    <t>Almondz Global Securities Ltd</t>
  </si>
  <si>
    <t>Sanjiv Kumar Chhabra</t>
  </si>
  <si>
    <t>Simpson &amp; General Finance Company Limited</t>
  </si>
  <si>
    <t>Chetan Manharlal Lapsiwala</t>
  </si>
  <si>
    <t>Rajesh Chandak</t>
  </si>
  <si>
    <t>Anita Investment Agencies</t>
  </si>
  <si>
    <t>Davinder Kumar Garg</t>
  </si>
  <si>
    <t>Kotak Mahindra Bank Limited</t>
  </si>
  <si>
    <t>SWAP GLOBAL VENTURES PRIVATE LIMITED</t>
  </si>
  <si>
    <t>Navdeep Singh Bakshi</t>
  </si>
  <si>
    <t>Poddar Financial Services</t>
  </si>
  <si>
    <t>Security Investments Limited</t>
  </si>
  <si>
    <t>Raviraj Investments Corporate (India) Pvt Ltd</t>
  </si>
  <si>
    <t>SFIC Fiscal Services Pvt Ltd</t>
  </si>
  <si>
    <t>Goldstar Financial Services Private Limited</t>
  </si>
  <si>
    <t>Janak Merchant Securities Pvt Ltd</t>
  </si>
  <si>
    <t>Bharat Soneja</t>
  </si>
  <si>
    <t>Krishan Murari Gupta</t>
  </si>
  <si>
    <t>Hemant Satyavan Shah</t>
  </si>
  <si>
    <t>Purnima Securities Pvt Ltd</t>
  </si>
  <si>
    <t>Emkay Global Financial Services Limited</t>
  </si>
  <si>
    <t>CHAITANYA FINANCIAL SERVICES PRIVATE LIMITED</t>
  </si>
  <si>
    <t>Basic Financial Services Pvt Ltd</t>
  </si>
  <si>
    <t>Vinod Kumar Anand</t>
  </si>
  <si>
    <t>Bhadresh Madhusudan Gandhi</t>
  </si>
  <si>
    <t>Kumaraswamy C.V</t>
  </si>
  <si>
    <t>Madhuri Sundararajan</t>
  </si>
  <si>
    <t>D Sundararajan</t>
  </si>
  <si>
    <t>Asit Haresh Bhansali</t>
  </si>
  <si>
    <t>Priti Ajit Kucheria</t>
  </si>
  <si>
    <t>Safe Assets</t>
  </si>
  <si>
    <t>ECS Financial Services (India) Private Limited</t>
  </si>
  <si>
    <t>Ruby Financial Services Pvt Ltd</t>
  </si>
  <si>
    <t>Darab Bajina Investments Pvt Ltd</t>
  </si>
  <si>
    <t>Right Returns</t>
  </si>
  <si>
    <t>Mangsidhesh Investments Pvt Ltd</t>
  </si>
  <si>
    <t>Uddhav Krishnarao Tulshibagwale</t>
  </si>
  <si>
    <t>Chandravadan Pyarelal Shah</t>
  </si>
  <si>
    <t>Abha Gupta                                                                            .</t>
  </si>
  <si>
    <t>Amrita Sawhney</t>
  </si>
  <si>
    <t>Jennifer Maria Mendes</t>
  </si>
  <si>
    <t>Chanchal Jain</t>
  </si>
  <si>
    <t>Anurag Kumar Singhal</t>
  </si>
  <si>
    <t>MLAM INVESTECH PRIVATE LIMITED</t>
  </si>
  <si>
    <t>VIJAY INVESTEDGE PRIVATE LIMITED</t>
  </si>
  <si>
    <t>Chirag Suresh Shah</t>
  </si>
  <si>
    <t>Sai Enterprises</t>
  </si>
  <si>
    <t>Right Choice Investment Shoppe</t>
  </si>
  <si>
    <t>U.R. MONEY</t>
  </si>
  <si>
    <t>Horizon Financial Services</t>
  </si>
  <si>
    <t>Akshaya Budhraja</t>
  </si>
  <si>
    <t>Dhanesh M. Shah</t>
  </si>
  <si>
    <t>Ajay Malhotra</t>
  </si>
  <si>
    <t>Integra Securities Private Limited</t>
  </si>
  <si>
    <t>ANJALI INVESTMENTS</t>
  </si>
  <si>
    <t>Hari Ghanashyam Kamat</t>
  </si>
  <si>
    <t>Kaajal Suresh Thadani</t>
  </si>
  <si>
    <t>Vatsal Pravin Shah</t>
  </si>
  <si>
    <t>Anil Khera</t>
  </si>
  <si>
    <t>Sandeep Shah</t>
  </si>
  <si>
    <t>Kaushik Nagindas Shah</t>
  </si>
  <si>
    <t>Suresh Chandra Tandon</t>
  </si>
  <si>
    <t>Bharat Bhushan And Co</t>
  </si>
  <si>
    <t>Suvridhi Capital Markets Private Ltd</t>
  </si>
  <si>
    <t>Jaydeep Pati Tripathi</t>
  </si>
  <si>
    <t>Sunanda Shriram Naik</t>
  </si>
  <si>
    <t>Renu Gupta</t>
  </si>
  <si>
    <t>PRUDENT INVESTMENTS</t>
  </si>
  <si>
    <t>ALPHA FINANCIAL SERVICES LLP</t>
  </si>
  <si>
    <t>Aniram</t>
  </si>
  <si>
    <t>Kanga Financial Services Pvt Ltd</t>
  </si>
  <si>
    <t>Ujjawal Chadha</t>
  </si>
  <si>
    <t>Y. Sridhar</t>
  </si>
  <si>
    <t>Vishal Kumar Narang</t>
  </si>
  <si>
    <t>Sonia Narang</t>
  </si>
  <si>
    <t>Umesh Chandrakant Adhyaru</t>
  </si>
  <si>
    <t>Ashwin Rasiklal Vajani</t>
  </si>
  <si>
    <t>Vipul Jagdish Rach</t>
  </si>
  <si>
    <t>Rajiv Suri</t>
  </si>
  <si>
    <t>Tushar Jitendra Shah</t>
  </si>
  <si>
    <t>Vijay Kumar Jain</t>
  </si>
  <si>
    <t>Anita Sipani</t>
  </si>
  <si>
    <t>Divyesh Jagdish Rach</t>
  </si>
  <si>
    <t>Edge Corporate Services Pvt Ltd</t>
  </si>
  <si>
    <t>SHREE MADHAV SERVICES</t>
  </si>
  <si>
    <t>Sampoorna Securities Pvt. Ltd</t>
  </si>
  <si>
    <t>ELLORA INTERMEDIARIES PRIVATE LIMITED</t>
  </si>
  <si>
    <t>Varsha Investments</t>
  </si>
  <si>
    <t>Northward Value Invest  Pvt. Ltd.</t>
  </si>
  <si>
    <t>Amalaraj Anthonydass Marian</t>
  </si>
  <si>
    <t>Shashi Shekhar Chilana</t>
  </si>
  <si>
    <t>Ashutosh Sood</t>
  </si>
  <si>
    <t>Rajinder Pal Singh Anand</t>
  </si>
  <si>
    <t>Nityanand Shankar Bhandarkar</t>
  </si>
  <si>
    <t>Devendra Yeshwant Mhatre</t>
  </si>
  <si>
    <t>Rakesh Pasricha</t>
  </si>
  <si>
    <t>Shagun Sandeep Sutaria</t>
  </si>
  <si>
    <t>Priyanka Marwaha</t>
  </si>
  <si>
    <t>Prakash Mahendra Thakkar</t>
  </si>
  <si>
    <t>Dhairav Janak Shroff</t>
  </si>
  <si>
    <t>Chaitanya Dinkar Murdeshwar</t>
  </si>
  <si>
    <t>Common Wealth</t>
  </si>
  <si>
    <t>Rohit Khullar &amp; Co</t>
  </si>
  <si>
    <t>Rajaram Management Services Pvt Ltd</t>
  </si>
  <si>
    <t>Darashaw &amp; Co. Pvt Ltd</t>
  </si>
  <si>
    <t>Plexus Management Services</t>
  </si>
  <si>
    <t>Bhavesh Chamanlal Vora</t>
  </si>
  <si>
    <t>Parul Vipul Gandhi</t>
  </si>
  <si>
    <t>Ajay Kumar Sipani</t>
  </si>
  <si>
    <t>Madan Jit Singh</t>
  </si>
  <si>
    <t>Ruchi Anilkumar Agarwal</t>
  </si>
  <si>
    <t>Mitesh Suresh Chafadkar</t>
  </si>
  <si>
    <t>M B Srinivasa Murthy</t>
  </si>
  <si>
    <t>Sonia Nagpal</t>
  </si>
  <si>
    <t>Chapala Mohanty</t>
  </si>
  <si>
    <t>Manjeet Singh</t>
  </si>
  <si>
    <t>Vivek Kumar</t>
  </si>
  <si>
    <t>S.R. Investments</t>
  </si>
  <si>
    <t>Consortium Securities Pvt Ltd</t>
  </si>
  <si>
    <t>Om Enterprises</t>
  </si>
  <si>
    <t>KFIC Securities Ltd</t>
  </si>
  <si>
    <t>CRVJ Investment Services Private Limited</t>
  </si>
  <si>
    <t>Quadratic Financial Services Pvt Ltd</t>
  </si>
  <si>
    <t>Asit C. Mehta Investment Intermediates Ltd</t>
  </si>
  <si>
    <t>NARNOLIA FINANCIAL SERVICES LIMITED</t>
  </si>
  <si>
    <t>Colaco &amp; Aranha</t>
  </si>
  <si>
    <t>Haresh Bhawan Chatwani</t>
  </si>
  <si>
    <t>THINK FINANCIAL INTERMEDIARY SERVICES PVT LTD</t>
  </si>
  <si>
    <t>Michael Duarte</t>
  </si>
  <si>
    <t>Ravindra Lal Jagasia</t>
  </si>
  <si>
    <t>Edward Joseph Dcoutho</t>
  </si>
  <si>
    <t>Vineet Gandhi</t>
  </si>
  <si>
    <t>Hemant Tandon</t>
  </si>
  <si>
    <t>Naredi Capital Financial Services (P) Ltd</t>
  </si>
  <si>
    <t>Prabhudas Lilladher Pvt Ltd</t>
  </si>
  <si>
    <t>Sundaram Finance Limited</t>
  </si>
  <si>
    <t>Gaurang Investments</t>
  </si>
  <si>
    <t>Insoft Financial Services</t>
  </si>
  <si>
    <t>Reliable Investments</t>
  </si>
  <si>
    <t>Hitesh Manilal Shah</t>
  </si>
  <si>
    <t>Prime Gold Securities</t>
  </si>
  <si>
    <t>Disha Finance &amp; Investment Pvt Ltd</t>
  </si>
  <si>
    <t>Sach Investments</t>
  </si>
  <si>
    <t>Dhaval Mahendra Desai</t>
  </si>
  <si>
    <t>Durga Financial Services Pvt Ltd</t>
  </si>
  <si>
    <t>Pradip Lahiri</t>
  </si>
  <si>
    <t>Praveen Kumar</t>
  </si>
  <si>
    <t>Sriram Suryanarayanan</t>
  </si>
  <si>
    <t>Rajiv Bose</t>
  </si>
  <si>
    <t>Arun Vishwanath Lagu</t>
  </si>
  <si>
    <t>Prashant Murlidhar Bagad</t>
  </si>
  <si>
    <t>Vipul Bhagwandas Sarvaiya</t>
  </si>
  <si>
    <t>WC SECURITIES PRIVATE LIMITED</t>
  </si>
  <si>
    <t>Stock Focus Financial Services Private Limited</t>
  </si>
  <si>
    <t>Sri Kotyark Investments</t>
  </si>
  <si>
    <t>Swathi Investments</t>
  </si>
  <si>
    <t>JHAVERI SECURITIES LTD</t>
  </si>
  <si>
    <t>Power Pusher Financial Services LLP</t>
  </si>
  <si>
    <t>Khambatta Securities Ltd</t>
  </si>
  <si>
    <t>Leading Edge</t>
  </si>
  <si>
    <t>Abm Investment</t>
  </si>
  <si>
    <t>Mittal Investment And Company</t>
  </si>
  <si>
    <t>Deutsche Bank AG</t>
  </si>
  <si>
    <t>Ghanshyam Lal Agrawal</t>
  </si>
  <si>
    <t>Tarun Roy Chowdhury</t>
  </si>
  <si>
    <t>Dhananjay Manohar Kale</t>
  </si>
  <si>
    <t>Yogesh Jayant Shah</t>
  </si>
  <si>
    <t>Arjun Gupta</t>
  </si>
  <si>
    <t>Jayesh Subhash Salvi</t>
  </si>
  <si>
    <t>Rajesh Sarawgi</t>
  </si>
  <si>
    <t>Abn Investments</t>
  </si>
  <si>
    <t>The South Indian Bank Ltd</t>
  </si>
  <si>
    <t>PTIC CORPORATE SERVICES PRIVATE LIMITED</t>
  </si>
  <si>
    <t>Shreeji Kosh Services</t>
  </si>
  <si>
    <t>Kashi Devi Singh</t>
  </si>
  <si>
    <t>Alagappan T</t>
  </si>
  <si>
    <t>Ram Chandra Prasad</t>
  </si>
  <si>
    <t>Vinit Chandulal Vasa</t>
  </si>
  <si>
    <t>Vipul Bhatia</t>
  </si>
  <si>
    <t>Madan Mohan Bhatia</t>
  </si>
  <si>
    <t>Mahesh Sawaika</t>
  </si>
  <si>
    <t>Ram M. Kasabe</t>
  </si>
  <si>
    <t>Usha Investment &amp; Financial Services</t>
  </si>
  <si>
    <t>Yajendra Chinnaya Shetty</t>
  </si>
  <si>
    <t>Vinayak Dattatreya Joshi</t>
  </si>
  <si>
    <t>HOLISTIC FINANCIAL SERVICES PRIVATE LIMITED</t>
  </si>
  <si>
    <t>Millennium Finance Limited</t>
  </si>
  <si>
    <t>Arvi Investment Services</t>
  </si>
  <si>
    <t>Shashank Jain</t>
  </si>
  <si>
    <t>Sangeeta Satnalika</t>
  </si>
  <si>
    <t>Umesh Kumar Gupta</t>
  </si>
  <si>
    <t>Sandeep Gupta</t>
  </si>
  <si>
    <t>Ruchi Jain</t>
  </si>
  <si>
    <t>Parag Ashok Sonavane</t>
  </si>
  <si>
    <t>A.Makarand Govindrao</t>
  </si>
  <si>
    <t>Krishna Manohar Pandhare</t>
  </si>
  <si>
    <t>Soba Infosec Pvt Ltd</t>
  </si>
  <si>
    <t>Vikram S.Bagadthey</t>
  </si>
  <si>
    <t>M/S ARWIND M SHAH</t>
  </si>
  <si>
    <t>Anand Rathi Share And Stock Brokers Limited</t>
  </si>
  <si>
    <t>Union Bank of India</t>
  </si>
  <si>
    <t>Bank of India</t>
  </si>
  <si>
    <t>UTI Infrastructure Technology And Services Ltd</t>
  </si>
  <si>
    <t>Blue Chip Investments</t>
  </si>
  <si>
    <t>Vijay Kumar Gupta</t>
  </si>
  <si>
    <t>Chandan Mitra</t>
  </si>
  <si>
    <t>Ramesh Biswas M</t>
  </si>
  <si>
    <t>Walter Cyril Pinto</t>
  </si>
  <si>
    <t>Abhinav Mehta</t>
  </si>
  <si>
    <t>TIPS</t>
  </si>
  <si>
    <t>Nisha Jain</t>
  </si>
  <si>
    <t>Rohit Chandulal Shah</t>
  </si>
  <si>
    <t>Ravi Kumar Mittal</t>
  </si>
  <si>
    <t>Manu Mehrotra</t>
  </si>
  <si>
    <t>Prasanna Kumar Routaray</t>
  </si>
  <si>
    <t>Selvanayagam. E</t>
  </si>
  <si>
    <t>Renuka Jain</t>
  </si>
  <si>
    <t>Jasmin P. Bhanushali</t>
  </si>
  <si>
    <t>Dipankar Das</t>
  </si>
  <si>
    <t>Bijal Hitesh Shah</t>
  </si>
  <si>
    <t>Mukul Pravin Kulkarni</t>
  </si>
  <si>
    <t>Kumud Ketan Dedhia</t>
  </si>
  <si>
    <t>Biren Krishnakant Chhatrapati</t>
  </si>
  <si>
    <t>Samaj Financial Services</t>
  </si>
  <si>
    <t>DEEP MFD PRIVATE LIMITED</t>
  </si>
  <si>
    <t>Victor J.D Fernandes</t>
  </si>
  <si>
    <t>Jignesh Lalitbhai Kapadia</t>
  </si>
  <si>
    <t>Tarla Pankaj Mavani</t>
  </si>
  <si>
    <t>Shekhar K.Khandeshwar</t>
  </si>
  <si>
    <t>Ashu Jain</t>
  </si>
  <si>
    <t>Mukesh Kumar.M</t>
  </si>
  <si>
    <t>Bipin D Dhannawat</t>
  </si>
  <si>
    <t>Harshad Vinodrai Ashar</t>
  </si>
  <si>
    <t>Darshan Services Private Limited</t>
  </si>
  <si>
    <t>MERCHANT FINVEST PRIVATE LIMITED</t>
  </si>
  <si>
    <t>Fortune Finsec Pvt Ltd</t>
  </si>
  <si>
    <t>AUTUS WEALTH PRIVATE LIMITED</t>
  </si>
  <si>
    <t>BOAL FINANCIAL PRIVATE LIMITED</t>
  </si>
  <si>
    <t>Suvarna Yogesh Shah</t>
  </si>
  <si>
    <t>Sam Koshy</t>
  </si>
  <si>
    <t>Rikhav Suresh Desai</t>
  </si>
  <si>
    <t>Sushil Kumar Dhanania</t>
  </si>
  <si>
    <t>Sachiin Saambrekar</t>
  </si>
  <si>
    <t>Nirav R. Dalal</t>
  </si>
  <si>
    <t>Pattamadai V.Subramanyam</t>
  </si>
  <si>
    <t>Anish Gupta</t>
  </si>
  <si>
    <t>Sandeep Bhuteria</t>
  </si>
  <si>
    <t>Deepak</t>
  </si>
  <si>
    <t>Rajeev Murarka</t>
  </si>
  <si>
    <t>Aditya Birla Money Ltd</t>
  </si>
  <si>
    <t>Surendra Kumar Dugar &amp; Co</t>
  </si>
  <si>
    <t>Sab Investments</t>
  </si>
  <si>
    <t>Rohan Maurya</t>
  </si>
  <si>
    <t>Drumesh H.Pandya</t>
  </si>
  <si>
    <t>Joseph Elias Menezes</t>
  </si>
  <si>
    <t>Anita Arun Lagu</t>
  </si>
  <si>
    <t>Jaishankar Natarajan</t>
  </si>
  <si>
    <t>Mehul Jayendra Adalja</t>
  </si>
  <si>
    <t>Deepa Manoj Adalja</t>
  </si>
  <si>
    <t>Gaurav Rajnarain Mehrotra</t>
  </si>
  <si>
    <t>Pawan Gupta</t>
  </si>
  <si>
    <t>Jain Bros</t>
  </si>
  <si>
    <t>Vikram Goswami</t>
  </si>
  <si>
    <t>Prabal Biswas</t>
  </si>
  <si>
    <t>Safe Investment &amp; Financial Services</t>
  </si>
  <si>
    <t>Tapan Paul</t>
  </si>
  <si>
    <t>Ipcon Associates</t>
  </si>
  <si>
    <t>Amit Hasmukhrai Sheth</t>
  </si>
  <si>
    <t>Shashi Bhushan Verma</t>
  </si>
  <si>
    <t>Imperial International Pvt Ltd</t>
  </si>
  <si>
    <t>Silverstone Shares And Securities Pvt. Ltd</t>
  </si>
  <si>
    <t>Varughese Mathai.K</t>
  </si>
  <si>
    <t>Ilyas Ahmed Radhiya Gulyyawala</t>
  </si>
  <si>
    <t>Kirit T.Sommanek</t>
  </si>
  <si>
    <t>Akshay Kumar Lala</t>
  </si>
  <si>
    <t>Three Cheers</t>
  </si>
  <si>
    <t>Rajesh Singh</t>
  </si>
  <si>
    <t>Shyam Kumar Gupta</t>
  </si>
  <si>
    <t>Gajendra Hiralal Jain</t>
  </si>
  <si>
    <t>Pradeep Balkrishna Savant</t>
  </si>
  <si>
    <t>Dhiraj Kumar Jaiswal</t>
  </si>
  <si>
    <t>Sunil Kumar Khemka</t>
  </si>
  <si>
    <t>Anil Tiwari</t>
  </si>
  <si>
    <t>Kanhaiya Lal Dixit</t>
  </si>
  <si>
    <t>Sarathi Financial &amp; Management Services</t>
  </si>
  <si>
    <t>Mandar Padmakar Bhanage</t>
  </si>
  <si>
    <t>Prime Capital Services Private Ltd</t>
  </si>
  <si>
    <t>Prakash Investments</t>
  </si>
  <si>
    <t>Tikam Chand Jain</t>
  </si>
  <si>
    <t>Sandeep Garg</t>
  </si>
  <si>
    <t>Ketan Jayantilal Shah</t>
  </si>
  <si>
    <t>Rajesh Handa</t>
  </si>
  <si>
    <t>Ashok Thakwani</t>
  </si>
  <si>
    <t>Bimal Rasiklal Shah</t>
  </si>
  <si>
    <t>Tejash P.Barfiwala</t>
  </si>
  <si>
    <t>Madhuvan Securities Private Limited</t>
  </si>
  <si>
    <t>Ravindra Rajendra Oberoi</t>
  </si>
  <si>
    <t>Ajay Kumar Arora</t>
  </si>
  <si>
    <t>Shital Sharad Shah</t>
  </si>
  <si>
    <t>Mital Chandrakant Shah</t>
  </si>
  <si>
    <t>Brain Point Investment Centre Pvt Ltd</t>
  </si>
  <si>
    <t>Aspandiar Nari Kanga</t>
  </si>
  <si>
    <t>Sangeeta Khurana</t>
  </si>
  <si>
    <t>Navneet Kumar</t>
  </si>
  <si>
    <t>Darshan Lal Aneja</t>
  </si>
  <si>
    <t>Punjab National Bank</t>
  </si>
  <si>
    <t>Ajay Kantibhai Shah</t>
  </si>
  <si>
    <t>Bidyut Kumar Roy</t>
  </si>
  <si>
    <t>Nisreen Zoher Mamaji</t>
  </si>
  <si>
    <t>Amish Chunilal Chheda</t>
  </si>
  <si>
    <t>Anuj Krishan Agarwal</t>
  </si>
  <si>
    <t>Kiran Sharestockers Pvt. Ltd</t>
  </si>
  <si>
    <t>KUKKU CAPITAL PRIVATE LTD</t>
  </si>
  <si>
    <t>Rainbow Securities Pvt Ltd</t>
  </si>
  <si>
    <t>Balwan Singh Sambyal</t>
  </si>
  <si>
    <t>M.K.Sumithra</t>
  </si>
  <si>
    <t>Bimal Mansukhlal Panchamia</t>
  </si>
  <si>
    <t>Pradeep Balkrishna Landge</t>
  </si>
  <si>
    <t>Sandeep Harshavardhan Sahasrabudhe</t>
  </si>
  <si>
    <t>Hamender Gupta</t>
  </si>
  <si>
    <t>Monarch Networth Capital Limited</t>
  </si>
  <si>
    <t>Amit Parshuram Gune</t>
  </si>
  <si>
    <t>Mehul Jasvantlal Mehta</t>
  </si>
  <si>
    <t>Prateeksha Ashok Mundhada</t>
  </si>
  <si>
    <t>Anil Kumar Jhanwar</t>
  </si>
  <si>
    <t>Kishanchand Ashwanikishan</t>
  </si>
  <si>
    <t>Gautam Rathore</t>
  </si>
  <si>
    <t>Samruddhi Investment</t>
  </si>
  <si>
    <t>Nitin N Odhawani</t>
  </si>
  <si>
    <t>Sanjay Mahendrakumar Nanavati</t>
  </si>
  <si>
    <t>Tamanna Varma</t>
  </si>
  <si>
    <t>ELITE CO</t>
  </si>
  <si>
    <t>Daularam Kewalram Patel</t>
  </si>
  <si>
    <t>Shah Digpal Hemant</t>
  </si>
  <si>
    <t>Jyoti Ranjan Mahapatra</t>
  </si>
  <si>
    <t>Santwana Nandi</t>
  </si>
  <si>
    <t>Zakirhusen M.Kapasi</t>
  </si>
  <si>
    <t>Putta Sri Ranganath</t>
  </si>
  <si>
    <t>Pradeep Kumar Jain</t>
  </si>
  <si>
    <t>Ranjan Chandok</t>
  </si>
  <si>
    <t>Canara Bank</t>
  </si>
  <si>
    <t>Nilesh N.Shah</t>
  </si>
  <si>
    <t>Indus Capital</t>
  </si>
  <si>
    <t>Bank of Bahrain &amp; Kuwait B.S.C.</t>
  </si>
  <si>
    <t>Prem Sukh Mundra</t>
  </si>
  <si>
    <t>Saroj Singh</t>
  </si>
  <si>
    <t>Prudent Corporate Advisory Services Ltd</t>
  </si>
  <si>
    <t>Javahar Kuttypady</t>
  </si>
  <si>
    <t>Deepak Agarwal</t>
  </si>
  <si>
    <t>Kamalkrishan B.Poddar</t>
  </si>
  <si>
    <t>Deepak Aggarwal</t>
  </si>
  <si>
    <t>Malay Dey</t>
  </si>
  <si>
    <t>Anju Pahwa</t>
  </si>
  <si>
    <t>Pankaj Sidana</t>
  </si>
  <si>
    <t>Debasish Banerjee</t>
  </si>
  <si>
    <t>Akasa Securities &amp; Financial Services Pvt. Ltd</t>
  </si>
  <si>
    <t>Tejas Deepak Sheth</t>
  </si>
  <si>
    <t>Satyam Investments</t>
  </si>
  <si>
    <t>Finance Doctor Pvt. Ltd</t>
  </si>
  <si>
    <t>Subroto Sinha</t>
  </si>
  <si>
    <t>S Babu Arunachalam</t>
  </si>
  <si>
    <t>Vijay Shriram Bhagwat</t>
  </si>
  <si>
    <t>Subras Investments</t>
  </si>
  <si>
    <t>Star Investments</t>
  </si>
  <si>
    <t>Gaurav Mehrotra</t>
  </si>
  <si>
    <t>Manoj Darak</t>
  </si>
  <si>
    <t>Sushma Sanjay Patkar</t>
  </si>
  <si>
    <t>Dhanapal Saidapet Pachai</t>
  </si>
  <si>
    <t>Rushil Financial Services</t>
  </si>
  <si>
    <t>Arihant Finstock</t>
  </si>
  <si>
    <t>Manu Dhawan</t>
  </si>
  <si>
    <t>Kooran Varghese Polson</t>
  </si>
  <si>
    <t>Sandeep S K Ghanekar</t>
  </si>
  <si>
    <t>Vasundhara Mercantiles Pvt. Ltd.</t>
  </si>
  <si>
    <t>Amit Maheshwari</t>
  </si>
  <si>
    <t>Subhash Chandra Mahawar</t>
  </si>
  <si>
    <t>Monica Chadda</t>
  </si>
  <si>
    <t>Mridula Chadda</t>
  </si>
  <si>
    <t>Thakur Insurance &amp; Investment Services</t>
  </si>
  <si>
    <t>Brajesh Singh</t>
  </si>
  <si>
    <t>Leader Care Finance</t>
  </si>
  <si>
    <t>Srinivas Rao Kasinathuni</t>
  </si>
  <si>
    <t>Asha Arun</t>
  </si>
  <si>
    <t>Subhas Chakraborty</t>
  </si>
  <si>
    <t>Nilkanth Bharatkumar Parekh</t>
  </si>
  <si>
    <t>Yogesh Chintaman Kulkarni</t>
  </si>
  <si>
    <t>Rajendra Pachare</t>
  </si>
  <si>
    <t>Frontline Securities Ltd</t>
  </si>
  <si>
    <t>Bajaj Securities</t>
  </si>
  <si>
    <t>Aahlada Securities Pvt Ltd</t>
  </si>
  <si>
    <t>ARYA CHANAKYA INVESTMENT SERVICES PRIVATE LIMITED</t>
  </si>
  <si>
    <t>Ronak Mansukhlal Shah</t>
  </si>
  <si>
    <t>Kartik Pradip Dadia</t>
  </si>
  <si>
    <t>Chintan Champak Joshi</t>
  </si>
  <si>
    <t>Darshan Mahendra Parekh</t>
  </si>
  <si>
    <t>Samit Ashokkumar Jhaveri</t>
  </si>
  <si>
    <t>Babubhai Hiralal &amp; Co</t>
  </si>
  <si>
    <t>Gunisetty Gnana Prasunamba</t>
  </si>
  <si>
    <t>Rakesh Bahadur</t>
  </si>
  <si>
    <t>Subha Brata Roy</t>
  </si>
  <si>
    <t>State Bank of India</t>
  </si>
  <si>
    <t>Jayshree A Shah</t>
  </si>
  <si>
    <t>Deepak Kumar Bhardwaj</t>
  </si>
  <si>
    <t>RACHIT FINANCIAL SERVICES</t>
  </si>
  <si>
    <t>Ashika Stock Broking Ltd</t>
  </si>
  <si>
    <t>Riyaz Chaturali Wadiwala</t>
  </si>
  <si>
    <t>Viral Kirit Mavani</t>
  </si>
  <si>
    <t>Keshavi S. Velani</t>
  </si>
  <si>
    <t>Ganesan Muralidharan</t>
  </si>
  <si>
    <t>LEXUS FUTURE PRIVATE LIMITED</t>
  </si>
  <si>
    <t>ITI Securities Broking Limited</t>
  </si>
  <si>
    <t>Subhankar Bhowmick</t>
  </si>
  <si>
    <t>Rashmi Thukral</t>
  </si>
  <si>
    <t>Thyagarajan Kalyanaraman</t>
  </si>
  <si>
    <t>Ramesh Chander Anand</t>
  </si>
  <si>
    <t>Mitulkumar Satishbhai Shah</t>
  </si>
  <si>
    <t>Veena Chandra</t>
  </si>
  <si>
    <t>Sonal Rajesh Rawani</t>
  </si>
  <si>
    <t>Mahesh Ranchhodbhai Mewada</t>
  </si>
  <si>
    <t>RAINBOW ASSOCIATES</t>
  </si>
  <si>
    <t>Abn Securities</t>
  </si>
  <si>
    <t>ELITE WEALTH LIMITED</t>
  </si>
  <si>
    <t>Hitesh Pramodrai Daftari</t>
  </si>
  <si>
    <t>Prasad D N</t>
  </si>
  <si>
    <t>Sandeep D Bhushetty</t>
  </si>
  <si>
    <t>HDFC Securities Ltd</t>
  </si>
  <si>
    <t>Wealth First Port Folio Managers Ltd</t>
  </si>
  <si>
    <t>Bhavesh Indravadan Gandhi</t>
  </si>
  <si>
    <t>Praveen M Dalmia</t>
  </si>
  <si>
    <t>Mohanlal Sakhawatmal Sukhija</t>
  </si>
  <si>
    <t>The Saraswat Co-Operative Bank Ltd</t>
  </si>
  <si>
    <t>Don'S Share Market</t>
  </si>
  <si>
    <t>Mudra Capital Services Pvt Ltd</t>
  </si>
  <si>
    <t>Porecha Global Securities Pvt Ltd</t>
  </si>
  <si>
    <t>Yashwant Amarsingh Rathod</t>
  </si>
  <si>
    <t>Subham Capital</t>
  </si>
  <si>
    <t>Yogendra Dilipbhai Doshi</t>
  </si>
  <si>
    <t>K Chandramouli</t>
  </si>
  <si>
    <t>Jagadish Dutta</t>
  </si>
  <si>
    <t>BOHO FINSERV PRIVATE LIMITED</t>
  </si>
  <si>
    <t>AD Investments</t>
  </si>
  <si>
    <t>Anand Modi</t>
  </si>
  <si>
    <t>Paramita Datta</t>
  </si>
  <si>
    <t>Natarajan Balasubramaniam</t>
  </si>
  <si>
    <t>Kumar Mahendra Gandhi</t>
  </si>
  <si>
    <t>Manisha Agarwal</t>
  </si>
  <si>
    <t>Janak Dulari</t>
  </si>
  <si>
    <t>Biplab Kumar Ghosh</t>
  </si>
  <si>
    <t>Ram Kishore Jha</t>
  </si>
  <si>
    <t>Suman Gupta</t>
  </si>
  <si>
    <t>Fouress Financial Services</t>
  </si>
  <si>
    <t>Abhay Arvindkumar Shah</t>
  </si>
  <si>
    <t>M2M FINANCIAL SERVICES PRIVATE LIMITED</t>
  </si>
  <si>
    <t>Sharad Gupta</t>
  </si>
  <si>
    <t>Amit Kumar Goyal</t>
  </si>
  <si>
    <t>ALLEGRO SECURITIES PRIVATE LIMITED</t>
  </si>
  <si>
    <t>Arihant Capital Markets Limited</t>
  </si>
  <si>
    <t>Bharat Tokershi Gosar</t>
  </si>
  <si>
    <t>Ajay Jose</t>
  </si>
  <si>
    <t>Nm Financial Services</t>
  </si>
  <si>
    <t>Pranay Girish Vakil</t>
  </si>
  <si>
    <t>Vijay Vishnu Ojale</t>
  </si>
  <si>
    <t>Mayank Arvindbhai Vashi</t>
  </si>
  <si>
    <t>Mithun Mahesh Desai</t>
  </si>
  <si>
    <t>Sanjeev Kumar Gupta</t>
  </si>
  <si>
    <t>Prem Sunderdas Mangtani</t>
  </si>
  <si>
    <t>Ashokkumar Narottambhai Patel</t>
  </si>
  <si>
    <t>Suman Kumar Thakur</t>
  </si>
  <si>
    <t>Devashish Securities Pvt Ltd</t>
  </si>
  <si>
    <t>Arunachalam Radhakrishnan</t>
  </si>
  <si>
    <t>GIANEY &amp; DAUGHTERS FINANCIAL SERVICES</t>
  </si>
  <si>
    <t>Pradeep Ramjibhai Chotalia</t>
  </si>
  <si>
    <t>Jaya Bhatia</t>
  </si>
  <si>
    <t>Ajay Singhania</t>
  </si>
  <si>
    <t>Vision Ahead Services (Pvt) Ltd</t>
  </si>
  <si>
    <t>Neeraj Goyal</t>
  </si>
  <si>
    <t>Knaps Financial Services</t>
  </si>
  <si>
    <t>Misal Investments</t>
  </si>
  <si>
    <t>Prakash Hariram Lohana</t>
  </si>
  <si>
    <t>Neeraj Anil Wagh</t>
  </si>
  <si>
    <t>KGMS Broking &amp; Research (P) Ltd</t>
  </si>
  <si>
    <t>Amit Bhupendra Thakker</t>
  </si>
  <si>
    <t>Rumie Jamshed Gazdar</t>
  </si>
  <si>
    <t>Vyomesh Kishor Chandra Bhatt</t>
  </si>
  <si>
    <t>Invest Search</t>
  </si>
  <si>
    <t>Dhanalakshmi Securities</t>
  </si>
  <si>
    <t>MEGHMALHAR FINANCIAL SERVICES PVT LTD</t>
  </si>
  <si>
    <t>Sumati Khare</t>
  </si>
  <si>
    <t>Alok Agrawal</t>
  </si>
  <si>
    <t>Yogendra Bhaskar Naik Karmali</t>
  </si>
  <si>
    <t>Rajesh Sethi</t>
  </si>
  <si>
    <t>GCJ Share Brokers Ltd.</t>
  </si>
  <si>
    <t>Preetam Amrut Mutha</t>
  </si>
  <si>
    <t>Ganesan Balasubramanian</t>
  </si>
  <si>
    <t>Sapna Sandip Shah</t>
  </si>
  <si>
    <t>Sanjay Jagdish Relekar</t>
  </si>
  <si>
    <t>Mrigendra Kumar Mishra</t>
  </si>
  <si>
    <t>Panam Shares And Services</t>
  </si>
  <si>
    <t>Ramkrishna Jalinder Gaikwad</t>
  </si>
  <si>
    <t>Dhwni Anand Nanavati</t>
  </si>
  <si>
    <t>RAVINDRAN ENTERPRISES LLP</t>
  </si>
  <si>
    <t>Datta Prabhakar Kanbargi</t>
  </si>
  <si>
    <t>Venkatesh Share &amp; Stock Brokers Pvt. Ltd.</t>
  </si>
  <si>
    <t>New Vision Enterprises</t>
  </si>
  <si>
    <t>Vcare Investment Services Pvt. Ltd.</t>
  </si>
  <si>
    <t>Palani Dhamodar</t>
  </si>
  <si>
    <t>Mehul Mahendrabhai Ravani</t>
  </si>
  <si>
    <t>Shifali Satsangee</t>
  </si>
  <si>
    <t>Pihas Mukesh Parikh</t>
  </si>
  <si>
    <t>GADA &amp; HARIA PRIVATE LIMITED</t>
  </si>
  <si>
    <t>Sachin Shashikant Parekh</t>
  </si>
  <si>
    <t>Manoj Kantilal Munot</t>
  </si>
  <si>
    <t>TRANSCEND CAPITAL (INDIA) PRIVATE LIMITED</t>
  </si>
  <si>
    <t>Vinayak Shrirang Kulkarni</t>
  </si>
  <si>
    <t>Dhiraj Sesmal Jain</t>
  </si>
  <si>
    <t>Bheruratan Onkardas Dammani</t>
  </si>
  <si>
    <t>Uday Madhav Kane</t>
  </si>
  <si>
    <t>Rachit S Parikh</t>
  </si>
  <si>
    <t>Santosh Suresh Shah</t>
  </si>
  <si>
    <t>Harshal Mukund Jadhav</t>
  </si>
  <si>
    <t>Anil Keshav Londhe</t>
  </si>
  <si>
    <t>ABCHLOR INVESTMENTS PRIVATE LIMITED</t>
  </si>
  <si>
    <t>Murari Lal Agarwal</t>
  </si>
  <si>
    <t>Ashish Golechha</t>
  </si>
  <si>
    <t>Amit C Sheth</t>
  </si>
  <si>
    <t>Jagjit Singh</t>
  </si>
  <si>
    <t>Alok Kantilal Surana</t>
  </si>
  <si>
    <t>Mehul Hasmukhbhai Shah</t>
  </si>
  <si>
    <t>Devang Shashikant Mehta</t>
  </si>
  <si>
    <t>Harish Singh Negi</t>
  </si>
  <si>
    <t>Sunder Gopal Roy</t>
  </si>
  <si>
    <t>P &amp; J Chandra Financial Services (P) Ltd</t>
  </si>
  <si>
    <t>Investor Care</t>
  </si>
  <si>
    <t>V S ENTERPRISES</t>
  </si>
  <si>
    <t>Om Prakash Agrawal</t>
  </si>
  <si>
    <t>Deepak Dutt Sharma</t>
  </si>
  <si>
    <t>Suresh Rathi Securities Pvt. Ltd.</t>
  </si>
  <si>
    <t>Sharekhan Limited</t>
  </si>
  <si>
    <t>Relacs Investment &amp; Financial Services Pvt Ltd</t>
  </si>
  <si>
    <t>Santosh Suresh Bumb</t>
  </si>
  <si>
    <t>WISEINVEST PRIVATE LIMITED</t>
  </si>
  <si>
    <t>Prasad Madhukar Wagle</t>
  </si>
  <si>
    <t>Ventura Securities Ltd</t>
  </si>
  <si>
    <t>Infinity Finserv (P) Ltd</t>
  </si>
  <si>
    <t>Naveen Daga</t>
  </si>
  <si>
    <t>MIHIKA FINANCIAL SERVICES PRIVATE LIMITED</t>
  </si>
  <si>
    <t>BFC Capital P Ltd</t>
  </si>
  <si>
    <t>Sanjay Gupta</t>
  </si>
  <si>
    <t>Ajit Kumar</t>
  </si>
  <si>
    <t>Sanjay Soni</t>
  </si>
  <si>
    <t>Chandresh Rawka</t>
  </si>
  <si>
    <t>Sip Financial Services</t>
  </si>
  <si>
    <t>Laxmi Narayan Gupta</t>
  </si>
  <si>
    <t>Rajesh Ramgopal Chitlange</t>
  </si>
  <si>
    <t>CAPITAL FINANCIAL DISTRIBUTORS</t>
  </si>
  <si>
    <t>ARTHASHASTRA FINSEC PROVIDERS PRIVATE LIMITED</t>
  </si>
  <si>
    <t>The Federal Bank Ltd.</t>
  </si>
  <si>
    <t>Shashi Prabha Sharma</t>
  </si>
  <si>
    <t>YASH FINSERV</t>
  </si>
  <si>
    <t>Uday Sankar Das</t>
  </si>
  <si>
    <t>Vikram V Oke</t>
  </si>
  <si>
    <t>Yezdi Framroz Langrana</t>
  </si>
  <si>
    <t>Anil Manohar Kataria</t>
  </si>
  <si>
    <t>Kavita</t>
  </si>
  <si>
    <t>Trade Net Wealth Broking Pvt Ltd</t>
  </si>
  <si>
    <t>Yes Bank Limited</t>
  </si>
  <si>
    <t>Narendra Shrikisan Agrawal</t>
  </si>
  <si>
    <t>BURGEON MUTUAL FUND DISTRIBUTORS PRIVATE LIMITED</t>
  </si>
  <si>
    <t>Poonam Gupta</t>
  </si>
  <si>
    <t>Rajiv Kumar Gupta</t>
  </si>
  <si>
    <t>Ajay Kumar Bagda</t>
  </si>
  <si>
    <t>Gagan Choudhry</t>
  </si>
  <si>
    <t>Ajay Shashikant Kale</t>
  </si>
  <si>
    <t>Sameer Shah</t>
  </si>
  <si>
    <t>K Kannan</t>
  </si>
  <si>
    <t>P K Martin</t>
  </si>
  <si>
    <t>Govinda Prabhu G</t>
  </si>
  <si>
    <t>Rohinton R Unani</t>
  </si>
  <si>
    <t>Alpesh Jayeshkumar Patel</t>
  </si>
  <si>
    <t>Ishwar Bansilal Bhatewara</t>
  </si>
  <si>
    <t>Gopal Goenka</t>
  </si>
  <si>
    <t>Kbc Financial Services</t>
  </si>
  <si>
    <t>Pooja Aggarwal</t>
  </si>
  <si>
    <t>Invest &amp; Prosper Financial Services</t>
  </si>
  <si>
    <t>Tushar Manubhai Parekh</t>
  </si>
  <si>
    <t>Nina Chirag Shah</t>
  </si>
  <si>
    <t>COOLBRAIN INVESTMART PRIVATE LIMITED</t>
  </si>
  <si>
    <t>S Rajaraman</t>
  </si>
  <si>
    <t>Nilesh Ranjan</t>
  </si>
  <si>
    <t>Nilesh Kashinath Mahajan</t>
  </si>
  <si>
    <t>Narendra S Baliga</t>
  </si>
  <si>
    <t>Vivek Raghunath Mulay</t>
  </si>
  <si>
    <t>Digvijay Narayan Singh</t>
  </si>
  <si>
    <t>MILESTONE FINANCIAL SERVICES</t>
  </si>
  <si>
    <t>Biswarup Roy</t>
  </si>
  <si>
    <t>P Ramaswamy</t>
  </si>
  <si>
    <t>Tapas Kumar Datta</t>
  </si>
  <si>
    <t>Roongta Securities Pvt. Ltd.</t>
  </si>
  <si>
    <t>Manan Mankad</t>
  </si>
  <si>
    <t>J K Pathak</t>
  </si>
  <si>
    <t>Wholelife Financial Services (Hyderabad) Pvt. Ltd.</t>
  </si>
  <si>
    <t>Abhay Sharma</t>
  </si>
  <si>
    <t>Kapil Amrutbhai Patel</t>
  </si>
  <si>
    <t>Parita Sandeep Gandhi</t>
  </si>
  <si>
    <t>Neeta Jha</t>
  </si>
  <si>
    <t>Shraddha Vinay Dhoot</t>
  </si>
  <si>
    <t>Tuhin Jana</t>
  </si>
  <si>
    <t>Mehta Equities Limited</t>
  </si>
  <si>
    <t>Satej Chandrakant Sangai</t>
  </si>
  <si>
    <t>Manish Kumar</t>
  </si>
  <si>
    <t>Kishore Haribhai Solanki</t>
  </si>
  <si>
    <t>Bhavadasan V K</t>
  </si>
  <si>
    <t>Shishir A Doshi</t>
  </si>
  <si>
    <t>Vision Financial Services</t>
  </si>
  <si>
    <t>V Manohar Lall</t>
  </si>
  <si>
    <t>SUVIDHA FINANCIAL SERVICES</t>
  </si>
  <si>
    <t>Desikanrangarajan</t>
  </si>
  <si>
    <t>Ashwani Tiwari</t>
  </si>
  <si>
    <t>Nilesh Anant Karkare</t>
  </si>
  <si>
    <t>GEPL CAPITAL PRIVATE LIMITED</t>
  </si>
  <si>
    <t>Diva Jyote Portfolios Private Limited</t>
  </si>
  <si>
    <t>R H Kothari</t>
  </si>
  <si>
    <t>Sumit Kishorkumar Nahata</t>
  </si>
  <si>
    <t>Manish Hariram Jhunjhunwala</t>
  </si>
  <si>
    <t>Satish Arora</t>
  </si>
  <si>
    <t>Rahul Ghavri</t>
  </si>
  <si>
    <t>Rohit Lakhani</t>
  </si>
  <si>
    <t>Deepanshu Singhal</t>
  </si>
  <si>
    <t>Deepak Kumar Shukla</t>
  </si>
  <si>
    <t>Hira Motwani</t>
  </si>
  <si>
    <t>Peakalpha Investment Services (P) Ltd.,</t>
  </si>
  <si>
    <t>Indian Overseas Bank</t>
  </si>
  <si>
    <t>Investor Shoppe Private Limited</t>
  </si>
  <si>
    <t>Rakesh D Ratadia</t>
  </si>
  <si>
    <t>Anita Datta Kanbargi</t>
  </si>
  <si>
    <t>Nimish Kantilal Unadkat</t>
  </si>
  <si>
    <t>Amit Sitaram Luharuka</t>
  </si>
  <si>
    <t>Asset Alliance Securities Private Limited</t>
  </si>
  <si>
    <t>Subhash Sharma</t>
  </si>
  <si>
    <t>Viral Jigish Mehta</t>
  </si>
  <si>
    <t>Shriram Insight Share Brokers Ltd</t>
  </si>
  <si>
    <t>VERDANT HORIZONS PRIVATE LIMITED</t>
  </si>
  <si>
    <t>Atul Rameshwar Rathi</t>
  </si>
  <si>
    <t>Surdeep Pati Tripathi</t>
  </si>
  <si>
    <t>Vimal Rai Verma</t>
  </si>
  <si>
    <t>Mukesh Dokania</t>
  </si>
  <si>
    <t>Saji K S</t>
  </si>
  <si>
    <t>Satinder Singh</t>
  </si>
  <si>
    <t>Shavinder Kumar Mittal</t>
  </si>
  <si>
    <t>Manjunatha K N</t>
  </si>
  <si>
    <t>Sushil Kavdia</t>
  </si>
  <si>
    <t>Next Portfolio</t>
  </si>
  <si>
    <t>SAKSHAM WEALTH PRIVATE LIMITED</t>
  </si>
  <si>
    <t>Money Matrix Mart (P) Limited</t>
  </si>
  <si>
    <t>Deepak Krishnamurthy Rao</t>
  </si>
  <si>
    <t>Gopal Chulani</t>
  </si>
  <si>
    <t>MAINSTREAM INVESTMENTS SERVICES PRIVATE LIMITED</t>
  </si>
  <si>
    <t>Sukanta Bhattacharjee</t>
  </si>
  <si>
    <t>Prakash Hegde</t>
  </si>
  <si>
    <t>Durgesh D Babariya</t>
  </si>
  <si>
    <t>Parthasarathy Devarajan</t>
  </si>
  <si>
    <t>Amal Kumar Giri</t>
  </si>
  <si>
    <t>SMC Global Securities Limited</t>
  </si>
  <si>
    <t>Had Best Financial Service</t>
  </si>
  <si>
    <t>Rajesh Lalitbhai Kapadia</t>
  </si>
  <si>
    <t>Norbert Morris Shenoy</t>
  </si>
  <si>
    <t>Vinay Kumar Singh</t>
  </si>
  <si>
    <t>Yusufi I Laxmidhar</t>
  </si>
  <si>
    <t>Lahoti Suresh G</t>
  </si>
  <si>
    <t>Sudhakaran Namboodiri</t>
  </si>
  <si>
    <t>Zeus Distribution House</t>
  </si>
  <si>
    <t>Ravi Rajendra Parikh</t>
  </si>
  <si>
    <t>Satish Ramchandrarao Joshi</t>
  </si>
  <si>
    <t>Pioneer Client Associates Private Limited</t>
  </si>
  <si>
    <t>SHRAMBAL DISTRIBUTORS PRIVATE LIMITED</t>
  </si>
  <si>
    <t>Kartik Amrish Gandhi HUF</t>
  </si>
  <si>
    <t>Reliance Securities Limited</t>
  </si>
  <si>
    <t>R.L.P. Securities Pvt. Ltd.</t>
  </si>
  <si>
    <t>Manjul Awasthi</t>
  </si>
  <si>
    <t>Shri Ashutosh Securities Private Limited</t>
  </si>
  <si>
    <t>Mahindra &amp; Mahindra Financial Services Limited</t>
  </si>
  <si>
    <t>Manish Jayantibhai Patel</t>
  </si>
  <si>
    <t>Jimson David C</t>
  </si>
  <si>
    <t>Seetaram</t>
  </si>
  <si>
    <t>Mukund Seshadri</t>
  </si>
  <si>
    <t>Sunil Bhanudas Kanade</t>
  </si>
  <si>
    <t>Om Apex Investment Services Private Limited</t>
  </si>
  <si>
    <t>Champion Traders</t>
  </si>
  <si>
    <t>Haren R Mehta</t>
  </si>
  <si>
    <t>K Sarath Kumar</t>
  </si>
  <si>
    <t>Amit Narendra Chandak</t>
  </si>
  <si>
    <t>Arun S Mehta</t>
  </si>
  <si>
    <t>Mohammed Erfan</t>
  </si>
  <si>
    <t>Suraj Prakash Shroff HUF</t>
  </si>
  <si>
    <t>International Money Matters Private Limited</t>
  </si>
  <si>
    <t>Pradeep Mohite</t>
  </si>
  <si>
    <t>My Investments</t>
  </si>
  <si>
    <t>Nikul C Parmar</t>
  </si>
  <si>
    <t>WC ASSOCIATES</t>
  </si>
  <si>
    <t>Pratik Arvindbhai Shah</t>
  </si>
  <si>
    <t>Abacus Corporation Private Limited</t>
  </si>
  <si>
    <t>Bhaskar Saha</t>
  </si>
  <si>
    <t>Kamini Jayesh Shah</t>
  </si>
  <si>
    <t>Ramesh Murgeppa Barli</t>
  </si>
  <si>
    <t>Menghraj Dayaram Lulla</t>
  </si>
  <si>
    <t>Tarun Kumar</t>
  </si>
  <si>
    <t>Avinash Bhandari</t>
  </si>
  <si>
    <t>LKP Securities Limited</t>
  </si>
  <si>
    <t>Bhavesh K Gajiwala</t>
  </si>
  <si>
    <t>Pratik Arvindbhai Desai</t>
  </si>
  <si>
    <t>Shagun Sutaria Stock Broking Private Limited</t>
  </si>
  <si>
    <t>Prakash Kumar Jain</t>
  </si>
  <si>
    <t>Sanjeev Ahuja</t>
  </si>
  <si>
    <t>Vikas Khanna</t>
  </si>
  <si>
    <t>Deepak Bakshi</t>
  </si>
  <si>
    <t>Sanjay Prasad</t>
  </si>
  <si>
    <t>Raghupathi Venkatasubbaiah Kikre</t>
  </si>
  <si>
    <t>Jinesh N Doshi</t>
  </si>
  <si>
    <t>Rekha M Gabhawala</t>
  </si>
  <si>
    <t>Arvinder Singh Bindra</t>
  </si>
  <si>
    <t>Rajendra S Satalkar</t>
  </si>
  <si>
    <t>Dhananjoy Das</t>
  </si>
  <si>
    <t>Milind Khasnis</t>
  </si>
  <si>
    <t>Simple Manish Shah</t>
  </si>
  <si>
    <t>Ace Findistria India Private Limited</t>
  </si>
  <si>
    <t>CRESCORE FINANCIAL SERVICES PRIVATE LTD</t>
  </si>
  <si>
    <t>LIFE PLUS</t>
  </si>
  <si>
    <t>Ashish N Shah</t>
  </si>
  <si>
    <t>Chetan Bharat Upadhyay</t>
  </si>
  <si>
    <t>Neeta P Chotalia</t>
  </si>
  <si>
    <t>Surendra Gopal Shetty</t>
  </si>
  <si>
    <t>Alpesh F Patel</t>
  </si>
  <si>
    <t>Money Matters</t>
  </si>
  <si>
    <t>Arun Purushottam Patel</t>
  </si>
  <si>
    <t>Shirish Shah</t>
  </si>
  <si>
    <t>Paliya Devendrakumar Chandrakantbhai</t>
  </si>
  <si>
    <t>Abhenav Khettry</t>
  </si>
  <si>
    <t>Sinhasi Consultants Private Limited</t>
  </si>
  <si>
    <t>Amran Investments Private Limited</t>
  </si>
  <si>
    <t>Jyoti Nikhil Mehta</t>
  </si>
  <si>
    <t>Neeraj Bahal</t>
  </si>
  <si>
    <t>Jalpa Vinod Broker</t>
  </si>
  <si>
    <t>Uddesh Investment</t>
  </si>
  <si>
    <t>R Kannan</t>
  </si>
  <si>
    <t>SM MUTUAL FUND DISTRIBUTORS PRIVATE LIMITED</t>
  </si>
  <si>
    <t>Infinity Corporation</t>
  </si>
  <si>
    <t>S J Investment Services Pvt Ltd</t>
  </si>
  <si>
    <t>Religare Finvest Limited</t>
  </si>
  <si>
    <t>Pankaj Krishnani</t>
  </si>
  <si>
    <t>VISTA WEALTH PRIVATE LIMITED</t>
  </si>
  <si>
    <t>Vikrant Waman Kulkarni</t>
  </si>
  <si>
    <t>Vriksha Investments Private Limited</t>
  </si>
  <si>
    <t>Harish S Kotian</t>
  </si>
  <si>
    <t>Bhanu Pratap Jain</t>
  </si>
  <si>
    <t>ARJA Investments Services Private Limited</t>
  </si>
  <si>
    <t>Tumma Balraj</t>
  </si>
  <si>
    <t>Continuum Financial Services Private Limited</t>
  </si>
  <si>
    <t>IMPETUS ARTHASUTRA PRIVATE LIMITED</t>
  </si>
  <si>
    <t>LEMON FUNDZ LLP</t>
  </si>
  <si>
    <t>PRO-CATALYST FINANCIAL SERVICES</t>
  </si>
  <si>
    <t>Neeraj Arya</t>
  </si>
  <si>
    <t>Rakhi Sunil Golechha</t>
  </si>
  <si>
    <t>Geetanjali Jain</t>
  </si>
  <si>
    <t>Tara Chand Jain</t>
  </si>
  <si>
    <t>COMSOL DISTRIBUTION SERVICES PRIVATE LIMITED</t>
  </si>
  <si>
    <t>Divakar Joshi</t>
  </si>
  <si>
    <t>Chennai Capital</t>
  </si>
  <si>
    <t>Shreeprakash</t>
  </si>
  <si>
    <t>Chirag Jain</t>
  </si>
  <si>
    <t>Sandeep S Borse</t>
  </si>
  <si>
    <t>Ratnadeep Jayaprakash Patil</t>
  </si>
  <si>
    <t>Bharat Arora</t>
  </si>
  <si>
    <t>Dsa Capital Services</t>
  </si>
  <si>
    <t>Hemant Suryakant Powale</t>
  </si>
  <si>
    <t>Sangeeta Malhotra</t>
  </si>
  <si>
    <t>Sernet Financial Services Private Limited</t>
  </si>
  <si>
    <t>Dhanlaxmi Bank Limited</t>
  </si>
  <si>
    <t>Rajeev Bharti</t>
  </si>
  <si>
    <t>Indo Thai Securities Limited</t>
  </si>
  <si>
    <t>Bank Of Baroda</t>
  </si>
  <si>
    <t>Vr Aiyappan</t>
  </si>
  <si>
    <t>Director General Posts</t>
  </si>
  <si>
    <t>Nalini Kanta Dhar</t>
  </si>
  <si>
    <t>Srivari Investments</t>
  </si>
  <si>
    <t>Rupesh Kamalkumar Jain</t>
  </si>
  <si>
    <t>Pragnesh S Desai</t>
  </si>
  <si>
    <t>SNS MUTUAL FUND DISTRIBUTORS PRIVATE LIMITED</t>
  </si>
  <si>
    <t>Sushil Moondra</t>
  </si>
  <si>
    <t>Smit Hitesh Shah</t>
  </si>
  <si>
    <t>The Karnataka Bank Limited</t>
  </si>
  <si>
    <t>Sameer Janakbhai Thakkar</t>
  </si>
  <si>
    <t>NDA Securities Limited</t>
  </si>
  <si>
    <t>Vivek Mahajan</t>
  </si>
  <si>
    <t>MILESTONE GLOBAL MONEYMART PRIVATE LIMITED</t>
  </si>
  <si>
    <t>Tejal K Gandhi</t>
  </si>
  <si>
    <t>Shri Mahila Sewa Sahakari Bank Ltd.</t>
  </si>
  <si>
    <t>Harsh Mahajan</t>
  </si>
  <si>
    <t>Sanjay Murlidhar Khanwelkar</t>
  </si>
  <si>
    <t>Sanjay Sampatlal Gandhi</t>
  </si>
  <si>
    <t>Avdhesh Garg</t>
  </si>
  <si>
    <t>Ankit Jain</t>
  </si>
  <si>
    <t>Manjula S</t>
  </si>
  <si>
    <t>Sougata Mitra</t>
  </si>
  <si>
    <t>Prokens Opesmetrics Pvt Ltd</t>
  </si>
  <si>
    <t>Abhijit Shivanand Sawant</t>
  </si>
  <si>
    <t>Golkunda Commercial Private Limited</t>
  </si>
  <si>
    <t>NAKSHTRA VENTURES PRIVATE LIMITED</t>
  </si>
  <si>
    <t>Viresh V Patel</t>
  </si>
  <si>
    <t>Brijesh Gupta</t>
  </si>
  <si>
    <t>Anup Chakraborty</t>
  </si>
  <si>
    <t>Dinesh Kumar Bapna</t>
  </si>
  <si>
    <t>Kamal Kranti</t>
  </si>
  <si>
    <t>HDFC Sales Private Limited</t>
  </si>
  <si>
    <t>Net Brokers Private Limited</t>
  </si>
  <si>
    <t>Vipul Gupta</t>
  </si>
  <si>
    <t>Lakshminarasimha</t>
  </si>
  <si>
    <t>Jainam Broking Limited</t>
  </si>
  <si>
    <t>Aleshi</t>
  </si>
  <si>
    <t>Rajesh Kadam</t>
  </si>
  <si>
    <t>PRUDENT ASSET INDIA PRIVATE LIMITED</t>
  </si>
  <si>
    <t>Yamparala Jaya Krishna</t>
  </si>
  <si>
    <t>Nikhil Shankar Girme</t>
  </si>
  <si>
    <t>Shah Mahendra Nagindas</t>
  </si>
  <si>
    <t>S-Cube Associates</t>
  </si>
  <si>
    <t>Urjita Financial Services Private Limited</t>
  </si>
  <si>
    <t>Praveen Bhadada</t>
  </si>
  <si>
    <t>Fenil Jaisukh Mehta</t>
  </si>
  <si>
    <t>Batra Jasmeet Kirpalsingh</t>
  </si>
  <si>
    <t>Great India Insurance Services</t>
  </si>
  <si>
    <t>Vivek Nawalkha</t>
  </si>
  <si>
    <t>Mukesh Kumar Vinodlal Shah</t>
  </si>
  <si>
    <t>Mahavir Investment</t>
  </si>
  <si>
    <t>Madhav Arora</t>
  </si>
  <si>
    <t>Ashish Mittal</t>
  </si>
  <si>
    <t>Karan Agarwal</t>
  </si>
  <si>
    <t>YKS Capital Services LLP</t>
  </si>
  <si>
    <t>Deepak D Pandit</t>
  </si>
  <si>
    <t>N Pundari Kakshudu</t>
  </si>
  <si>
    <t>Divya Finance</t>
  </si>
  <si>
    <t>Sanat Kacker</t>
  </si>
  <si>
    <t>Avanish K Shah</t>
  </si>
  <si>
    <t>Servesh Kumar</t>
  </si>
  <si>
    <t>Vijay Rajaram Dinkar</t>
  </si>
  <si>
    <t>IMPERIAL PRIME CAPITAL PRIVATE LIMITED</t>
  </si>
  <si>
    <t>Probin Agarwalla</t>
  </si>
  <si>
    <t>JAYASHA FINANCIAL SERVICES</t>
  </si>
  <si>
    <t>Pratap Chandra Sahoo</t>
  </si>
  <si>
    <t>Arun Sankar</t>
  </si>
  <si>
    <t>Rakesh Kumar Sharma</t>
  </si>
  <si>
    <t>Rajasekhara Prasad Jyothish</t>
  </si>
  <si>
    <t>Rajnikant Salunkhe</t>
  </si>
  <si>
    <t>Mukeshbhai Gigabhai Jetani</t>
  </si>
  <si>
    <t>Ajay Kumar Singh</t>
  </si>
  <si>
    <t>Marwadi Shares And Finance Limited</t>
  </si>
  <si>
    <t>Shwetang Sanat Sheth</t>
  </si>
  <si>
    <t>FIRSTCALL FINANCIAL SERVICES</t>
  </si>
  <si>
    <t>Raja Ram Sahu</t>
  </si>
  <si>
    <t>Maya Gupta</t>
  </si>
  <si>
    <t>IFAN FINSERV PRIVATE LIMITED</t>
  </si>
  <si>
    <t>Vitthal Kanade</t>
  </si>
  <si>
    <t>Pragnesh Chandulal Shah</t>
  </si>
  <si>
    <t>Dharmendra Kumar</t>
  </si>
  <si>
    <t>B Palani</t>
  </si>
  <si>
    <t>Vashistha Capital</t>
  </si>
  <si>
    <t>Hardik Dineshbhai Doshi</t>
  </si>
  <si>
    <t>Sanjay Jain</t>
  </si>
  <si>
    <t>Niblick Capital Growth Private Limited</t>
  </si>
  <si>
    <t>D Muthukrishnan</t>
  </si>
  <si>
    <t>Vinay Kumar Goel</t>
  </si>
  <si>
    <t>Manoj Kr Sharma</t>
  </si>
  <si>
    <t>Kunvarji Finstock Pvt. Ltd.</t>
  </si>
  <si>
    <t>Abhishek Mohta</t>
  </si>
  <si>
    <t>Profit Mantra</t>
  </si>
  <si>
    <t>Om Sanchay Insurance Agency</t>
  </si>
  <si>
    <t>JURY INVESTMENT MALL PRIVATE LIMITED</t>
  </si>
  <si>
    <t>Harsha Nandlal Parekh</t>
  </si>
  <si>
    <t>Ravindra Aidan Rathi</t>
  </si>
  <si>
    <t>Bharat Parekh Financial &amp; Insurance Ser. Pvt. Ltd.</t>
  </si>
  <si>
    <t>Swaraj Shares &amp; Securities Private Limited</t>
  </si>
  <si>
    <t>K V S Chauhan</t>
  </si>
  <si>
    <t>Niyati J Bhat</t>
  </si>
  <si>
    <t>Nilesh Bhansali</t>
  </si>
  <si>
    <t>Shriram Fortune Solutions Ltd.</t>
  </si>
  <si>
    <t>Kshitiz Agarwal</t>
  </si>
  <si>
    <t>Cromelite Industries (India) Private Ltd.</t>
  </si>
  <si>
    <t>Jayesh Nareshchandra Patwa</t>
  </si>
  <si>
    <t>Bhushan Dinkar Mahajan</t>
  </si>
  <si>
    <t>Perfect Investments</t>
  </si>
  <si>
    <t>Shweta Poddar</t>
  </si>
  <si>
    <t>PRIME GOLD MUTUAL FUND DISTRIBUTORS PRIVATE LIMITED</t>
  </si>
  <si>
    <t>C Ravikumar</t>
  </si>
  <si>
    <t>Kantilal Bhavarlal Jain</t>
  </si>
  <si>
    <t>Anup Thirani</t>
  </si>
  <si>
    <t>Sharath F Mascarenhas</t>
  </si>
  <si>
    <t>Dayco Securities Private Limited</t>
  </si>
  <si>
    <t>VALUE ONE UP DISTRIBUTION PRIVATE LIMITED</t>
  </si>
  <si>
    <t>Padam Fininv Services Private Limited</t>
  </si>
  <si>
    <t>DAS CAPITAL PRIVATE LIMITED</t>
  </si>
  <si>
    <t>Invest 'N' Gain Financial Services</t>
  </si>
  <si>
    <t>Star Bulls</t>
  </si>
  <si>
    <t>Akta Associates</t>
  </si>
  <si>
    <t>Ask Wealth Advisors Private Limited</t>
  </si>
  <si>
    <t>Rahul Sethia</t>
  </si>
  <si>
    <t>Manthan Shah</t>
  </si>
  <si>
    <t>FINXSOFTWARE LIMITED</t>
  </si>
  <si>
    <t>Priya Balasubramaniam</t>
  </si>
  <si>
    <t>Sunil Hindocha</t>
  </si>
  <si>
    <t>IIFL SECURITIES LIMITED</t>
  </si>
  <si>
    <t>Alkesh R Shah</t>
  </si>
  <si>
    <t>Sonal J Kotak</t>
  </si>
  <si>
    <t>Girish Wani</t>
  </si>
  <si>
    <t>Vaibhav Investments</t>
  </si>
  <si>
    <t>Lotus Knowlwealth Private Limited</t>
  </si>
  <si>
    <t>Jalan Financial Services</t>
  </si>
  <si>
    <t>CREDO CAPITAL</t>
  </si>
  <si>
    <t>Viral Arvindbhai Shah</t>
  </si>
  <si>
    <t>WAY TO GAIN PRIVATE LIMITED</t>
  </si>
  <si>
    <t>Niraj Kumar Sinha</t>
  </si>
  <si>
    <t>Equations</t>
  </si>
  <si>
    <t>V Serve Management Private Limited</t>
  </si>
  <si>
    <t>Cedrus Consultants Private Limited</t>
  </si>
  <si>
    <t>Samit Kumar Ghosh</t>
  </si>
  <si>
    <t>Salil B Kothari</t>
  </si>
  <si>
    <t>Nikhil Jain</t>
  </si>
  <si>
    <t>MEGRIAR ASSOCIATES PRIVATE LIMITED</t>
  </si>
  <si>
    <t>PRAKALA WEALTH PRIVATE LIMITED</t>
  </si>
  <si>
    <t>Calibre Investments</t>
  </si>
  <si>
    <t>Harshvardhan B Sekhsaria</t>
  </si>
  <si>
    <t>Sandeep Shanbhag</t>
  </si>
  <si>
    <t>Rajesh Falor</t>
  </si>
  <si>
    <t>Unnati Capital Services Pvt Ltd</t>
  </si>
  <si>
    <t>Southern Capital</t>
  </si>
  <si>
    <t>Pradeep Financial Services</t>
  </si>
  <si>
    <t>MILESTONE FINANCIAL DISTRIBUTION PRIVATE LIMITED</t>
  </si>
  <si>
    <t>Anurag Gupta</t>
  </si>
  <si>
    <t>Bhavik Girish Dand</t>
  </si>
  <si>
    <t>Sanjeev J Sangai</t>
  </si>
  <si>
    <t>SHILPI FINANCIAL SERVICEZ</t>
  </si>
  <si>
    <t>Rajat Bhargava</t>
  </si>
  <si>
    <t>Feroze Sha</t>
  </si>
  <si>
    <t>Devavrat Parvate</t>
  </si>
  <si>
    <t>Arvind Mahale</t>
  </si>
  <si>
    <t>TOTAL SERVICES SHRI KALINDI</t>
  </si>
  <si>
    <t>Deepam Marketing Enterprises (P) Ltd</t>
  </si>
  <si>
    <t>Sweta Singhania</t>
  </si>
  <si>
    <t>PEGASUS FINSERV PRIVATE LIMITED</t>
  </si>
  <si>
    <t>CHESSY FINOPS PRIVATE LIMITED</t>
  </si>
  <si>
    <t>'MY OWN' ARMFD</t>
  </si>
  <si>
    <t>Capital Builders</t>
  </si>
  <si>
    <t>Affluenz Financial Services India Private Limited</t>
  </si>
  <si>
    <t>Tata Capital Limited</t>
  </si>
  <si>
    <t>Assetz Premier Wealth Advisory Pvt Ltd</t>
  </si>
  <si>
    <t>Ace Wealth</t>
  </si>
  <si>
    <t>Rajesh Bhardwaj</t>
  </si>
  <si>
    <t>DK INVESTMENTS</t>
  </si>
  <si>
    <t>Sujit Nag</t>
  </si>
  <si>
    <t>Foresight Inad</t>
  </si>
  <si>
    <t>Prabhat Kumar</t>
  </si>
  <si>
    <t>PRIYARTH VENTURES PRIVATE LIMITED</t>
  </si>
  <si>
    <t>Bhakti Mehta Vakil</t>
  </si>
  <si>
    <t>Andrew Lewis Cunha</t>
  </si>
  <si>
    <t>Jignesh P.Shah</t>
  </si>
  <si>
    <t>Kailas Sudhir Gadgil</t>
  </si>
  <si>
    <t>Animesh Chakraborti</t>
  </si>
  <si>
    <t>INVESTWISE</t>
  </si>
  <si>
    <t>Rakesh Garg</t>
  </si>
  <si>
    <t>Mohit Beriwala</t>
  </si>
  <si>
    <t>Shobhit Agrawal</t>
  </si>
  <si>
    <t>Gopi Kishan Agarwal</t>
  </si>
  <si>
    <t>Cholamandalam Securities Ltd</t>
  </si>
  <si>
    <t>Kamlesh Ramanbhai Patel</t>
  </si>
  <si>
    <t>Anandbir Singh</t>
  </si>
  <si>
    <t>Ramakrishna Kolluri</t>
  </si>
  <si>
    <t>AF FINANCIAL DISTRIBUTION PRIVATE LIMITED</t>
  </si>
  <si>
    <t>CKREDENCE INVESTMENT SERVICES PVT LTD</t>
  </si>
  <si>
    <t>Bhavana Tushar Amrutkar</t>
  </si>
  <si>
    <t>Meenakshi Rajesh Sikchi</t>
  </si>
  <si>
    <t>Gagan Deep</t>
  </si>
  <si>
    <t>Harshad Siddhartha Bhishikar</t>
  </si>
  <si>
    <t>Barclays Securities (India) Pvt Ltd</t>
  </si>
  <si>
    <t>Maganlal T Bhoraniya</t>
  </si>
  <si>
    <t>Save &amp; Prosper Securities Pvt Ltd</t>
  </si>
  <si>
    <t>Vijay Kapil</t>
  </si>
  <si>
    <t>Ambar Mukherjee</t>
  </si>
  <si>
    <t>The Cosmos Co-Operative Bank Ltd</t>
  </si>
  <si>
    <t>Deepa Mehra</t>
  </si>
  <si>
    <t>KSTAR FINANCIAL SERVICES PRIVATE LIMITED</t>
  </si>
  <si>
    <t>Credit Suisse Securities India Pvt Ltd</t>
  </si>
  <si>
    <t>Rajendra Kashinath Kelkar</t>
  </si>
  <si>
    <t>Anish Narottamdas Sampat</t>
  </si>
  <si>
    <t>Nikhil Suresh Khatiwala</t>
  </si>
  <si>
    <t>Money Care Financial Services</t>
  </si>
  <si>
    <t>Invest Partners</t>
  </si>
  <si>
    <t>Artha Yantra Corporation Pvt Ltd</t>
  </si>
  <si>
    <t>SVC CO OPERATIVE BANK LTD</t>
  </si>
  <si>
    <t>DIVITAS CAPITAL PRIVATE LIMITED</t>
  </si>
  <si>
    <t>Arthbodh Shares &amp; Investments Pvt Ltd</t>
  </si>
  <si>
    <t>KPW FINSERV PRIVATE LIMITED</t>
  </si>
  <si>
    <t>JRG FINANCIAL SERVICES PRIVATE LIMITED</t>
  </si>
  <si>
    <t>Sunil Lala</t>
  </si>
  <si>
    <t>B Giri Babu</t>
  </si>
  <si>
    <t>Rajnish Kumar Gupta</t>
  </si>
  <si>
    <t>Tapas Kumar Dey</t>
  </si>
  <si>
    <t>Aadinath Investment</t>
  </si>
  <si>
    <t>Fin Secure</t>
  </si>
  <si>
    <t>Roy Daniel</t>
  </si>
  <si>
    <t>KNS MONEY PRIVATE LIMITED</t>
  </si>
  <si>
    <t>Wise Investments</t>
  </si>
  <si>
    <t>Raedan Securities LLP</t>
  </si>
  <si>
    <t>Avinash Dubey</t>
  </si>
  <si>
    <t>Sunil Kumar Sahu</t>
  </si>
  <si>
    <t>Vijay Kumar Garg</t>
  </si>
  <si>
    <t>Ladderup Wealth Management Pvt Ltd</t>
  </si>
  <si>
    <t>DAKSH FINQ PRIVATE LIMITED</t>
  </si>
  <si>
    <t>Suba Shares</t>
  </si>
  <si>
    <t>Job J Neroth</t>
  </si>
  <si>
    <t>Right Horizons Financial Services Pvt Ltd</t>
  </si>
  <si>
    <t>TIRUMALAI FINANCIAL SERVICES</t>
  </si>
  <si>
    <t>Ketan Rajesh Sheth</t>
  </si>
  <si>
    <t>Dhaval S Shah</t>
  </si>
  <si>
    <t>NSN Financial Services Pvt Ltd</t>
  </si>
  <si>
    <t>Dolfin Investments</t>
  </si>
  <si>
    <t>KAPIL KHURANA FINANCIAL VENTURES PRIVATE LIMITED</t>
  </si>
  <si>
    <t>Vridhi Investment Intermediates Pvt Ltd</t>
  </si>
  <si>
    <t>DALMIA WEALTH PRIVATE LIMITED</t>
  </si>
  <si>
    <t>Jaisimha Sharma</t>
  </si>
  <si>
    <t>Master Capital Services Ltd</t>
  </si>
  <si>
    <t>G Manikantan Nair</t>
  </si>
  <si>
    <t>Sharad Gulabrao Ingawale</t>
  </si>
  <si>
    <t>Dinesh Limaye</t>
  </si>
  <si>
    <t>Proact Financial Services</t>
  </si>
  <si>
    <t>Sift Capital</t>
  </si>
  <si>
    <t>GROWFINN WEALTH PRIVATE LIMITED</t>
  </si>
  <si>
    <t>Khyati Jayesh Mashru</t>
  </si>
  <si>
    <t>Eljay Financial Engineers</t>
  </si>
  <si>
    <t>Money Honey Financial Services Pvt Ltd</t>
  </si>
  <si>
    <t>Santushti Capital LLP</t>
  </si>
  <si>
    <t>Mitul Pravinchandra Desai</t>
  </si>
  <si>
    <t>SV SHAREVIEWS</t>
  </si>
  <si>
    <t>MK GRANDZENITH PRIVATE LIMITED</t>
  </si>
  <si>
    <t>Varsha Vasant Limhan</t>
  </si>
  <si>
    <t>Vivek Pathak</t>
  </si>
  <si>
    <t>B&amp;W MUTUAL FUND DISTRIBUTORS</t>
  </si>
  <si>
    <t>PNR ASSOCIATES PRIVATE LIMITED</t>
  </si>
  <si>
    <t>Namokar Investments</t>
  </si>
  <si>
    <t>VITHADWAITHA FINANCIAL SERVICES PRIVATE LIMITED</t>
  </si>
  <si>
    <t>Md Jarzis Hossain</t>
  </si>
  <si>
    <t>Akhileshwar Jha</t>
  </si>
  <si>
    <t>Alpha Capital</t>
  </si>
  <si>
    <t>Kalaben Prafulbhai Gadoya</t>
  </si>
  <si>
    <t>Wealthpoint Financial Resources Pvt Ltd</t>
  </si>
  <si>
    <t>VR Wealth Advisors Pvt Ltd</t>
  </si>
  <si>
    <t>Deepak Goyal</t>
  </si>
  <si>
    <t>Sylvester Jude Dsouza</t>
  </si>
  <si>
    <t>Care Wealth</t>
  </si>
  <si>
    <t>NKGSB Co-op Bank Ltd</t>
  </si>
  <si>
    <t>Kajal Gopal Chulani</t>
  </si>
  <si>
    <t>Pratikkumar Ashokbhai Shah</t>
  </si>
  <si>
    <t>Sejal Avanish Shah</t>
  </si>
  <si>
    <t>AUM Capital Market Pvt Ltd</t>
  </si>
  <si>
    <t>Axis Securities Limited</t>
  </si>
  <si>
    <t>Jimit Ajit Shah</t>
  </si>
  <si>
    <t>Systematix Shares And Stocks (India) Ltd</t>
  </si>
  <si>
    <t>Dhruv Vidyut Trivedi</t>
  </si>
  <si>
    <t>Mahesh Mulraj Ashar</t>
  </si>
  <si>
    <t>Gautam Singhania</t>
  </si>
  <si>
    <t>Ashish Srivastava</t>
  </si>
  <si>
    <t>Vipul Prakashchand Jain</t>
  </si>
  <si>
    <t>Vinod Agrawal</t>
  </si>
  <si>
    <t>Bikash Harlalka</t>
  </si>
  <si>
    <t>Pathik Shah</t>
  </si>
  <si>
    <t>Suresh Acharya</t>
  </si>
  <si>
    <t>TJSB Sahakari Bank Ltd</t>
  </si>
  <si>
    <t>Nirav Panchmatia</t>
  </si>
  <si>
    <t>Vishal Sachdeva</t>
  </si>
  <si>
    <t>Jyoti Amol Pawar</t>
  </si>
  <si>
    <t>Prakash Capitals</t>
  </si>
  <si>
    <t>M K Financials</t>
  </si>
  <si>
    <t>Srinivas Kumar Rangavajulla</t>
  </si>
  <si>
    <t>Ethix</t>
  </si>
  <si>
    <t>Maurya Securities Pvt Ltd</t>
  </si>
  <si>
    <t>Nirali Ashit Shah</t>
  </si>
  <si>
    <t>Rajesh Kumar</t>
  </si>
  <si>
    <t>Gurdeesh Bhalla</t>
  </si>
  <si>
    <t>Srinivas Tutturi</t>
  </si>
  <si>
    <t>Shobhit Rohatgi</t>
  </si>
  <si>
    <t>T Mahender Reddy</t>
  </si>
  <si>
    <t>Ashis Podder</t>
  </si>
  <si>
    <t>JHARKHAND RAJYA GRAMIN BANK</t>
  </si>
  <si>
    <t>MULRI WEALTH</t>
  </si>
  <si>
    <t>Kaustubh Vyanktesh Kulkarni</t>
  </si>
  <si>
    <t>Jayesh Sureshbhai Shah</t>
  </si>
  <si>
    <t>Manasi Mahesh Soman</t>
  </si>
  <si>
    <t>S S FUND DISTRIBUTORS PRIVATE LIMITED</t>
  </si>
  <si>
    <t>Bihag I Parikh</t>
  </si>
  <si>
    <t>Kaushal Kumar Patel</t>
  </si>
  <si>
    <t>Niveau Financial Services</t>
  </si>
  <si>
    <t>Dara Maneksha Mistry</t>
  </si>
  <si>
    <t>Tejas Bharatkumar Shah</t>
  </si>
  <si>
    <t>Wealth India Financial Services Pvt Ltd</t>
  </si>
  <si>
    <t>Ashok Kumar Gupta</t>
  </si>
  <si>
    <t>Virendra Singh Bhoj</t>
  </si>
  <si>
    <t>WELT FINSERV PRIVATE LIMITED</t>
  </si>
  <si>
    <t>Saksham Securities Pvt Ltd</t>
  </si>
  <si>
    <t>Blue Ocean Financial Services Pvt Ltd</t>
  </si>
  <si>
    <t>Nuvama Wealth and Investment Limited</t>
  </si>
  <si>
    <t>Mars Millennium Financial Services Private Limited</t>
  </si>
  <si>
    <t>Gaindamull Hemraj Financial Services</t>
  </si>
  <si>
    <t>Monika Abhishek Nayta</t>
  </si>
  <si>
    <t>Ketan Shripad Nanivadekar</t>
  </si>
  <si>
    <t>SHREE SAIRAM INVESTMART PRIVATE LIMITED</t>
  </si>
  <si>
    <t>Muthoot Securities Ltd</t>
  </si>
  <si>
    <t>WHAM ECO POWER PRIVATE LIMITED</t>
  </si>
  <si>
    <t>Kapil Khurana</t>
  </si>
  <si>
    <t>Saroj Kumar</t>
  </si>
  <si>
    <t>Sameer H Lalwani</t>
  </si>
  <si>
    <t>Dwarka Capital Services</t>
  </si>
  <si>
    <t>Mamta Financial Services</t>
  </si>
  <si>
    <t>Vaibhav Ankush Rane</t>
  </si>
  <si>
    <t>Manisankar Chatterjee</t>
  </si>
  <si>
    <t>Naveen Kumar Daiya</t>
  </si>
  <si>
    <t>Hemant Murlidhar Kanbhat</t>
  </si>
  <si>
    <t>A D NAIK WEALTH PRIVATE LIMITED</t>
  </si>
  <si>
    <t>Omprakash Shankar Prabhu</t>
  </si>
  <si>
    <t>TIGER WEALTH PRIVATE LIMITED</t>
  </si>
  <si>
    <t>RB Wealth Insight Pvt Ltd</t>
  </si>
  <si>
    <t>Alpha Investment Services</t>
  </si>
  <si>
    <t>Doogar and Associates Securities Private Limited</t>
  </si>
  <si>
    <t>SS CAPITAL DISTRIBUTION PVT LTD</t>
  </si>
  <si>
    <t>Neelesh Keshavji Gala</t>
  </si>
  <si>
    <t>Elite Portfolio Management</t>
  </si>
  <si>
    <t>Ramneek Singh Sidhu</t>
  </si>
  <si>
    <t>Pentagraph Partners</t>
  </si>
  <si>
    <t>Hexagon Broking Pvt Ltd</t>
  </si>
  <si>
    <t>Rajesh Kumar Tiwary</t>
  </si>
  <si>
    <t>Jagadeesh R Pai</t>
  </si>
  <si>
    <t>Yogesh Motilal Jaiswal</t>
  </si>
  <si>
    <t>Sandeep Kumar Gupta</t>
  </si>
  <si>
    <t>Sapient Wealth Advisors And Brokers Pvt Ltd</t>
  </si>
  <si>
    <t>Ascend Financial INC</t>
  </si>
  <si>
    <t>Shashank Joshi</t>
  </si>
  <si>
    <t>Growmore Financial Services</t>
  </si>
  <si>
    <t>Grow More Investment</t>
  </si>
  <si>
    <t>Manoj Mohan Dharmadhikari</t>
  </si>
  <si>
    <t>Capricorne Mindframe</t>
  </si>
  <si>
    <t>Saroj Securities</t>
  </si>
  <si>
    <t>Chhattisgarh Rajya Gramin Bank</t>
  </si>
  <si>
    <t>InvestAscent Wealth Advisors Pvt Ltd</t>
  </si>
  <si>
    <t>MYVU Capital Services Pvt Ltd</t>
  </si>
  <si>
    <t>ARA FINANCIAL SERVICES PRIVATE LIMITED</t>
  </si>
  <si>
    <t>CAPSTONE FUTURE CAPITAL</t>
  </si>
  <si>
    <t>Heramb Dinkar Rasal</t>
  </si>
  <si>
    <t>Imperial India Investment Company</t>
  </si>
  <si>
    <t>Dhanvriddhi Finvest Services Pvt Ltd</t>
  </si>
  <si>
    <t>Clifford L Dsouza</t>
  </si>
  <si>
    <t>Yogesh Shah Securities Pvt Ltd</t>
  </si>
  <si>
    <t>Tg Financial Services</t>
  </si>
  <si>
    <t>N Hariharaputhran</t>
  </si>
  <si>
    <t>Aarti Haren Mehta</t>
  </si>
  <si>
    <t>Chetan Mohanlal Mutha</t>
  </si>
  <si>
    <t>RAM FINANCIAL WELLNESS PRIVATE LIMITED</t>
  </si>
  <si>
    <t>Virendra Pal Singh</t>
  </si>
  <si>
    <t>Rohin Gupta</t>
  </si>
  <si>
    <t>Shah Investment</t>
  </si>
  <si>
    <t>Naresh Kumar Verma</t>
  </si>
  <si>
    <t>Globe Capital Market Ltd</t>
  </si>
  <si>
    <t>Rajesh Deshpande</t>
  </si>
  <si>
    <t>SAMMADITTHI SERVICES</t>
  </si>
  <si>
    <t>Varun Agarwal</t>
  </si>
  <si>
    <t>ANGEL ONE LIMITED</t>
  </si>
  <si>
    <t>FIDUCIAL FINANCIAL SERVICES PRIVATE LIMITED</t>
  </si>
  <si>
    <t>Eureka Stock And Share Broking Services Ltd</t>
  </si>
  <si>
    <t>Sajag Securities Private Limited</t>
  </si>
  <si>
    <t>Gaurav Ganpule</t>
  </si>
  <si>
    <t>Way2wealth Brokers Pvt Ltd</t>
  </si>
  <si>
    <t>SKCL CAPITAL PRIVATE LIMITED</t>
  </si>
  <si>
    <t>Sushil Financial Services Pvt Ltd</t>
  </si>
  <si>
    <t>V B Associates</t>
  </si>
  <si>
    <t>Virendrakumar Rajnikant Modi</t>
  </si>
  <si>
    <t>Anjana Shah</t>
  </si>
  <si>
    <t>Array Financial Services</t>
  </si>
  <si>
    <t>Share India Securities Limited</t>
  </si>
  <si>
    <t>Genome Capital</t>
  </si>
  <si>
    <t>Savitri Agrawal</t>
  </si>
  <si>
    <t>INCREDIBLE GROWTH SERVICES PRIVATE LIMITED</t>
  </si>
  <si>
    <t>Birendra Kumar</t>
  </si>
  <si>
    <t>SUMMARISE CORPORATE PRIVATE LIMITED</t>
  </si>
  <si>
    <t>Vijay Pratap Singh</t>
  </si>
  <si>
    <t>CHOICE WEALTH PRIVATE LIMITED</t>
  </si>
  <si>
    <t>Rajat Khanna</t>
  </si>
  <si>
    <t>Partho Chakraborty</t>
  </si>
  <si>
    <t>Rajesh Kaura</t>
  </si>
  <si>
    <t>ETICA WEALTH PRIVATE LIMITED</t>
  </si>
  <si>
    <t>Harjindarkaur Wadhawan</t>
  </si>
  <si>
    <t>Shivam Mehrotra</t>
  </si>
  <si>
    <t>MITTAL SECURITIES</t>
  </si>
  <si>
    <t>O3 Securities Pvt Ltd</t>
  </si>
  <si>
    <t>Future Vista</t>
  </si>
  <si>
    <t>Nitin Sud</t>
  </si>
  <si>
    <t>Rishi Gupta</t>
  </si>
  <si>
    <t>Vinay Gupta</t>
  </si>
  <si>
    <t>JAIN PRIVY CLIENT PRIVATE LIMITED</t>
  </si>
  <si>
    <t>Vintage Finvest Services Private Limited</t>
  </si>
  <si>
    <t>VJB Financial Services Pvt Ltd</t>
  </si>
  <si>
    <t>TRANSCEND INVESTMENT SERVICES PRIVATE LIMITED</t>
  </si>
  <si>
    <t>Ethical Financial Services</t>
  </si>
  <si>
    <t>FINWISE SERVICES PVT LTD</t>
  </si>
  <si>
    <t>Prafulchandra Ramniklal Kothari</t>
  </si>
  <si>
    <t>Neeraj Kumar Gupta</t>
  </si>
  <si>
    <t>Bhavin Modi</t>
  </si>
  <si>
    <t>Parimal Sadashivrao Ade</t>
  </si>
  <si>
    <t>Sameer Hassija</t>
  </si>
  <si>
    <t>Credence Family Office Private Limited</t>
  </si>
  <si>
    <t>Josveen J Menezes</t>
  </si>
  <si>
    <t>Saibal Biswas</t>
  </si>
  <si>
    <t>Sachin Kumar Mirajkar</t>
  </si>
  <si>
    <t>Jitendra Jaiswal</t>
  </si>
  <si>
    <t>Dhruv Rajesh Rawani</t>
  </si>
  <si>
    <t>Ravi Rajkumar Karira</t>
  </si>
  <si>
    <t>Sandeep Chhajer</t>
  </si>
  <si>
    <t>S&amp;A VENTURES</t>
  </si>
  <si>
    <t>AJ WISE INVESTMENT PRIVATE LIMITED</t>
  </si>
  <si>
    <t>Sandeep Kumar Jain</t>
  </si>
  <si>
    <t>Dheeraj Gupta</t>
  </si>
  <si>
    <t>Invest India Financial Services</t>
  </si>
  <si>
    <t>TrustPlutus Wealth (India) Pvt Ltd</t>
  </si>
  <si>
    <t>INSYNCH LLP</t>
  </si>
  <si>
    <t>Mani Matters</t>
  </si>
  <si>
    <t>VALUERAJ ASSOCIATES PRIVATE LIMITED</t>
  </si>
  <si>
    <t>Harish Raghu</t>
  </si>
  <si>
    <t>Kannan Karthik</t>
  </si>
  <si>
    <t>Edge Investment Services LLP</t>
  </si>
  <si>
    <t>Barrier Foils Private Limited</t>
  </si>
  <si>
    <t>AUM Insure And Secure Pvt Ltd</t>
  </si>
  <si>
    <t>Monitor Finance</t>
  </si>
  <si>
    <t>Wealth Managers United India Private Limited</t>
  </si>
  <si>
    <t>Omkar Financial Services</t>
  </si>
  <si>
    <t>EFA INVESTMART LLP</t>
  </si>
  <si>
    <t>THIRUKOCHI FINANCIAL SERVICES PRIVATE LIMITED</t>
  </si>
  <si>
    <t>Parshva Shailesh Shah</t>
  </si>
  <si>
    <t>Shashank Jain (HUF)</t>
  </si>
  <si>
    <t>Ghalla Bhansali Stock Brokers Pvt Ltd</t>
  </si>
  <si>
    <t>ARTHASHASTRA INVESTMENTS PRIVATE LIMITED</t>
  </si>
  <si>
    <t>Dhammadeep Shaligram Gajbe</t>
  </si>
  <si>
    <t>Sakthi Finance Financial Services Limited</t>
  </si>
  <si>
    <t>Bikesh Kumar Ojha</t>
  </si>
  <si>
    <t>B2B INVESTMART</t>
  </si>
  <si>
    <t>RBL Bank Limited</t>
  </si>
  <si>
    <t>JK Securities Pvt. Ltd.</t>
  </si>
  <si>
    <t>Amit Mansukhlal Surpuriya</t>
  </si>
  <si>
    <t>Sandesh Shenoy</t>
  </si>
  <si>
    <t>Aditya Vinayak Joshi</t>
  </si>
  <si>
    <t>Vinod S Singh</t>
  </si>
  <si>
    <t>MENTOR FUNDS DISTRIBUTORS PRIVATE LIMITED</t>
  </si>
  <si>
    <t>CENTRUM WEALTH LIMITED</t>
  </si>
  <si>
    <t>RWC FINANCIAL SERVICES PRIVATE LIMITED</t>
  </si>
  <si>
    <t>Paniyoor Balakrishna Shetty</t>
  </si>
  <si>
    <t>R&amp;D CAPITAL PRIVATE LTD</t>
  </si>
  <si>
    <t>CEREBRAL INVESTMENTS &amp; FIDUCIARY SERVICES</t>
  </si>
  <si>
    <t>JKB Financial Services Ltd.</t>
  </si>
  <si>
    <t>Bodevision Investor Services Private Limited</t>
  </si>
  <si>
    <t>WMG WEALTH PRIVATE LIMITED</t>
  </si>
  <si>
    <t>Sangeeta Thakurdas Manuja</t>
  </si>
  <si>
    <t>Sourendra Saha</t>
  </si>
  <si>
    <t>Vinayak Sapre</t>
  </si>
  <si>
    <t>VALUE ETHICS PRIVATE LIMITED</t>
  </si>
  <si>
    <t>MFA CAPITAL PRIVATE LIMITED</t>
  </si>
  <si>
    <t>FERMAT PRIME ENTERPRISES PRIVATE LIMITED</t>
  </si>
  <si>
    <t>ENRICHING WEALTH</t>
  </si>
  <si>
    <t>Prabha N Maroli</t>
  </si>
  <si>
    <t>SINGULARIS WEALTH PRIVATE LIMITED</t>
  </si>
  <si>
    <t>UTKARSH MUTUAL FUND DISTRIBUTORS</t>
  </si>
  <si>
    <t>Pramanand Tiwari</t>
  </si>
  <si>
    <t>Hemant Kumar</t>
  </si>
  <si>
    <t>Chadha Investment Consultant Pvt Ltd</t>
  </si>
  <si>
    <t>Prashant Sadashiv Jog</t>
  </si>
  <si>
    <t>VINSAN FINANCIAL SERVICES PRIVATE LIMITED</t>
  </si>
  <si>
    <t>FINANCIAL EDGE FINTECH PRIVATE LIMITED</t>
  </si>
  <si>
    <t>Pranjal Apoorva Wagh</t>
  </si>
  <si>
    <t>Bobby Aggarwal</t>
  </si>
  <si>
    <t>FUNDVALIZ LLP</t>
  </si>
  <si>
    <t>Keval Jaysinh Gemani</t>
  </si>
  <si>
    <t>Joby Jacob</t>
  </si>
  <si>
    <t>Tiruvaipati Kesava Prasad</t>
  </si>
  <si>
    <t>Sachin Shrishailappa Mogale</t>
  </si>
  <si>
    <t>Deepak Kumar Sharma</t>
  </si>
  <si>
    <t>Nikhil V Jadhav</t>
  </si>
  <si>
    <t>HEXAGON MUTUAL FUND DISTRIBUTORS</t>
  </si>
  <si>
    <t>Rashmi Rajendra Pachare</t>
  </si>
  <si>
    <t>Deepak M S</t>
  </si>
  <si>
    <t>ULTIMATE WEALTH PRIVATE LIMITED</t>
  </si>
  <si>
    <t>AU MUTUALS FINANCIAL SERVICES PRIVATE LIMITED</t>
  </si>
  <si>
    <t>Vasanti Ramkrishna Gaikwad</t>
  </si>
  <si>
    <t>Prajakt Dilip Bhandare</t>
  </si>
  <si>
    <t>DNS Wealth</t>
  </si>
  <si>
    <t>QUANTUM LEAP INVESTMENT SERVICES PRIVATE LIMITED</t>
  </si>
  <si>
    <t>Swati Chetan Bhatia</t>
  </si>
  <si>
    <t>Tarun Capital And Investor Services</t>
  </si>
  <si>
    <t>Anshu Jaisinghani</t>
  </si>
  <si>
    <t>Percy Manchersha Mogal</t>
  </si>
  <si>
    <t>Manoj D Shankar</t>
  </si>
  <si>
    <t>Tata Capital Financial Services Ltd.</t>
  </si>
  <si>
    <t>CEBR Financial services Pvt. Ltd.</t>
  </si>
  <si>
    <t>Scripbox.Com India Pvt Ltd</t>
  </si>
  <si>
    <t>I CAN FINANCIAL PRIVATE LIMITED</t>
  </si>
  <si>
    <t>Yeshwanth Kumar</t>
  </si>
  <si>
    <t>Minesh R Dalal</t>
  </si>
  <si>
    <t>PARAGONAIDE FINANCIAL SERVICES</t>
  </si>
  <si>
    <t>Jiten Arjun Karnani</t>
  </si>
  <si>
    <t>Manish Podder</t>
  </si>
  <si>
    <t>Sweety Dhaval Desai</t>
  </si>
  <si>
    <t>KINJAL INVESTMENT SERVICES</t>
  </si>
  <si>
    <t>IDEAL FINANCIAL DISTRIBUTION CO</t>
  </si>
  <si>
    <t>P Someswararao</t>
  </si>
  <si>
    <t>WEALTHAPP DISTRIBUTORS PRIVATE LIMITED</t>
  </si>
  <si>
    <t>Clients First</t>
  </si>
  <si>
    <t>Devika Prasad</t>
  </si>
  <si>
    <t>SKY FINANCIALS</t>
  </si>
  <si>
    <t>OMEGA FINANCIAL</t>
  </si>
  <si>
    <t>Behram Darab Bajina</t>
  </si>
  <si>
    <t>Hinal Hemant Kuvadia</t>
  </si>
  <si>
    <t>Rima Hinduja</t>
  </si>
  <si>
    <t>TCM FINANCIAL SERVICES PRIVATE LIMITED</t>
  </si>
  <si>
    <t>Shashank Agarwal</t>
  </si>
  <si>
    <t>AADI WEALTH MF SERVICES PRIVATE LIMITED</t>
  </si>
  <si>
    <t>Jigna Parsana</t>
  </si>
  <si>
    <t>Mathew Kurian</t>
  </si>
  <si>
    <t>MONEYBASE FINSERV INDIA PRIVATE LIMITED</t>
  </si>
  <si>
    <t>Vaiibhav Jhaverri</t>
  </si>
  <si>
    <t>M/s V.R. INVESTMENTS</t>
  </si>
  <si>
    <t>Anurag Bagrodia</t>
  </si>
  <si>
    <t>BIG BULL CAPITAL SERVICES PRIVATE LIMITED</t>
  </si>
  <si>
    <t>Prasad Ananatayya Karant</t>
  </si>
  <si>
    <t>Blueocean Capital Services</t>
  </si>
  <si>
    <t>SPARK PWM PRIVATE LIMITED</t>
  </si>
  <si>
    <t>AUREUS WEALTH LLP</t>
  </si>
  <si>
    <t>SRUJAN FINANCIAL SERVICES LLP</t>
  </si>
  <si>
    <t>SHRI BALAJI CAPITAL</t>
  </si>
  <si>
    <t>Nilesh M Rokadia</t>
  </si>
  <si>
    <t>Rbm Investment Services</t>
  </si>
  <si>
    <t>Kaushal Bhansali</t>
  </si>
  <si>
    <t>OUTLOOK ASIA CAPITAL</t>
  </si>
  <si>
    <t>Avendus Wealth Management Pvt Ltd</t>
  </si>
  <si>
    <t>BLUECHIP ASSET PVT. LTD.</t>
  </si>
  <si>
    <t>Deepesh Arora</t>
  </si>
  <si>
    <t>ENRICHWISE FINANCIAL SERVICES PRIVATE LIMITED</t>
  </si>
  <si>
    <t>Santosh K Jahagirdar</t>
  </si>
  <si>
    <t>Suraj Prakash</t>
  </si>
  <si>
    <t>SIMPLICITY INVESTING INDIA PRIVATE LIMITED</t>
  </si>
  <si>
    <t>CLAIRFIN CAPITAL SERVICES</t>
  </si>
  <si>
    <t>Mukta N</t>
  </si>
  <si>
    <t>Shital Shukla</t>
  </si>
  <si>
    <t>Rajan Nagpal</t>
  </si>
  <si>
    <t>MOTILAL OSWAL WEALTH LIMITED</t>
  </si>
  <si>
    <t>Kishore Krishna T K</t>
  </si>
  <si>
    <t>Ramesh Bhakuni</t>
  </si>
  <si>
    <t>Harishchandra Jayram Pandya</t>
  </si>
  <si>
    <t>WealthDirect Mutual Fund Distributor Pvt.Ltd</t>
  </si>
  <si>
    <t>Vaibhav Lodha</t>
  </si>
  <si>
    <t>Wealthcube Endeavours LLP</t>
  </si>
  <si>
    <t>RELIABULL FINANCIAL SERVICES PRIVATE LIMITED</t>
  </si>
  <si>
    <t>Dipesh Aneja</t>
  </si>
  <si>
    <t>Ashish Singla</t>
  </si>
  <si>
    <t>Ranjan Simanchal Panigrahi</t>
  </si>
  <si>
    <t>Mrunal Suresh Ghadge</t>
  </si>
  <si>
    <t>MF INDIA</t>
  </si>
  <si>
    <t>Blue Ocean Multi Client Family Office LLP</t>
  </si>
  <si>
    <t>Nabankur Saha</t>
  </si>
  <si>
    <t>Mihirkumar Vijaybhai Kaji</t>
  </si>
  <si>
    <t>ROBINHOOD CAPITAL SERVICES P LTD</t>
  </si>
  <si>
    <t>Sheetal Manudhane</t>
  </si>
  <si>
    <t>FINNEETI</t>
  </si>
  <si>
    <t>Ami Vishal Dalal</t>
  </si>
  <si>
    <t>Sirish Kumar Panda</t>
  </si>
  <si>
    <t>Plan Ahead Wealth Advisors Pvt. Ltd.</t>
  </si>
  <si>
    <t>Shikha Kukreja</t>
  </si>
  <si>
    <t>BHARATHI SHARE BROKING PRIVATE LIMITED</t>
  </si>
  <si>
    <t>SMARTVALUE EQUISEARCH PVT LTD</t>
  </si>
  <si>
    <t>Nonie Kapoor</t>
  </si>
  <si>
    <t>Raja Prem Jiandani</t>
  </si>
  <si>
    <t>R Subramanian</t>
  </si>
  <si>
    <t>Niladri Choudhury</t>
  </si>
  <si>
    <t>Tejas Sanjay Kajarekar</t>
  </si>
  <si>
    <t>NOSTRA WEALTH PRIVATE LIMITED</t>
  </si>
  <si>
    <t>Sargunan T</t>
  </si>
  <si>
    <t>PREM CAPITALS</t>
  </si>
  <si>
    <t>ARK PRIMARY ADVISORS PRIVATE LIMITED</t>
  </si>
  <si>
    <t>SWS FINANCIAL SOLUTIONS PVT LTD</t>
  </si>
  <si>
    <t>I2 Finserv</t>
  </si>
  <si>
    <t>OCEAN CAPITAL MARKET LTD</t>
  </si>
  <si>
    <t>ARETE CAPITAL SERVICE PRIVATE LIMITED</t>
  </si>
  <si>
    <t>Bhanumati Dhirajlal Mehta</t>
  </si>
  <si>
    <t>LOTUSMINT WEALTH PRIVATE LIMITED</t>
  </si>
  <si>
    <t>S V FINANCIAL SERVICES</t>
  </si>
  <si>
    <t>LEARNNGROW DISTRIBUTORS PRIVATE LIMITED</t>
  </si>
  <si>
    <t>Manish Vinod</t>
  </si>
  <si>
    <t>S V Subbhuraman</t>
  </si>
  <si>
    <t>C G Financial Services</t>
  </si>
  <si>
    <t>Ascent Aarjay Fincap Services Pvt Ltd</t>
  </si>
  <si>
    <t>Pratik R Barli</t>
  </si>
  <si>
    <t>Manishaben A Patel</t>
  </si>
  <si>
    <t>SWARAJ FINPRO PRIVATE LIMITED</t>
  </si>
  <si>
    <t>Japna Sharma</t>
  </si>
  <si>
    <t>V2U FINANCIALS</t>
  </si>
  <si>
    <t>MUTUAL CAFE</t>
  </si>
  <si>
    <t>EQUITY HARVEST FINANCIAL PRODUCTS DISTRIBUTORS PRIVATE LTD</t>
  </si>
  <si>
    <t>Ketki Jignesh Shah</t>
  </si>
  <si>
    <t>SWAMY FINANCIAL SERVICES</t>
  </si>
  <si>
    <t>Sangeeta Gupta</t>
  </si>
  <si>
    <t>BRIGHTMOON CAPITAL PRIVATE LIMITED</t>
  </si>
  <si>
    <t>VEEZ CAPITAL</t>
  </si>
  <si>
    <t>UNIVERSAL MF</t>
  </si>
  <si>
    <t>BANCONUS FINSERV PRIVATE LIMITED</t>
  </si>
  <si>
    <t>Konfyans Private Wealth LLP</t>
  </si>
  <si>
    <t>Savin S</t>
  </si>
  <si>
    <t>Lawrence Praveen Lobo</t>
  </si>
  <si>
    <t>POLO WEALTH</t>
  </si>
  <si>
    <t>Govindji Haridas</t>
  </si>
  <si>
    <t>Sandeep Kumar Raikwar</t>
  </si>
  <si>
    <t>IMPERIAL INDIA MUDRA INVESTMENTS PRIVATE LTD</t>
  </si>
  <si>
    <t>TBNG Capital Advisors Pvt Ltd</t>
  </si>
  <si>
    <t>Manju Anoop</t>
  </si>
  <si>
    <t>SQUIRREL ENTERPRISES PRIVATE LIMITED</t>
  </si>
  <si>
    <t>Niraj Bhimsi Nisar</t>
  </si>
  <si>
    <t>Vipin Gupta</t>
  </si>
  <si>
    <t>Ritesh Tibrewal</t>
  </si>
  <si>
    <t>Madhumita Tripathy</t>
  </si>
  <si>
    <t>Rajesh Tuteja</t>
  </si>
  <si>
    <t>ORANGE RISE PRIVATE LTD</t>
  </si>
  <si>
    <t>KRUSHNA FINSERV LLP</t>
  </si>
  <si>
    <t>Manjulaben Nagindas Hajariwala</t>
  </si>
  <si>
    <t>Charmi Jigar Shah</t>
  </si>
  <si>
    <t>Monetonic Financial Services Pvt. Ltd.</t>
  </si>
  <si>
    <t>DHANAYUSH CAPITAL SERVICES PRIVATE LIMITED</t>
  </si>
  <si>
    <t>RMS COLLECTIONS</t>
  </si>
  <si>
    <t>Sonika Kaura</t>
  </si>
  <si>
    <t>OPULENCE WEALTH PRIVATE LIMITED</t>
  </si>
  <si>
    <t>BM FISCAL PVT LTD</t>
  </si>
  <si>
    <t>Bode Financial Services</t>
  </si>
  <si>
    <t>MONEYFROG FINANCIAL SERVICES PRIVATE LIMITED</t>
  </si>
  <si>
    <t>Sunkersett Investment Intermediaries LLP</t>
  </si>
  <si>
    <t>Parikh Mihir Ashwinbhai</t>
  </si>
  <si>
    <t>INTEGRA WEALTH LLP</t>
  </si>
  <si>
    <t>MUTUAL FUND EXP</t>
  </si>
  <si>
    <t>Amit Mittal</t>
  </si>
  <si>
    <t>IWS FINSERV</t>
  </si>
  <si>
    <t>Sukanya Das</t>
  </si>
  <si>
    <t>Pralayesh Kar</t>
  </si>
  <si>
    <t>SURAT COMMERCIAL PRIVATE LIMITED</t>
  </si>
  <si>
    <t>Rohit Anand Das</t>
  </si>
  <si>
    <t>HM Mercantiles Pvt. Ltd</t>
  </si>
  <si>
    <t>Surojit Biswas</t>
  </si>
  <si>
    <t>Nisha Anilkumar Patodia</t>
  </si>
  <si>
    <t>6TH SENSE</t>
  </si>
  <si>
    <t>GOYAMA FINANCIAL SERVICES</t>
  </si>
  <si>
    <t>Ashima Munjal</t>
  </si>
  <si>
    <t>UNIWEALTH INVESTMENT SERVICES PRIVATE LIMITED</t>
  </si>
  <si>
    <t>VISVA GLOBAL SERVICES</t>
  </si>
  <si>
    <t>DAKSHIN CAPITAL PVT LTD</t>
  </si>
  <si>
    <t>MUTUALFUNDWALA</t>
  </si>
  <si>
    <t>BELLWETHER ASSOCIATES LLP</t>
  </si>
  <si>
    <t>VMIM ASSOCIATES</t>
  </si>
  <si>
    <t>NESTEGG WEALTH LLP</t>
  </si>
  <si>
    <t>FINNOVATORS SERVICES PRIVATE LIMITED</t>
  </si>
  <si>
    <t>3I WEALTH LLP</t>
  </si>
  <si>
    <t>Jitendra Mishra</t>
  </si>
  <si>
    <t>LOKKURR FINVESTT PRIVATE LIMITED</t>
  </si>
  <si>
    <t>VSRK CAPITAL PRIVATE LIMITED</t>
  </si>
  <si>
    <t>M M PORTFOLIO MANAGEMENT SERVICE</t>
  </si>
  <si>
    <t>Sunil Tukaram Dalvi</t>
  </si>
  <si>
    <t>Neville Mehli Poncha</t>
  </si>
  <si>
    <t>Ankit Aggarwal</t>
  </si>
  <si>
    <t>WOODPECKER FINVEST</t>
  </si>
  <si>
    <t>Arvind Vishwanath Irpatgire</t>
  </si>
  <si>
    <t>IMMENSUS WEALTH LLP</t>
  </si>
  <si>
    <t>IMPERIAL VALUE SERVICES PRIVATE LIMITED</t>
  </si>
  <si>
    <t>MONEY PLANT FINMART PVT LTD</t>
  </si>
  <si>
    <t>Ace Mf Distributors</t>
  </si>
  <si>
    <t>MANIFEST FINSERVE</t>
  </si>
  <si>
    <t>Julius Baer Wealth Advisors (India) Private Limited</t>
  </si>
  <si>
    <t>GROWELL CAPITAL DISTRIBUTION LLP</t>
  </si>
  <si>
    <t>Nutan Lancelot Dcunha</t>
  </si>
  <si>
    <t>EURASIA CAPITAL SERVICES</t>
  </si>
  <si>
    <t>Nitin Maroli</t>
  </si>
  <si>
    <t>GATEWAY CAPITAL</t>
  </si>
  <si>
    <t>CRYSTAL VISION INSIGHTS PRIVATE LIMITED</t>
  </si>
  <si>
    <t>MAVERICK CAPITAL INVESTMENTS PRIVATE LIMITED</t>
  </si>
  <si>
    <t>Mudhra Capital Services</t>
  </si>
  <si>
    <t>Jayant Ramakrishna Yewale</t>
  </si>
  <si>
    <t>ICOACH ENTERPRISES PRIVATE LIMITED</t>
  </si>
  <si>
    <t>Inmeet Kaur</t>
  </si>
  <si>
    <t>THE WEALTH</t>
  </si>
  <si>
    <t>Rushabh N Kapadia</t>
  </si>
  <si>
    <t>Mani Sharma</t>
  </si>
  <si>
    <t>BEYOND LIFE FINANCIAL SERVICES LLP</t>
  </si>
  <si>
    <t>MARFATIA ASSOCIATES</t>
  </si>
  <si>
    <t>PURPLEPOND FINANCIAL PLANNERS PRIVATE LIMITED</t>
  </si>
  <si>
    <t>RAPTURE SECURITIES PRIVATE LIMITED</t>
  </si>
  <si>
    <t>Rupam Mahapatra</t>
  </si>
  <si>
    <t>T RAM FINANCIAL SERVICES PVT.LTD</t>
  </si>
  <si>
    <t>INVESTINTEL</t>
  </si>
  <si>
    <t>INGENETUS</t>
  </si>
  <si>
    <t>R Hariharan</t>
  </si>
  <si>
    <t>RVN MANAGEMENT</t>
  </si>
  <si>
    <t>Optigains Private Wealth</t>
  </si>
  <si>
    <t>WNU MUTUAL FUND DISTRIBUTION SERVICES PRIVATE LIMITED</t>
  </si>
  <si>
    <t>FUTURE WEALTH</t>
  </si>
  <si>
    <t>SPECTRUM WEALTH</t>
  </si>
  <si>
    <t>Portfolio Research</t>
  </si>
  <si>
    <t>Rachit Piyush Mehta</t>
  </si>
  <si>
    <t>Balkar Singh</t>
  </si>
  <si>
    <t>Jayesh Atmaram Redij</t>
  </si>
  <si>
    <t>Yatish Financial Services</t>
  </si>
  <si>
    <t>TRACOM STOCK BROKERS PRIVATE LIMITED</t>
  </si>
  <si>
    <t>Capital Care Investments</t>
  </si>
  <si>
    <t>MEPHEZALEA ASSET SERVICES LLP</t>
  </si>
  <si>
    <t>KREDERE WEALTH PARTNER PVT LTD</t>
  </si>
  <si>
    <t>WERT FINSERVE</t>
  </si>
  <si>
    <t>POSITIVE VIBES</t>
  </si>
  <si>
    <t>Shirish Balkrishana Lohokare</t>
  </si>
  <si>
    <t>BNT Money</t>
  </si>
  <si>
    <t>IMPERIAL WEALTH</t>
  </si>
  <si>
    <t>AR DIGITAL WEALTH PRIVATE LIMITED</t>
  </si>
  <si>
    <t>GREEN HEDGE CAPITAL</t>
  </si>
  <si>
    <t>COMPASS</t>
  </si>
  <si>
    <t>PRAMESH WEALTH PRIVATE LIMITED</t>
  </si>
  <si>
    <t>ACE FNSUPERMARKET PVT. LTD.</t>
  </si>
  <si>
    <t>ALMONDZ FINANCIAL SERVICES LIMITED</t>
  </si>
  <si>
    <t>AM UNICORN PROFESSIONAL PRIVATE LIMITED</t>
  </si>
  <si>
    <t>Swati Kumari Sinha</t>
  </si>
  <si>
    <t>KANGAROO ASSOCIATES</t>
  </si>
  <si>
    <t>NAGDEV ASSOCIATES LLP</t>
  </si>
  <si>
    <t>Moneyworks4u Mutual Fund Distributors</t>
  </si>
  <si>
    <t>GOSTOCKS FINANCIAL SERVICES PRIVATE LIMITED</t>
  </si>
  <si>
    <t>AVIOR FINSERV</t>
  </si>
  <si>
    <t>RISK AND ASSET</t>
  </si>
  <si>
    <t>MERIDIAN WEALTH</t>
  </si>
  <si>
    <t>PMPK WEALTH PRIVATE LIMITED</t>
  </si>
  <si>
    <t>Ashish Khosla</t>
  </si>
  <si>
    <t>Pradeep Vijay Hosmani</t>
  </si>
  <si>
    <t>Neeraj Joshi</t>
  </si>
  <si>
    <t>SILVERLINE SERVICES</t>
  </si>
  <si>
    <t>Sanjeev Kumar Mundhra</t>
  </si>
  <si>
    <t>VERITY FINSERVE PRIVATE LIMITED</t>
  </si>
  <si>
    <t>PW FINANCIAL SERVICES PRIVATE LIMITED</t>
  </si>
  <si>
    <t>Anand Narendrabhai Zinzuvadia</t>
  </si>
  <si>
    <t>PRATIK ARVINDBHAI DESAI (H.U.F)</t>
  </si>
  <si>
    <t>Niti Jignesh Kapadia</t>
  </si>
  <si>
    <t>Grow Rich Fintech LLP</t>
  </si>
  <si>
    <t>COMPLETE CIRCLE CAPITAL PRIVATE LIMITED</t>
  </si>
  <si>
    <t>Meri Punji Imf Private Limited</t>
  </si>
  <si>
    <t>ARTHFIN</t>
  </si>
  <si>
    <t>VETE ASSOCIATES MFD PRIVATE LIMITED</t>
  </si>
  <si>
    <t>PROFUNDZ FINSMART LLP</t>
  </si>
  <si>
    <t>FINBUCKS Financial Management</t>
  </si>
  <si>
    <t>Staywealthy Investment Services</t>
  </si>
  <si>
    <t>Archana Shukla</t>
  </si>
  <si>
    <t>TALLIS</t>
  </si>
  <si>
    <t>GLOBE SYNDICATE</t>
  </si>
  <si>
    <t>LAKSHMIGAIN SECURITIES (P) LTD.</t>
  </si>
  <si>
    <t>RENASCENT BIZWISE INDIA PRIVATE LIMITED</t>
  </si>
  <si>
    <t>FINWIZARD TECHNOLOGY PVT LTD</t>
  </si>
  <si>
    <t>FORTHIUS CAPITAL</t>
  </si>
  <si>
    <t>SRI KRISHNA CAPITAL</t>
  </si>
  <si>
    <t>MINT STREET INVESTMENT SERVICES</t>
  </si>
  <si>
    <t>AVID FUTURECARE LLP</t>
  </si>
  <si>
    <t>Chandni Nikhil Patel</t>
  </si>
  <si>
    <t>DHULJI FINANCIAL SERVICES IMF PRIVATE LIMITED</t>
  </si>
  <si>
    <t>Pratyush Anilbhai Desai</t>
  </si>
  <si>
    <t>Blue Edge Associates LLP</t>
  </si>
  <si>
    <t>WISE INVESTMENTS</t>
  </si>
  <si>
    <t>5Paisa Capital Limited</t>
  </si>
  <si>
    <t>Somvrat Agrawal</t>
  </si>
  <si>
    <t>ACORN GENERAL PARTNERS PRIVATE LIMITED</t>
  </si>
  <si>
    <t>MINT BOX ADVISORY LLP</t>
  </si>
  <si>
    <t>Meghna Dhairav Shroff</t>
  </si>
  <si>
    <t>TRINITAS FINANCIAL SERVICES LLP</t>
  </si>
  <si>
    <t>COUNTON ACE PRIVATE LIMITED</t>
  </si>
  <si>
    <t>NRP CAPITALS</t>
  </si>
  <si>
    <t>FREEDOM FINANCIAL SERVICES</t>
  </si>
  <si>
    <t>HUM FAUJI FINANCIAL SERVICES PRIVATE LIMITED</t>
  </si>
  <si>
    <t>ASH CAPITAL</t>
  </si>
  <si>
    <t>90-10 Financial Planners Pvt.Ltd.</t>
  </si>
  <si>
    <t>Shivam Kaura</t>
  </si>
  <si>
    <t>Rohit Singh</t>
  </si>
  <si>
    <t>SIDA SERVICES</t>
  </si>
  <si>
    <t>HORIZON INVESTMENTS</t>
  </si>
  <si>
    <t>SANCTUM WEALTH PRIVATE LIMITED</t>
  </si>
  <si>
    <t>AUM WEALTH PVT LTD</t>
  </si>
  <si>
    <t>GROWIDE FINSERVE PRIVATE LIMITED</t>
  </si>
  <si>
    <t>Artham Finometry Private Limited</t>
  </si>
  <si>
    <t>AS INVESTCON</t>
  </si>
  <si>
    <t>Smita Investment Services Pvt. Ltd.</t>
  </si>
  <si>
    <t>ARMSTRONG CAPITAL AND FINANCIAL SERVICES PRIVATE LIMITED</t>
  </si>
  <si>
    <t>Fintrans Investment Advisors Pvt Ltd</t>
  </si>
  <si>
    <t>Virtue Online Services Pvt. Ltd.</t>
  </si>
  <si>
    <t>Aradhana Mehra</t>
  </si>
  <si>
    <t>Omkar Deepak Ghaisas</t>
  </si>
  <si>
    <t>PENTACLE EMPRESS PRIVATE LIMITED</t>
  </si>
  <si>
    <t>Sailesh Tulshan</t>
  </si>
  <si>
    <t>BRICKHOUSE SERVICES PRIVATE LIMITED</t>
  </si>
  <si>
    <t>Pukhraj Lunkar</t>
  </si>
  <si>
    <t>Santosh Babanrao Shinde</t>
  </si>
  <si>
    <t>FPNEST PRIVATE LIMITED</t>
  </si>
  <si>
    <t>S M ENTERPRISE</t>
  </si>
  <si>
    <t>AARVI DATA ANALYTICS SERVICES PRIVATE LIMITED</t>
  </si>
  <si>
    <t>Amit Kumar Rastogi</t>
  </si>
  <si>
    <t>WealthyIN Customer Services Pvt. Ltd.</t>
  </si>
  <si>
    <t>Sanjeev Kumar Rai</t>
  </si>
  <si>
    <t>COGNUS TECHNOLOGY</t>
  </si>
  <si>
    <t>WISE FINSERV PVT. LTD</t>
  </si>
  <si>
    <t>Echo Wealth</t>
  </si>
  <si>
    <t>AUGMENT CAPITAL SERVICES LLP</t>
  </si>
  <si>
    <t>WINRICH PROFESSIONAL SERVICES PRIVATE LIMITED</t>
  </si>
  <si>
    <t>DIAZ INVEST</t>
  </si>
  <si>
    <t>SHUBBAAN INVESTMENTS PRIVATE LIMITED</t>
  </si>
  <si>
    <t>OXYZENFIN PRIVATE LIMITED</t>
  </si>
  <si>
    <t>PARAM INVESTMENTS MF SERVICES LLP</t>
  </si>
  <si>
    <t>KONGRUENT WEALTH MANAGEMENT SERVICES LLP</t>
  </si>
  <si>
    <t>ALLEGIANCE FINMAVENS PVT LTD</t>
  </si>
  <si>
    <t>Biju Chakraborty</t>
  </si>
  <si>
    <t>Swan Investmentors Pvt Ltd</t>
  </si>
  <si>
    <t>GAINING GROUND INVESTMENT SERVICES PVT LTD</t>
  </si>
  <si>
    <t>MIDAS WEALTH ADVISORY PVT LTD</t>
  </si>
  <si>
    <t>MFA WEALTH PRIVATE LIMITED</t>
  </si>
  <si>
    <t>Payal Ketan Sheth</t>
  </si>
  <si>
    <t>ALLWIN FINANCIAL SERVICES</t>
  </si>
  <si>
    <t>ALPHABET INVESTMENT</t>
  </si>
  <si>
    <t>WW FINANCIAL DISTRIBUTION PRIVATE LIMITED</t>
  </si>
  <si>
    <t>CITRINE FINANCIAL SERVICES LLP</t>
  </si>
  <si>
    <t>INTEGRISS FINSERV LLP</t>
  </si>
  <si>
    <t>PAISE FINSERVE</t>
  </si>
  <si>
    <t>WEALOCITY</t>
  </si>
  <si>
    <t>PROFOUND FINANCIAL SERVICES</t>
  </si>
  <si>
    <t>Anilkumar Naurangrai Agarwal</t>
  </si>
  <si>
    <t>ENFIN FINANCIAL SERVICES</t>
  </si>
  <si>
    <t>FAMILY FIRST CAPITAL PRIVATE LIMITED</t>
  </si>
  <si>
    <t>TANDON AND MAHINDRA FINANCIAL SERVICES</t>
  </si>
  <si>
    <t>Financial Mart</t>
  </si>
  <si>
    <t>Wealth Trust Capital Services LLP</t>
  </si>
  <si>
    <t>QUINSOL DISTRIBUTION SERVICES LLP</t>
  </si>
  <si>
    <t>FORTUNA PLUTUS SERVICES LLP</t>
  </si>
  <si>
    <t>Sangeeta</t>
  </si>
  <si>
    <t>Rushabh Arvind Shah</t>
  </si>
  <si>
    <t>GUARDIAN CAPITAL INVESTMENT ADVISORS PRIVATE LIMITED</t>
  </si>
  <si>
    <t>Deeva Ventures Private Limited</t>
  </si>
  <si>
    <t>Neeraj Kapoor</t>
  </si>
  <si>
    <t>THREE CUBE MUTUAL FUND DISTRIBUTORS LLP</t>
  </si>
  <si>
    <t>SHALIBHADRA MUTUAL FUND DISTRIBUTORS LLP</t>
  </si>
  <si>
    <t>PUROHIT ASSOCIATES LLP</t>
  </si>
  <si>
    <t>Defmacro Software Pvt Ltd</t>
  </si>
  <si>
    <t>FUTURE INVESTMENTS</t>
  </si>
  <si>
    <t>Vishal Khanna</t>
  </si>
  <si>
    <t>SHASHIKESH ASSET SERVICES LLP</t>
  </si>
  <si>
    <t>Mutual Fund Provider</t>
  </si>
  <si>
    <t>IDFC FIRST BANK LIMITED</t>
  </si>
  <si>
    <t>NVM CAPITAL PRIVATE LIMITED</t>
  </si>
  <si>
    <t>Fortitude Securities Pvt.Ltd</t>
  </si>
  <si>
    <t>Mahadeb Roy</t>
  </si>
  <si>
    <t>Vinod Pandit Chaudhari</t>
  </si>
  <si>
    <t>FINOWLISH PRIVATE LIMITED</t>
  </si>
  <si>
    <t>LYNX WEALTH LLP</t>
  </si>
  <si>
    <t>RM ASSET CART LLP</t>
  </si>
  <si>
    <t>S S Indus Capital Pvt Ltd</t>
  </si>
  <si>
    <t>LADDU GOPAL FINVEST PRIVATE LIMITED</t>
  </si>
  <si>
    <t>AKSHAR INVEST</t>
  </si>
  <si>
    <t>TRELLIS INVESTMENTS</t>
  </si>
  <si>
    <t>kaveesha Investment Services Pvt.Ltd.</t>
  </si>
  <si>
    <t>ABSOLUTE GROWTH</t>
  </si>
  <si>
    <t>VALUEX WEALTH CONNECT LLP</t>
  </si>
  <si>
    <t>SLA FINSERV PRIVATE LIMITED</t>
  </si>
  <si>
    <t>MONEYBOLISM FINANCIAL SERVICES PRIVATE LIMITED</t>
  </si>
  <si>
    <t>NIRMAL BANG NIVESHALAYA PRIVATE LIMITED</t>
  </si>
  <si>
    <t>RASTOGI FINSERVE</t>
  </si>
  <si>
    <t>KIFS TRADE CAPITAL PRIVATE LIMITED</t>
  </si>
  <si>
    <t>Raju Nathu Marne</t>
  </si>
  <si>
    <t>ANAND RATHI WEALTH LIMITED</t>
  </si>
  <si>
    <t>NIWESH WEALTH ASSOCIATES LLP</t>
  </si>
  <si>
    <t>HINDUSTAN CAPITAL</t>
  </si>
  <si>
    <t>Rujuta Biren Chhatrapati</t>
  </si>
  <si>
    <t>Somil Agarwal</t>
  </si>
  <si>
    <t>3Q FINANCIAL SERVICES LLP</t>
  </si>
  <si>
    <t>Shweta Vishal Mehta</t>
  </si>
  <si>
    <t>INVEST AT EASE CONSULTANTS INDIA PRIVATE LIMITED</t>
  </si>
  <si>
    <t>VENTURA SUCEDER PRIVATE LIMITED</t>
  </si>
  <si>
    <t>AAYUSHMAN MONEY MALL</t>
  </si>
  <si>
    <t>SUN PACIFIC CAPITAL</t>
  </si>
  <si>
    <t>OMNIWEALTH LLP</t>
  </si>
  <si>
    <t>MAURYA SHARES AND STOCK BROKERS PRIVATE LIMITED</t>
  </si>
  <si>
    <t>CRESCAT FINSERV LLP</t>
  </si>
  <si>
    <t>Sivaramakrishnan R</t>
  </si>
  <si>
    <t>VINTRUST FINPRO DISTRIBUTORS LLP</t>
  </si>
  <si>
    <t>SANGAM INVESTMENTS AND CO</t>
  </si>
  <si>
    <t>Jerry John Kadampatt</t>
  </si>
  <si>
    <t>MAHIDHAR AND ASSOCIATES</t>
  </si>
  <si>
    <t>WEALTHSPRING PRIVATE LIMITED</t>
  </si>
  <si>
    <t>FINFIRST FINANCIAL SERVICES PRIVATE LIMITED</t>
  </si>
  <si>
    <t>QUANTUM LEAP INVESTMENTS</t>
  </si>
  <si>
    <t>RIJHWAANI ASSOCIATES LLP</t>
  </si>
  <si>
    <t>FINCART FINVEST PRIVATE LIMITED</t>
  </si>
  <si>
    <t>GERMINATE INVESTOR SERVICES LLP</t>
  </si>
  <si>
    <t>BANAYANTREE SERVICES LIMITED</t>
  </si>
  <si>
    <t>INR INVESTMENTS</t>
  </si>
  <si>
    <t>Anshupriya</t>
  </si>
  <si>
    <t>ANNAPURNA FINANCE</t>
  </si>
  <si>
    <t>DSFS WEALTH LLP</t>
  </si>
  <si>
    <t>ACCORD FINANCIAL SERVICES LLP</t>
  </si>
  <si>
    <t>ASCENT FINANCIAL SOLUTIONS PRIVATE LIMITED</t>
  </si>
  <si>
    <t>MIDAS FINSERVE PRIVATE LIMITED</t>
  </si>
  <si>
    <t>NEAM CAPS PRIVATE LIMITED</t>
  </si>
  <si>
    <t>PARKWORTH FINANCIALS</t>
  </si>
  <si>
    <t>MSM WEALTH</t>
  </si>
  <si>
    <t>INFINITY WEALTH</t>
  </si>
  <si>
    <t>ESGL CLIENT ALLEY MONEY SERVICES PRIVATE LIMITED</t>
  </si>
  <si>
    <t>THEFINANCIALMALL PRIVATE LIMITED</t>
  </si>
  <si>
    <t>Ashutosh Poddar HUF</t>
  </si>
  <si>
    <t>HEMANT FINSERVE LLP</t>
  </si>
  <si>
    <t>Khushal Kanji Dand</t>
  </si>
  <si>
    <t>GOALCHI CAPITAL SERVICES LLP</t>
  </si>
  <si>
    <t>VISHAL PRADIP MEHTA HUF</t>
  </si>
  <si>
    <t>Soma Mitra</t>
  </si>
  <si>
    <t>Chetna Devang Desai</t>
  </si>
  <si>
    <t>VALUEPLUS TECHNOLOGIES PRIVATE LIMITED</t>
  </si>
  <si>
    <t>SLM MUTUAL FUND SERVICES PRIVATE LIMITED</t>
  </si>
  <si>
    <t>BLUROCK WEALTH</t>
  </si>
  <si>
    <t>Pivotal Enterprises Private Limited</t>
  </si>
  <si>
    <t>FINMONKS FINANCIAL STUDIO LLP</t>
  </si>
  <si>
    <t>Jugal Kishore Sharma</t>
  </si>
  <si>
    <t>Ashok Nanjibhai Patel</t>
  </si>
  <si>
    <t>RIGHTFOCUS INVESTMENTS PRIVATE LIMITED</t>
  </si>
  <si>
    <t>ANMOL SHARE BROKING PRIVATE LIMITED</t>
  </si>
  <si>
    <t>CLIFF ASSOCIATES LLP</t>
  </si>
  <si>
    <t>WEALTH ONE FINANCIALS</t>
  </si>
  <si>
    <t>PROVIDENTIAL PLATFORMS PRIVATE LIMITED</t>
  </si>
  <si>
    <t>Harshal Amit Mehta</t>
  </si>
  <si>
    <t>TULSYAN BROTHERS VISION PRIVATE LIMITED</t>
  </si>
  <si>
    <t>EQUITAS SMALL FINANCE BANK LIMITED</t>
  </si>
  <si>
    <t>ZVEST FINANCIAL SERVICES LLP</t>
  </si>
  <si>
    <t>Nevil Devang Desai</t>
  </si>
  <si>
    <t>KALPAJIT INVESTMENTS PRIVATE LIMTIED</t>
  </si>
  <si>
    <t>FIRST ASSETZ</t>
  </si>
  <si>
    <t>GSA FIN VENTURES PRIVATE LIMITED</t>
  </si>
  <si>
    <t>IRA WEALTH</t>
  </si>
  <si>
    <t>SMARTIAN CAPITAL SERVICES PRIVATE LIMITED</t>
  </si>
  <si>
    <t>MONEY ZINC FINANCIAL SERVICES</t>
  </si>
  <si>
    <t>SHUBH FINANCIAL HUB</t>
  </si>
  <si>
    <t>Amara Sravanesh</t>
  </si>
  <si>
    <t>SARTH WEALTH PRIVATE LIMITED</t>
  </si>
  <si>
    <t>CREDEL CAPITAL FINANCIAL SERVICES LLP</t>
  </si>
  <si>
    <t>Abhimanyu Kantilal Sharma</t>
  </si>
  <si>
    <t>MONEY MIND WORLD CREATION</t>
  </si>
  <si>
    <t>GANADEESHA SERVICES PRIVATE LIMITED</t>
  </si>
  <si>
    <t>IARISTA ARTHA PRIVATE LIMITED</t>
  </si>
  <si>
    <t>MP Mutual Funds Distribution Services</t>
  </si>
  <si>
    <t>SHREE INVESTMENT SERVICES</t>
  </si>
  <si>
    <t>FUNDCHOICE FINANCIAL SERVICES PVT LTD</t>
  </si>
  <si>
    <t>Kumaresh Bathe Sathyaprakash</t>
  </si>
  <si>
    <t>AKG FINSERV PRIVATE LIMITED</t>
  </si>
  <si>
    <t>Greenback Capital LLP</t>
  </si>
  <si>
    <t>Ananya Das</t>
  </si>
  <si>
    <t>SHRI MASUN FINANCIAL SERVICES</t>
  </si>
  <si>
    <t>Mahesh K S</t>
  </si>
  <si>
    <t>Rajesh Minocha</t>
  </si>
  <si>
    <t>EMERGING FINACARE SERVICES PRIVATE LIMITED</t>
  </si>
  <si>
    <t>AUTUS N INTEG</t>
  </si>
  <si>
    <t>INDUS PARTNERS</t>
  </si>
  <si>
    <t>WEALTHSTREET FINANCIAL SERVICES PRIVATE LIMITED</t>
  </si>
  <si>
    <t>SRS FINANCIAL SERVICES LLP</t>
  </si>
  <si>
    <t>HONEYBEE FINSERVE PRIVATE LIMITED</t>
  </si>
  <si>
    <t>WEALTH BOOSTER INVESTMENTS</t>
  </si>
  <si>
    <t>Aditya Birla Finance Limited</t>
  </si>
  <si>
    <t>PAREKH INVESTMENT SERVICES</t>
  </si>
  <si>
    <t>SAMYAG FINANCIAL SERVICES LLP</t>
  </si>
  <si>
    <t>FORTHRIGHT ASSETS PRIVATE LIMITED</t>
  </si>
  <si>
    <t>Sheetal Sitaram Upadhyay</t>
  </si>
  <si>
    <t>PMSV FINANCIAL SERVICES PRIVATE LIMITED</t>
  </si>
  <si>
    <t>Sanket Piyush Mehta</t>
  </si>
  <si>
    <t>Harshit Gupta</t>
  </si>
  <si>
    <t>GUIDE AND GUARDIAN LLP</t>
  </si>
  <si>
    <t>Sachin Arun Belgalkar</t>
  </si>
  <si>
    <t>NNP FUNDS</t>
  </si>
  <si>
    <t>VARDHANA FINANCIAL DISTRIBUTORS PRIVATE LIMITED</t>
  </si>
  <si>
    <t>NARENDRA UDYOG PRIVATE LIMITED</t>
  </si>
  <si>
    <t>TRANQUIL CAPITAL</t>
  </si>
  <si>
    <t>SAMCO SECURITIES LIMITED</t>
  </si>
  <si>
    <t>Niraj Kumar Sawa</t>
  </si>
  <si>
    <t>FAUJI WEALTH PRIVATE LIMITED</t>
  </si>
  <si>
    <t>Jhuma Chowdhury</t>
  </si>
  <si>
    <t>TAPARIA PRIVATE LIMITED</t>
  </si>
  <si>
    <t>PROAFFLUENCE ASSOCIATES PRIVATE LIMITED</t>
  </si>
  <si>
    <t>PENTAD SECURITIES PVT LTD</t>
  </si>
  <si>
    <t>Sachin Gupta</t>
  </si>
  <si>
    <t>FINTREE FINANCIAL SERVICES</t>
  </si>
  <si>
    <t>Dayashree Sharoon Manipur</t>
  </si>
  <si>
    <t>BANDHAN BANK LTD</t>
  </si>
  <si>
    <t>SREENITHI INVESTMENTS</t>
  </si>
  <si>
    <t>OYEPAISA CONSULTING PRIVATE LIMITED</t>
  </si>
  <si>
    <t>CAPITALMINES MONEYMART LLP</t>
  </si>
  <si>
    <t>Mina Rani Dolai</t>
  </si>
  <si>
    <t>ADITYA &amp; SONS</t>
  </si>
  <si>
    <t>SHREE VRUDDHI SERVICES PRIVATE LIMITED</t>
  </si>
  <si>
    <t>SEARING BULLS FINANCIAL SERVICES</t>
  </si>
  <si>
    <t>Vishal Shyamsunder Goenka</t>
  </si>
  <si>
    <t>PA WEALTH MFD</t>
  </si>
  <si>
    <t>PRIME INVESTOR SERVICE</t>
  </si>
  <si>
    <t>TRUST CAPITAL</t>
  </si>
  <si>
    <t>P H FINSERV PRIVATE LIMITED</t>
  </si>
  <si>
    <t>WEALTH FIRST FINSERV LLP</t>
  </si>
  <si>
    <t>NDI ENTERPRISES PRIVATE LIMITED</t>
  </si>
  <si>
    <t>WALLET FINSERVE PRIVATE LIMITED</t>
  </si>
  <si>
    <t>Foresight Family Office Private Limited</t>
  </si>
  <si>
    <t>SMART WEALTH FINANCIAL SERVICES LLP</t>
  </si>
  <si>
    <t>Bindiya Ramesh Narang</t>
  </si>
  <si>
    <t>MAHANT FINSERV PRIVATE LIMITED</t>
  </si>
  <si>
    <t>VIMASAI TRADING INDIA PRIVATE LIMITED</t>
  </si>
  <si>
    <t>VED FORTUNE VISION PRIVATE LIMITED</t>
  </si>
  <si>
    <t>VRISHANK FINANCIAL SERVICES PRIVATE LIMITED</t>
  </si>
  <si>
    <t>TRUEPROFIT DISTRIBUTORS LLP</t>
  </si>
  <si>
    <t>AU SMALL FINANCE BANK LIMITED</t>
  </si>
  <si>
    <t>S P WEALTH</t>
  </si>
  <si>
    <t>Kritika Malani</t>
  </si>
  <si>
    <t>Nuti Amit Thakkar</t>
  </si>
  <si>
    <t>ASCENT FINANCIALS</t>
  </si>
  <si>
    <t>COMPASS FINSERVE LLP</t>
  </si>
  <si>
    <t>QWIK SUPPLY CHAIN PRIVATE LIMITED</t>
  </si>
  <si>
    <t>R FINMART</t>
  </si>
  <si>
    <t>Rukmani Sharma</t>
  </si>
  <si>
    <t>INVESTWAYS FINSERV PRIVATE LIMITED</t>
  </si>
  <si>
    <t>JUST INVEST ONLINE</t>
  </si>
  <si>
    <t>PYRAMID FINANCIAL SERVICES</t>
  </si>
  <si>
    <t>WEALTH SPACE SERVICES PRIVATE LIMITED</t>
  </si>
  <si>
    <t>Raunak Ramuka</t>
  </si>
  <si>
    <t>Payal Bhavin Modi</t>
  </si>
  <si>
    <t>SURVAM INVESTMENTS PRIVATE LIMITED</t>
  </si>
  <si>
    <t>Payal Bhavesh Thakkar</t>
  </si>
  <si>
    <t>JNV FINANCIAL SERVICES LLP</t>
  </si>
  <si>
    <t>UNITED FINANCIAL SERVICES</t>
  </si>
  <si>
    <t>Sanjit Dey</t>
  </si>
  <si>
    <t>SANT MUTUAL FUND DISTRIBUTION LLP</t>
  </si>
  <si>
    <t>Nijal Devesh Shah</t>
  </si>
  <si>
    <t>MONEYMATICS FINANCIAL SERVICES LLP</t>
  </si>
  <si>
    <t>WELFIN DISTRIBUTION LLP</t>
  </si>
  <si>
    <t>SRIVIDYA ENTERPRISES LLP</t>
  </si>
  <si>
    <t>DIGNITY MANAGEMENT PRIVATE LIMITED</t>
  </si>
  <si>
    <t>MAGNUM FINVEST SERVICES</t>
  </si>
  <si>
    <t>Pradip Kumar Medda</t>
  </si>
  <si>
    <t>Pranami Ravikumar Parikh</t>
  </si>
  <si>
    <t>Sneha Mohan Bhoj</t>
  </si>
  <si>
    <t>Aditi Mehulkumar Patel</t>
  </si>
  <si>
    <t>ANGEL CAPITAL</t>
  </si>
  <si>
    <t>ORCHID</t>
  </si>
  <si>
    <t>PRITHVI MONEY IMF PRIVATE LIMITED</t>
  </si>
  <si>
    <t>BLISS CAPITAL SERVICES PRIVATE LIMITED</t>
  </si>
  <si>
    <t>3N MONEY LLP</t>
  </si>
  <si>
    <t>BLUEANT FINSERV PRIVATE LIMITED</t>
  </si>
  <si>
    <t>H A JAGASHETH HUF</t>
  </si>
  <si>
    <t>FINOMATIC FINTECH SERVICES PRIVATE LIMITED</t>
  </si>
  <si>
    <t>Preethy Agarwal</t>
  </si>
  <si>
    <t>PLENITUDE CONNECT PRIVATE LIMITED</t>
  </si>
  <si>
    <t>Mandar Milind Naik</t>
  </si>
  <si>
    <t>RMR TECHNOLOGY</t>
  </si>
  <si>
    <t>KONFIDO SYNDICATE PRIVATE LIMITED</t>
  </si>
  <si>
    <t>Shyam Sunder Gupta</t>
  </si>
  <si>
    <t>UPMARKET FINANCIAL SERVICES LLP</t>
  </si>
  <si>
    <t>Vogue Management Services Private Limited</t>
  </si>
  <si>
    <t>Aggregate Asset Associates</t>
  </si>
  <si>
    <t>OAKWIZ CAPITAL LLP</t>
  </si>
  <si>
    <t>Quinstinct Advisory Pvt Ltd</t>
  </si>
  <si>
    <t>Anjali Malani</t>
  </si>
  <si>
    <t>W2D Finverse</t>
  </si>
  <si>
    <t>JDI WEALTH</t>
  </si>
  <si>
    <t>PATERSON WEALTH PRIVATE LIMITED</t>
  </si>
  <si>
    <t>NARAIN FORTUNE INVESTMENT LLP</t>
  </si>
  <si>
    <t>TRUFID SERVICES PRIVATE LIMITED</t>
  </si>
  <si>
    <t>SICOMORO ADVISORS PRIVATE LIMITED</t>
  </si>
  <si>
    <t>MULTI INVESTMENTS</t>
  </si>
  <si>
    <t>FWCA LLP</t>
  </si>
  <si>
    <t>Purushottam Pai Dhungat</t>
  </si>
  <si>
    <t>Sonal Deepak Jain</t>
  </si>
  <si>
    <t>ZUARI FINSERV LIMITED</t>
  </si>
  <si>
    <t>NUEDGE CORPORATE PRIVATE LIMITED</t>
  </si>
  <si>
    <t>LA CREME DE LA CREME SERVICES LLP</t>
  </si>
  <si>
    <t>Sunayana Patel</t>
  </si>
  <si>
    <t>BATLIVALA &amp; KARANI FINSERV PRIVATE LIMITED</t>
  </si>
  <si>
    <t>Sandeep Singh Kohli</t>
  </si>
  <si>
    <t>SAFFOLLYA O SAMRIDDHI LLP</t>
  </si>
  <si>
    <t>MONEYPLUS FINANCIAL AND INVESTMENT SERVICES LLP</t>
  </si>
  <si>
    <t>PROINVEST WEALTH MANAGERS PVT LTD</t>
  </si>
  <si>
    <t>AKSHAYA MONEY MART</t>
  </si>
  <si>
    <t>Vishwa Vipul Shah</t>
  </si>
  <si>
    <t>Chandrikaben Arvindkumar Thakkar</t>
  </si>
  <si>
    <t>DDK WEALTH PARTNERS LLP</t>
  </si>
  <si>
    <t>RELIGARE BROKING LIMITED</t>
  </si>
  <si>
    <t>MARWAHA SERVICES PRIVATE LIMITED</t>
  </si>
  <si>
    <t>SHREE INVESTMENTS</t>
  </si>
  <si>
    <t>FINEDGE SERVICES LLP</t>
  </si>
  <si>
    <t>Madhur Mendiratta</t>
  </si>
  <si>
    <t>ESCALATED WEALTH DISTRIBUTORS LLP</t>
  </si>
  <si>
    <t>RPA CAPITAL PRIVATE LIMITED</t>
  </si>
  <si>
    <t>MYRUPEE TOINVEST PRIVATE LIMITED</t>
  </si>
  <si>
    <t>FORTUNE INVESTMENT CENTRE</t>
  </si>
  <si>
    <t>SUMEX WEALTH PRIVATE LIMITED</t>
  </si>
  <si>
    <t>SSS DISTRIBUTORS PRIVATE LIMITED</t>
  </si>
  <si>
    <t>SECURE LIFE INVESTMENT PVT LTD</t>
  </si>
  <si>
    <t>MUDRA ASSET SERVICES PRIVATE LIMITED</t>
  </si>
  <si>
    <t>AYUSHMANN CAPITAL</t>
  </si>
  <si>
    <t>Bindu N Kumar</t>
  </si>
  <si>
    <t>SIRF INVESTMENT PRIVATE LIMITED</t>
  </si>
  <si>
    <t>BLUEDISCUS MANAGEMENT INDIA PRIVATE LIMITED</t>
  </si>
  <si>
    <t>CONCEPT INVESTWELL PRIVATE LIMITED</t>
  </si>
  <si>
    <t>VARDHMAN BIMA AGENTS PRIVATE LIMITED</t>
  </si>
  <si>
    <t>DREAMLADDER CAPITAL PRIVATE LIMITED</t>
  </si>
  <si>
    <t>LIVRICH FINMART</t>
  </si>
  <si>
    <t>VALTRUST CAPITAL PRIVATE LIMITED</t>
  </si>
  <si>
    <t>Venkatesh Kumar S</t>
  </si>
  <si>
    <t>YES FINSERVE LLP</t>
  </si>
  <si>
    <t>VISMAY FINSERVE LLP</t>
  </si>
  <si>
    <t>DHARNI CAPITAL SERVICES LIMITED</t>
  </si>
  <si>
    <t>APV FINANCIAL</t>
  </si>
  <si>
    <t>Akash Jayeshkumar Shah</t>
  </si>
  <si>
    <t>MCKINLEY GLOBAL CAPITAL LLP</t>
  </si>
  <si>
    <t>FINFREEDOM33 LLP</t>
  </si>
  <si>
    <t>Akshay Finserve Management LLP</t>
  </si>
  <si>
    <t>Y S CAPITAL</t>
  </si>
  <si>
    <t>FUNDKARTS INVESTMENT</t>
  </si>
  <si>
    <t>KINNTEGRA WEALTH PRIVATE LIMITED</t>
  </si>
  <si>
    <t>Latika Dey</t>
  </si>
  <si>
    <t>KHAJANA CAPITAL SERVICES LLP</t>
  </si>
  <si>
    <t>SIXTH ELEMENT CAPITAL</t>
  </si>
  <si>
    <t>SAARTHI DREAM ESTATES PRIVATE LIMITED</t>
  </si>
  <si>
    <t>Rahul Jain</t>
  </si>
  <si>
    <t>JINEN FINCAP PRIVATE LIMITED</t>
  </si>
  <si>
    <t>MOTILAL OSWAL FINANCIAL SERVICES LIMITED</t>
  </si>
  <si>
    <t>KRITIKA INVESTMENT AND INSURANCE MARKETING PRIVATE LIMITED</t>
  </si>
  <si>
    <t>RKS WEALTH INDIA PRIVATE LIMITED</t>
  </si>
  <si>
    <t>MARWAHA FINANCIAL SERVICES PVT LTD</t>
  </si>
  <si>
    <t>ISOLN</t>
  </si>
  <si>
    <t>GERA WEALTH PRIVATE LIMITED</t>
  </si>
  <si>
    <t>MARWAHA HOLDINGS PRIVATE LIMITED</t>
  </si>
  <si>
    <t>WEALTHNESS</t>
  </si>
  <si>
    <t>SRIVESH MANAGEMENT SERVICES</t>
  </si>
  <si>
    <t>ALPHA FINCARE</t>
  </si>
  <si>
    <t>EQUIRUS WEALTH PRIVATE LIMITED</t>
  </si>
  <si>
    <t>VISION LADDER LLP</t>
  </si>
  <si>
    <t>VEEKAY FINSERVE LLP</t>
  </si>
  <si>
    <t>G AND G FINSERV</t>
  </si>
  <si>
    <t>GMP ELITE</t>
  </si>
  <si>
    <t>ADITYA WEALTH CIRCLE PRIVATE LIMITED</t>
  </si>
  <si>
    <t>Rahul Gupta</t>
  </si>
  <si>
    <t>DHRUBTARA FINMART PRIVATE LIMITED</t>
  </si>
  <si>
    <t>CPMS FINSERV</t>
  </si>
  <si>
    <t>DVS ASSOCIATES PRIVATE LIMITED</t>
  </si>
  <si>
    <t>CYAN CAPITAL</t>
  </si>
  <si>
    <t>REGIS AND SAVOY CAPITAL</t>
  </si>
  <si>
    <t>VIRTUS DISTRIBUTORS AND SERVICES PRIVATE LIMITED</t>
  </si>
  <si>
    <t>SHIVA KONDURU FINSERV LLP</t>
  </si>
  <si>
    <t>Anil Kumar Gupta .</t>
  </si>
  <si>
    <t>INEST DISTRIBUTOR</t>
  </si>
  <si>
    <t>INVESTOR FIRST</t>
  </si>
  <si>
    <t>NEUOKOSH CAPITAL PRIVATE LIMITED</t>
  </si>
  <si>
    <t>Mithun Avinash Jathal</t>
  </si>
  <si>
    <t>ASCENT SERVICES</t>
  </si>
  <si>
    <t>PRATHAM SERVICES FINCORP LLP</t>
  </si>
  <si>
    <t>UVA WEALTH PRIVATE LIMITED</t>
  </si>
  <si>
    <t>DBS BANK INDIA LIMITED</t>
  </si>
  <si>
    <t>WEALTH IMPRESSION LLP</t>
  </si>
  <si>
    <t>INDUS CAPITAL</t>
  </si>
  <si>
    <t>FALGUNI INVESTMENT</t>
  </si>
  <si>
    <t>FORESIGHT MANEE LLP</t>
  </si>
  <si>
    <t>NITYA NISHRA FINANCIAL SERVICES</t>
  </si>
  <si>
    <t>Sulakshna S Kawachale</t>
  </si>
  <si>
    <t>ALLSTAGES FINANCIAL SERVICES PRIVATE LIMITED</t>
  </si>
  <si>
    <t>VALUEARK CAPITAL PRIVATE LIMITED</t>
  </si>
  <si>
    <t>FORTUNE FINSERVE LLP</t>
  </si>
  <si>
    <t>DEGREE 212 INVESTMENT SERVICES &amp; IMF PRIVATE LIMITED</t>
  </si>
  <si>
    <t>MALOO INVESTWISE PRIVATE LIMITED</t>
  </si>
  <si>
    <t>INVESTPRO FINANCIAL SERVICES PRIVATE LIMITED</t>
  </si>
  <si>
    <t>HMG CAPITAL SERVICES PRIVATE LIMITED</t>
  </si>
  <si>
    <t>HGK INVESTMENT AVENUE</t>
  </si>
  <si>
    <t>Sridhaba Mahapatro</t>
  </si>
  <si>
    <t>J2 WEALTH AND INVESTMENTS</t>
  </si>
  <si>
    <t>Kumar Siddhartha</t>
  </si>
  <si>
    <t>SP GOLDWORTH PRIVATE LIMITED</t>
  </si>
  <si>
    <t>JRL CAPITAL PRIVATE LIMITED</t>
  </si>
  <si>
    <t>ONE TREE HILL PRIME WEALTH LLP</t>
  </si>
  <si>
    <t>BEE KAY TAXATION AND INVESTMENT LLP</t>
  </si>
  <si>
    <t>Jay Paresh Shah</t>
  </si>
  <si>
    <t>INVEONS PRIVATE LIMITED</t>
  </si>
  <si>
    <t>OM SPECTRUM FINANCIAL SERRVICES</t>
  </si>
  <si>
    <t>Sudhir Pandu Poojari</t>
  </si>
  <si>
    <t>PXG WEALTH PRIVATE LIMITED</t>
  </si>
  <si>
    <t>Lokesh Malhotra</t>
  </si>
  <si>
    <t>TOP GEAR FINANCIAL SERVICES</t>
  </si>
  <si>
    <t>SIGNATURE FINANCIAL SERVICES PRIVATE LIMITED</t>
  </si>
  <si>
    <t>PRATIBHA FINANCIAL SERVICES</t>
  </si>
  <si>
    <t>PLANWAY CAPITAL</t>
  </si>
  <si>
    <t>Amit Kolkur</t>
  </si>
  <si>
    <t>CR CASHRICH FINTECH PRIVATE LIMITED</t>
  </si>
  <si>
    <t>ATOMPRIVE FINANCIAL SERVICES PRIVATE LIMITED</t>
  </si>
  <si>
    <t>AMONA BEAUCOUP SERVICES LLP</t>
  </si>
  <si>
    <t>Siddarth Sharma</t>
  </si>
  <si>
    <t>SATCO WEALTH PRIVATE LIMITED</t>
  </si>
  <si>
    <t>KAMALDHOOT INVESTMENTS PRIVATE LIMITED</t>
  </si>
  <si>
    <t>ANUVA WEALTH LLP</t>
  </si>
  <si>
    <t>TURTLEMINT MUTUAL FUNDS DISTRIBUTORS PRIVATE LIMITED</t>
  </si>
  <si>
    <t>RAVI PAPOSA</t>
  </si>
  <si>
    <t>3 I FINSERV LLP</t>
  </si>
  <si>
    <t>NIDESH GURU PRIVATE LIMITED</t>
  </si>
  <si>
    <t>NANDA ENTERPRISES</t>
  </si>
  <si>
    <t>V K FINTECH CORPORATION</t>
  </si>
  <si>
    <t>TRUVISORY</t>
  </si>
  <si>
    <t>GRIFFIN CAPITAL SERVICES LLP</t>
  </si>
  <si>
    <t>Vikas Gaba</t>
  </si>
  <si>
    <t>ABACUS MUTUAL</t>
  </si>
  <si>
    <t>MMW FINANCIAL SERVICES LLP</t>
  </si>
  <si>
    <t>I Thabresh</t>
  </si>
  <si>
    <t>PRIMO DISTRIBUTION SERVICES</t>
  </si>
  <si>
    <t>Hardev Singh Saini</t>
  </si>
  <si>
    <t>PIFCON SERVICES LLP</t>
  </si>
  <si>
    <t>SAMYAK FINSERVE</t>
  </si>
  <si>
    <t>R-RUPEEXPRESS FINANCIAL SERVICES PRIVATE LIMITED</t>
  </si>
  <si>
    <t>Falguni Himanshu Dani</t>
  </si>
  <si>
    <t>OCEAN FINVEST</t>
  </si>
  <si>
    <t>PSQUARE MONEY PRIVATE LIMITED</t>
  </si>
  <si>
    <t>FINLAKSHYA FINANCIAL SERVICES PRIVATE LIMITED</t>
  </si>
  <si>
    <t>SYAARAWEALTH SQUARE PRIVATE LIMITED</t>
  </si>
  <si>
    <t>BAJAJ FINANCIAL SECURITIES LIMITED</t>
  </si>
  <si>
    <t>WEALTHY WORLD PATHWAYS PRIVATE LIMITED</t>
  </si>
  <si>
    <t>ZFUNDS DISTRIBUTION PRIVATE LIMITED</t>
  </si>
  <si>
    <t>KHASNIS PRIME WEALTH PRIVATE LIMITED</t>
  </si>
  <si>
    <t>SUJASH ASSOCIATES LLP</t>
  </si>
  <si>
    <t>M P MEHTA FINSERV LLP</t>
  </si>
  <si>
    <t>I VENTURES SECURITIES PRIVATE LIMITED</t>
  </si>
  <si>
    <t>KHP INVESTMENT</t>
  </si>
  <si>
    <t>INFINITE FINANCIAL SERVICES</t>
  </si>
  <si>
    <t>MATHEW FINSERV PRIVATE LIMITED</t>
  </si>
  <si>
    <t>BLUEFORT FINANCIAL LLP</t>
  </si>
  <si>
    <t>4TF SERVICES PRIVATE LIMITED</t>
  </si>
  <si>
    <t>Maulik S Ashar</t>
  </si>
  <si>
    <t>DHANVRUKSH ASSETS PRIVATE LIMITED</t>
  </si>
  <si>
    <t>PINE WEALTH PRIVATE LIMITED</t>
  </si>
  <si>
    <t>MANU FINANCIAL SERVICES</t>
  </si>
  <si>
    <t>SETH CAPITAL</t>
  </si>
  <si>
    <t>ADDING WELL</t>
  </si>
  <si>
    <t>TAILWIND FINANCIAL SERVICES PRIVATE LIMITED</t>
  </si>
  <si>
    <t>NIYAMA MANAGEMENT &amp; BROKING SERVICES LLP</t>
  </si>
  <si>
    <t>THE HEADWAY INSURANCE MARKETING LLP</t>
  </si>
  <si>
    <t>Mohammed Tajamul</t>
  </si>
  <si>
    <t>KEE WEALTH</t>
  </si>
  <si>
    <t>CADENCE FINSERVE PRIVATE LIMITED</t>
  </si>
  <si>
    <t>CG ASSOCIATES LLP</t>
  </si>
  <si>
    <t>NPS ASSOCIATES PRIVATE LIMITED</t>
  </si>
  <si>
    <t>CAPCRE SERVICES PRIVATE LIMITED</t>
  </si>
  <si>
    <t>Kapil Kumar.</t>
  </si>
  <si>
    <t>NIVESH MITRA FINVEST PRIVATE LIMITED</t>
  </si>
  <si>
    <t>Surjit Singh</t>
  </si>
  <si>
    <t>SYMPHONIA WEALTH PRIVATE LIMITED</t>
  </si>
  <si>
    <t>ZIMELLO WEALTH PRIVATE LIMITED</t>
  </si>
  <si>
    <t>GREENEDGE CAPITAL ADVISORS PRIVATE LIMITED</t>
  </si>
  <si>
    <t>JERICHO VENTURES PRIVATE LIMITED</t>
  </si>
  <si>
    <t>REDEFINE WEALTH FINANCIAL SERVICES LLP</t>
  </si>
  <si>
    <t>RENAISSANCE FINANCIAL SERVICES PRIVATE LIMITED</t>
  </si>
  <si>
    <t>R PATEL WEALTH</t>
  </si>
  <si>
    <t>V6 ARTHGYAN LLP</t>
  </si>
  <si>
    <t>Nita Rajesh Dhruva</t>
  </si>
  <si>
    <t>AMBIT WEALTH PRIVATE LIMITED</t>
  </si>
  <si>
    <t>IIFL WEALTH PRIME LIMITED</t>
  </si>
  <si>
    <t>SWAN INVESTMENT DISTRIBUTORS PVT LTD</t>
  </si>
  <si>
    <t>MANGAL DEEP FINANCIAL SERVICES</t>
  </si>
  <si>
    <t>WEALTH INSIGHT CAPITAL SERVICES PRIVATE LIMITED</t>
  </si>
  <si>
    <t>DILZER CONSULTANTS PVT LTD</t>
  </si>
  <si>
    <t>GROWTHFINITI WEALTH PRIVATE LIMITED</t>
  </si>
  <si>
    <t>Rohini Godenlla Rajaram</t>
  </si>
  <si>
    <t>SHAN WEALTH PRIVATE LIMITED</t>
  </si>
  <si>
    <t>WISEBULLS</t>
  </si>
  <si>
    <t>STARLIGHT WEALTH LLP</t>
  </si>
  <si>
    <t>ARTHCHAKRA CAPITAL PRIVATE LIMITED</t>
  </si>
  <si>
    <t>PRANITYA WEALTH LLP</t>
  </si>
  <si>
    <t>NANDYAVARTA FINANCIAL SERVICES PRIVATE LIMITED</t>
  </si>
  <si>
    <t>AEVITAS CAPITAL PRIVATE LIMITED</t>
  </si>
  <si>
    <t>RAAS</t>
  </si>
  <si>
    <t>Ajai Ravi</t>
  </si>
  <si>
    <t>ALPHA ASSETZ</t>
  </si>
  <si>
    <t>FINVISION FINANCIAL SERVICES</t>
  </si>
  <si>
    <t>AMRITKAR SERVICES LLP</t>
  </si>
  <si>
    <t>Garrima Theti</t>
  </si>
  <si>
    <t>VALUEFUNDZ PRIVATE LIMITED</t>
  </si>
  <si>
    <t>SREEBHAVAN SERVICES</t>
  </si>
  <si>
    <t>NG PRIME WEALTH LLP</t>
  </si>
  <si>
    <t>PM FIN AND TECH SERVICES</t>
  </si>
  <si>
    <t>PARAMI FINANCIAL SERVICES PRIVATE LIMITED</t>
  </si>
  <si>
    <t>AUTOFITECH SERVICES PRIVATE LIMITED</t>
  </si>
  <si>
    <t>PWS ENTERPRISE LLP</t>
  </si>
  <si>
    <t>NKJ FINSERV LLP</t>
  </si>
  <si>
    <t>JMD FINANCE</t>
  </si>
  <si>
    <t>ASHVVY INVESTMENT PRIVATE LIMITED</t>
  </si>
  <si>
    <t>NK KOTHARI FINSERVE PRIVATE LIMITED</t>
  </si>
  <si>
    <t>PJ INDIA WEALTH PVT LTD</t>
  </si>
  <si>
    <t>DELIGHTSTAR FINSERV LLP</t>
  </si>
  <si>
    <t>Debarshi Shaha</t>
  </si>
  <si>
    <t>BAKER STREET FINTECH PVT LTD</t>
  </si>
  <si>
    <t>RIGHT MF INVESTMENT PRIVATE LIMITED</t>
  </si>
  <si>
    <t>S Ganesh Ramakrishnan</t>
  </si>
  <si>
    <t>SHAH FINANCIAL SERVICES</t>
  </si>
  <si>
    <t>RNB CORPORATE SERVICES PRIVATE LIMITED</t>
  </si>
  <si>
    <t>BALAJI NIVESH PRIVATE LIMITED</t>
  </si>
  <si>
    <t>CHINMAYA RAIL EQUIPMENT PVT LTD</t>
  </si>
  <si>
    <t>Neetika Mehta</t>
  </si>
  <si>
    <t>Simran Kewalramani</t>
  </si>
  <si>
    <t>Shriprasad Ramnath Barde</t>
  </si>
  <si>
    <t>CRESCENT MUTUAL FUND DISTRIBUTORS PRIVATE LIMITED</t>
  </si>
  <si>
    <t>WALLET WEALTH LLP</t>
  </si>
  <si>
    <t>ALPHACENTAURI CAP PVT LTD</t>
  </si>
  <si>
    <t>ASSETVILLA FINANCIAL SERVICES LLP</t>
  </si>
  <si>
    <t>PRIVADO CAPITAL VENTURES LLP</t>
  </si>
  <si>
    <t>PROSPERTIVE ASSOCIATES LLP</t>
  </si>
  <si>
    <t>HAPPY INVESTOR FINSERV LLP</t>
  </si>
  <si>
    <t>SHREE MUTUAL FUND SERVICES PRIVATE LIMITED</t>
  </si>
  <si>
    <t>CRYSTAL VISION MONEY ART</t>
  </si>
  <si>
    <t>PYXIS WEALTH PRIVATE LIMITED</t>
  </si>
  <si>
    <t>INTYGRITTY MONEYTREE PRIVATE LIMITED</t>
  </si>
  <si>
    <t>WISEINVEST</t>
  </si>
  <si>
    <t>FOURYARDS WEALTH LLP</t>
  </si>
  <si>
    <t>BAHUBALIMSHAH FINANCIALS PRIVATE LIMITED</t>
  </si>
  <si>
    <t>Taru Gupta</t>
  </si>
  <si>
    <t>MONASH FINSERVE AND TECH PRIVATE LIMITED</t>
  </si>
  <si>
    <t>SATWIK AND RITWIK VENTURES PRIVATE LIMITED</t>
  </si>
  <si>
    <t>SODHANI CAPITAL LIMITED</t>
  </si>
  <si>
    <t>Saksham Shailendra Sharma</t>
  </si>
  <si>
    <t>Umesh Kumar</t>
  </si>
  <si>
    <t>NIMBUS FINSERV PRIVATE LIMITED</t>
  </si>
  <si>
    <t>AM INVESTMENT ADVISORS AND ASSOCIATES</t>
  </si>
  <si>
    <t>MANUVISHNU FINSERVE LLP</t>
  </si>
  <si>
    <t>GROWREAL INVESTMENT SERVICES LLP</t>
  </si>
  <si>
    <t>SUBHAM SECURITIES</t>
  </si>
  <si>
    <t>INDIRA J UDANI FINSERVE LLP</t>
  </si>
  <si>
    <t>EDGE ASSOCIATES</t>
  </si>
  <si>
    <t>WEALTH WORKS CAPITAL PRIVATE LIMITED</t>
  </si>
  <si>
    <t>WEALTH WISDOM INVESTECH PVT LTD</t>
  </si>
  <si>
    <t>WIZR WEALTH PRIVATE LIMITED</t>
  </si>
  <si>
    <t>MONEYJOURNEY LLP</t>
  </si>
  <si>
    <t>MOATWEALTH ASSOCIATES LLP</t>
  </si>
  <si>
    <t>SINCERE SYNDICATION PRIVATE LIMITED</t>
  </si>
  <si>
    <t>PARAS PRIME WEALTH PRIVATE LIMITED</t>
  </si>
  <si>
    <t>RAUNAK ROONGTA FINANCIAL SERVICES LLP</t>
  </si>
  <si>
    <t>Eesha Gupta</t>
  </si>
  <si>
    <t>AMBITION FINSERVE PVT LTD</t>
  </si>
  <si>
    <t>INVESTMART SECURITIES PRIVATE LIMITED</t>
  </si>
  <si>
    <t>REAL INVESTMENT</t>
  </si>
  <si>
    <t>KAPOOR FINANCIALS PRIVATE LIMITED</t>
  </si>
  <si>
    <t>GUPTA INVESTMENTS FINANCIAL SERVICES PRIVATE LIMITED</t>
  </si>
  <si>
    <t>ECHO WEALTH PRIVATE LTD</t>
  </si>
  <si>
    <t>DHANVARDHAN WEEALTH PRIVATE LIMITED</t>
  </si>
  <si>
    <t>IWATERMARK WEALTH PRIVATE LIMITED</t>
  </si>
  <si>
    <t>A R Desai</t>
  </si>
  <si>
    <t>AALPS WEALTH INDIA PRIVATE LIMITED</t>
  </si>
  <si>
    <t>BIGBUCKS FINANCIAL SERVICES PVT LTD</t>
  </si>
  <si>
    <t>360 ONE DISTRIBUTION SERVICES LTD</t>
  </si>
  <si>
    <t>SHARATH KUMAR SARVOTHAM</t>
  </si>
  <si>
    <t>ASSETMINE CAPITAL PRIVATE LIMITED</t>
  </si>
  <si>
    <t>BANCONUS FINANCIALS SERVICES LLP</t>
  </si>
  <si>
    <t>MARINA WEALTH</t>
  </si>
  <si>
    <t>FISSION WEALTH PRIVATE LIMITED</t>
  </si>
  <si>
    <t>PEOPLE CONNECT DISTRIBUTION SERVICES LLP</t>
  </si>
  <si>
    <t>WEALTHVAULT RESEARCH AND ANALYTICS PRIVATE LIMITED</t>
  </si>
  <si>
    <t>LAKHOTIA FINSERVE LLP</t>
  </si>
  <si>
    <t>KSABHANI FINSERVE PRIVATE LIMITED</t>
  </si>
  <si>
    <t>Chitra</t>
  </si>
  <si>
    <t>SAUMIT FINCON SERVICES LLP</t>
  </si>
  <si>
    <t>INSERV FINANCIAL SERVICES PRIVATE LIMITED</t>
  </si>
  <si>
    <t>SEEMAN FIINTOUCH LLP</t>
  </si>
  <si>
    <t>POORAVI FINCARE PRIVATE LIMITED</t>
  </si>
  <si>
    <t>ROYS VENTURES LLP</t>
  </si>
  <si>
    <t>TSC EDGE FINANCIAL DISTRIBUTION LLP</t>
  </si>
  <si>
    <t>SUMIRE SECURITIES PRIVATE LIMITED</t>
  </si>
  <si>
    <t>FINSHERPA INVESTMENTS PRIVATE LIMITED</t>
  </si>
  <si>
    <t>STATPRO FINTECH PRIVATE LIMITED</t>
  </si>
  <si>
    <t>PHONEPE WEALTH BROKING PRIVATE LIMITED</t>
  </si>
  <si>
    <t>LOKMANYA MULTIPURPOSE CO OPERATIVE SOCIETY LTD</t>
  </si>
  <si>
    <t>SREEVARU SECURITIES PRIVATE LIMITED</t>
  </si>
  <si>
    <t>SUKHADA ASSOCIATES LLP</t>
  </si>
  <si>
    <t>SAMPADA ASSOCIATES LLP</t>
  </si>
  <si>
    <t>EQUITUP FINANCIAL SERVICES LLP</t>
  </si>
  <si>
    <t>MONEY LANCER INVESTMENTS PVT LTD</t>
  </si>
  <si>
    <t>NEENA CAPITAL SERVICES LLP</t>
  </si>
  <si>
    <t>CENTRICITY FINANCIAL DISTRIBUTION PRIVATE LIMITED</t>
  </si>
  <si>
    <t>PERPETUAL INVESTMENTS</t>
  </si>
  <si>
    <t>RAJENDRA NANCHAND MEHTA HUF</t>
  </si>
  <si>
    <t>SIDDHARTH RAJENDRA MEHTA HUF</t>
  </si>
  <si>
    <t>GREEN GAIN FINANCIAL SERVICES LLP</t>
  </si>
  <si>
    <t>DVSFIN MANAGEMENT LLP</t>
  </si>
  <si>
    <t>DISHA FINMART PRIVATE LIMITED</t>
  </si>
  <si>
    <t>TRINITY DIGIMARKETING AND SERVICES LLP</t>
  </si>
  <si>
    <t>FUTURE FIRST FINANCIALS PRIVATE LIMITED</t>
  </si>
  <si>
    <t>CAPITAL LEAGUE LLP</t>
  </si>
  <si>
    <t>ACORNIA INVESTMENT SERVICES PRIVATE LIMITED</t>
  </si>
  <si>
    <t>Kruti Krunal Garala</t>
  </si>
  <si>
    <t>PRIME CAPITAL MF DISTRIBUTORS</t>
  </si>
  <si>
    <t>VISNI SERVICES LLP</t>
  </si>
  <si>
    <t>SANRIYA FINVEST PRIVATE LIMITED</t>
  </si>
  <si>
    <t>TRANQUITY WEALTH PRIVATE LIMITED</t>
  </si>
  <si>
    <t>CEEJAY WEALTH PRIVATE LIMITED</t>
  </si>
  <si>
    <t>Navneet Pradhan</t>
  </si>
  <si>
    <t>EZY WISE SERVICES PRIVATE LIMITED</t>
  </si>
  <si>
    <t>EXCELLENCE WEALTH LAB PRIVATE LIMITED</t>
  </si>
  <si>
    <t>DHANVANTRI CAPITAL SERVICES PRIVATE LIMITED</t>
  </si>
  <si>
    <t>RVIRAT WEALTH LLP</t>
  </si>
  <si>
    <t>COINTREE INDIA FINMAN PRIVATE LIMITED</t>
  </si>
  <si>
    <t>FINDARTS FINSERV PRIVATE LIMITED</t>
  </si>
  <si>
    <t>GREEN OAK ASSETS LLP</t>
  </si>
  <si>
    <t>GKG INVESTMENTS PRIVATE LIMITED</t>
  </si>
  <si>
    <t>TRINITY FINANCIAL SERVICES</t>
  </si>
  <si>
    <t>KHUSHI WEALTH PRIVATE LIMITED</t>
  </si>
  <si>
    <t>TEAMGM INVESTMART PRIVATE LIMITED</t>
  </si>
  <si>
    <t>INTELLI 360 ASSET PVT LTD</t>
  </si>
  <si>
    <t>Abhishek H Shah</t>
  </si>
  <si>
    <t>PROJECT WEALTH</t>
  </si>
  <si>
    <t>FORTUNE INVESTMENT SERVICES PRIVATE LIMITED</t>
  </si>
  <si>
    <t>INVESTMENT STUDIO</t>
  </si>
  <si>
    <t>LGT WEALTH INDIA PRIVATE LIMITED</t>
  </si>
  <si>
    <t>Padmanabha H R</t>
  </si>
  <si>
    <t>HIGHLIFE FINSERV PRIVATE LIMITED</t>
  </si>
  <si>
    <t>Krithika</t>
  </si>
  <si>
    <t>VISHAL DIWAKAR</t>
  </si>
  <si>
    <t>AKC CAPITAL PRIVATE LIMITED</t>
  </si>
  <si>
    <t>TORIN SERVICES PRIVATE LIMITED</t>
  </si>
  <si>
    <t>SANTOSH HASTIMAL GANDHI HUF</t>
  </si>
  <si>
    <t>SREYA FINSERV PRIVATE LIMITED</t>
  </si>
  <si>
    <t>Amruta Suyog Aprajit</t>
  </si>
  <si>
    <t>INCRED WEALTH AND INVESTMENT SERVICES PRIVATE LIMITED</t>
  </si>
  <si>
    <t>MAGNUM INVESTSMART PRIVATE LIMITED</t>
  </si>
  <si>
    <t>METACAP GLOBAL FINANCIAL SERVICES LLP</t>
  </si>
  <si>
    <t>AIR WARRIOR MONEY PVT LTD</t>
  </si>
  <si>
    <t>Mangala Prakash Bande</t>
  </si>
  <si>
    <t>PARAM INVESTOPEDIA PRIVATE LIMITED</t>
  </si>
  <si>
    <t>Ajay N Mishra</t>
  </si>
  <si>
    <t>ATIP SIGNIFICANT INVESTMENT PRIVATE LIMITED</t>
  </si>
  <si>
    <t>BUCKSPEAK PRIVATE LIMITED</t>
  </si>
  <si>
    <t>AKSHAYA FINMART PRIVATE LTD</t>
  </si>
  <si>
    <t>CREDENCE FINVEST</t>
  </si>
  <si>
    <t>SRR ASSETS LLP</t>
  </si>
  <si>
    <t>S S INVESTMENTS</t>
  </si>
  <si>
    <t>PRIMEVISTA INVESTMENTS PRIVATE LIMITED</t>
  </si>
  <si>
    <t>LADCO CREST PARTNERS PRIVATE LIMITED</t>
  </si>
  <si>
    <t>R K GUPTA WEALTH PRIVATE LIMITED</t>
  </si>
  <si>
    <t>ARVO WEALTH ADVISORS PRIVATE LIMITED</t>
  </si>
  <si>
    <t>SHABD INVESTMENTS</t>
  </si>
  <si>
    <t>SHUBHAM EDGE DISTRIBUTION LLP</t>
  </si>
  <si>
    <t>NOBLE WEALTH TECHNOLOGIES PRIVATE LIMITED</t>
  </si>
  <si>
    <t>GREEN TURTLE FINSERV PRIVATE LIMITED</t>
  </si>
  <si>
    <t>CLICK4MF PRIVATE LIMITED</t>
  </si>
  <si>
    <t>JASH INVESTMENT SERVICES</t>
  </si>
  <si>
    <t>DEZERV DISTRIBUTION SERVICES PRIVATE LIMITED</t>
  </si>
  <si>
    <t>WE CARE FREEDOM WEALTH PRIVATE LIMITED</t>
  </si>
  <si>
    <t>ARCHANA RAMAKANT SABOO</t>
  </si>
  <si>
    <t>DR INVESTMENT SERVICES LLP</t>
  </si>
  <si>
    <t>Raja Rajan Ranganathan</t>
  </si>
  <si>
    <t>INVESTOR POINT.</t>
  </si>
  <si>
    <t>MONEYBUS FINANCIALS IMF LLP</t>
  </si>
  <si>
    <t>IMM SERVICES</t>
  </si>
  <si>
    <t>SANCHAY FINANCIAL SERVICES</t>
  </si>
  <si>
    <t>J2 WEALTH PRIVATE LIMITED</t>
  </si>
  <si>
    <t>SURABHI INVESTMENT SERVICES PRIVATE LIMITED</t>
  </si>
  <si>
    <t>MJV FINSERV PRIVATE LIMITED</t>
  </si>
  <si>
    <t>RAR VENTURES PRIVATE LIMITED</t>
  </si>
  <si>
    <t>WCA DISTRIBUTION PRIVATE LIMITED</t>
  </si>
  <si>
    <t>WISEHOUSE WEALTH PRIVATE LIMITED</t>
  </si>
  <si>
    <t>SARSA SECURITIES DISTRIBUTION PRIVATE LIMITED</t>
  </si>
  <si>
    <t>UPWISERY ONE LLP</t>
  </si>
  <si>
    <t>VISHAL MODI ASSOCIATES LLP</t>
  </si>
  <si>
    <t>AJMERA DISTRIBUTOR LLP</t>
  </si>
  <si>
    <t>ARYAN ATUL SURANA</t>
  </si>
  <si>
    <t>KAYAKA FINANCIAL SERVICES PRIVATE LIMITED</t>
  </si>
  <si>
    <t>SHREY WEALTH</t>
  </si>
  <si>
    <t>SHILPA ASSOCIATES.</t>
  </si>
  <si>
    <t>DRCHOKSEY FINSERV PRIVATE LIMITED</t>
  </si>
  <si>
    <t>PRIMEW FINANCIAL SERVICES PRIVATE LIMITED</t>
  </si>
  <si>
    <t>HCT CAPITAL</t>
  </si>
  <si>
    <t>GREENMINT FINSERVE PRIVATE LIMITED</t>
  </si>
  <si>
    <t>DHYEYAN INVESTMENTS</t>
  </si>
  <si>
    <t>FLEXICAPITAL PRIVATE LIMITED</t>
  </si>
  <si>
    <t>Sarthi Financial Services</t>
  </si>
  <si>
    <t>CHITNIS FINANCIALS PRIVATE LIMITED</t>
  </si>
  <si>
    <t>BANYANFA LLP</t>
  </si>
  <si>
    <t>SNAZZY WEALTH PRIVATE LIMITED</t>
  </si>
  <si>
    <t>ACCELERATE FINSERV PRIVATE LIMITED</t>
  </si>
  <si>
    <t>WISE TURTLE FINSERV LLP</t>
  </si>
  <si>
    <t>S B PRIME WEALTH PRIVATE LIMITED</t>
  </si>
  <si>
    <t>OZARA FINMART LLP</t>
  </si>
  <si>
    <t>FUNDSMART FINSERV PRIVATE LIMITED</t>
  </si>
  <si>
    <t>INDNIVEZA DISTRIBUTORS PRIVATE LIMITED</t>
  </si>
  <si>
    <t>SHARE SPOT FINANCIAL SERVICES LLP</t>
  </si>
  <si>
    <t>INNOVATIVE FINANCIAL MANAGEMENT PRIVATE LIMITED</t>
  </si>
  <si>
    <t>SAMVARDHINI FINANCIAL SERVICES</t>
  </si>
  <si>
    <t>DHANASREE WEALTH FINANCIAL SERVICES PRIVATE LIMITED</t>
  </si>
  <si>
    <t>WISH WORTH WEALTH</t>
  </si>
  <si>
    <t>INVESTURTLE PRIVATE LIMITED</t>
  </si>
  <si>
    <t>ANKURIT INVESTMENT SERVICES PRIVATE LIMITED</t>
  </si>
  <si>
    <t>LKTS INVESTMENT SERVICES LLP</t>
  </si>
  <si>
    <t>PAROLIA INVESTOR SERVICES LLP</t>
  </si>
  <si>
    <t>MONEYKONNECT LLP</t>
  </si>
  <si>
    <t>SREE INVESTMENT SERVICES</t>
  </si>
  <si>
    <t>EXCELLENT FINANCIAL AND TAXATION SERVICES PRIVATE LIMITED</t>
  </si>
  <si>
    <t>LIFELINE PRIME INVESTMENT SERVICES LLP</t>
  </si>
  <si>
    <t>CHAMUNDA INVESTMENT SERVICES LLP</t>
  </si>
  <si>
    <t>GURURAM FINANCIAL SERVICES PRIVATE LIMITED</t>
  </si>
  <si>
    <t>MOKSH FINSERV</t>
  </si>
  <si>
    <t>KMP MF SERVICES LLP</t>
  </si>
  <si>
    <t>INVEST AAJ FOR KAL EDUTECH PRIVATE LIMITED</t>
  </si>
  <si>
    <t>S R B FINCON LLP</t>
  </si>
  <si>
    <t>KENKARE INVESTMENT SERVICES PRIVATE LIMITED</t>
  </si>
  <si>
    <t>SSIT FINSERV PRIVATE LIMITED</t>
  </si>
  <si>
    <t>VPL FINSERV PRIVATE LIMITED</t>
  </si>
  <si>
    <t>REAL VALUE ENTERPRISES PRIVATE LIMITED</t>
  </si>
  <si>
    <t>SHRIRAM FINANCE LIMITED</t>
  </si>
  <si>
    <t>PURUSHA FINSERVE PRIVATE LIMITED</t>
  </si>
  <si>
    <t>MG FINANCIAL SERVICES</t>
  </si>
  <si>
    <t>FORTUNA CONECT WEALTH PRIVATE LIMITED</t>
  </si>
  <si>
    <t>ADITYA BIRLA CAPITAL DIGITAL LIMITED</t>
  </si>
  <si>
    <t>BHAVA SERVICES LLP</t>
  </si>
  <si>
    <t>SAPIENT FINSERV PRIVATE LIMITED</t>
  </si>
  <si>
    <t>HEMANT CAPITAL MFD LLP</t>
  </si>
  <si>
    <t>MONEYTREK FINSERVE LLP</t>
  </si>
  <si>
    <t>LAHOTI SNJ FINSERV PRIVATE LIMITED</t>
  </si>
  <si>
    <t>INNOVATIVE PRIME WEALTH PRIVATE LIMITED</t>
  </si>
  <si>
    <t>PLOUTUS ASSET SERVICES LLP</t>
  </si>
  <si>
    <t>I PLUS FINANCIAL SERVICES LLP</t>
  </si>
  <si>
    <t>GCIC FINSERV PRIVATE LIMITED</t>
  </si>
  <si>
    <t>VALAB INVESTMENT SERVICES PRIVATE LIMITED</t>
  </si>
  <si>
    <t>SANJAY MEHTA FINANCIAL SERVICES PRIVATE LIMITED</t>
  </si>
  <si>
    <t>VIRUKSHAM FINMART PRIVATE LIMITED</t>
  </si>
  <si>
    <t>SWAYAMBHU FUNDSMART LLP</t>
  </si>
  <si>
    <t>MFBAZAAR WEALTH PRIVATE LIMITED</t>
  </si>
  <si>
    <t>SARVOTAM DISTRIBUTORS LLP</t>
  </si>
  <si>
    <t>INDIRA ENTERPRISES</t>
  </si>
  <si>
    <t>SKI FINMART LLP</t>
  </si>
  <si>
    <t>PRUDENO WEALTH ADVISORS PRIVATE LIMITED</t>
  </si>
  <si>
    <t>SHRIPARNI ARTHA LLP</t>
  </si>
  <si>
    <t>GADA AND HARIA FINANCIAL SERVICES</t>
  </si>
  <si>
    <t>2I WEALTH MFD LLP</t>
  </si>
  <si>
    <t>MAHORE FINSERVE PRIVATE LIMITED</t>
  </si>
  <si>
    <t>MJP FINSERVE PRIVATE LIMITED</t>
  </si>
  <si>
    <t>A R FINCAP</t>
  </si>
  <si>
    <t>RHINE INVESTMENTS</t>
  </si>
  <si>
    <t>Shalmali Kiran Deodhar</t>
  </si>
  <si>
    <t>SAMARTH WEALTH PRIVATE LIMITED</t>
  </si>
  <si>
    <t>TRUSTNER ASSET SERVICES PRIVATE LIMITED</t>
  </si>
  <si>
    <t>SRI KOTYARK INVESTMENTS</t>
  </si>
  <si>
    <t>OD3078</t>
  </si>
  <si>
    <t>Barjeel Geojit Financial Services LLC</t>
  </si>
  <si>
    <t>OD91293</t>
  </si>
  <si>
    <t>QURUM BUSINESS GROUP GEOJIT SECURITIES LLC</t>
  </si>
  <si>
    <t>OD106170</t>
  </si>
  <si>
    <t>Ajay Khurana</t>
  </si>
  <si>
    <t>OD112575</t>
  </si>
  <si>
    <t>Thakkar Gangaram Keshavlal</t>
  </si>
  <si>
    <t xml:space="preserve">Name of the ARN Holder </t>
  </si>
  <si>
    <t>All figures - Rs. in Lacs</t>
  </si>
  <si>
    <t>Gross Inflows</t>
  </si>
  <si>
    <t>Net Inflows</t>
  </si>
  <si>
    <t>Whether the distributor is an associate or group compnay of the sponsors of the Mutual Fund</t>
  </si>
  <si>
    <t xml:space="preserve">Total Commission paid during 
FY 2023-24
</t>
  </si>
  <si>
    <t>Total Expenses paid during 
FY 2023-24</t>
  </si>
  <si>
    <t>Total Commission + Expenses paid during FY 2023-24</t>
  </si>
  <si>
    <t>Averge Assets under Management for FY 2023-24</t>
  </si>
  <si>
    <t>AUM as on 
31-Mar-2024</t>
  </si>
  <si>
    <r>
      <t xml:space="preserve">            </t>
    </r>
    <r>
      <rPr>
        <b/>
        <sz val="11"/>
        <color theme="1"/>
        <rFont val="Calibri"/>
        <family val="2"/>
      </rPr>
      <t>A</t>
    </r>
  </si>
  <si>
    <r>
      <t xml:space="preserve">          </t>
    </r>
    <r>
      <rPr>
        <b/>
        <sz val="11"/>
        <color theme="1"/>
        <rFont val="Calibri"/>
        <family val="2"/>
      </rPr>
      <t>B</t>
    </r>
  </si>
  <si>
    <r>
      <t xml:space="preserve">       </t>
    </r>
    <r>
      <rPr>
        <b/>
        <sz val="11"/>
        <color theme="1"/>
        <rFont val="Calibri"/>
        <family val="2"/>
      </rPr>
      <t>A+B</t>
    </r>
  </si>
  <si>
    <t>Total</t>
  </si>
  <si>
    <t>ARN-0002</t>
  </si>
  <si>
    <t>ARN-0005</t>
  </si>
  <si>
    <t>ARN-0006</t>
  </si>
  <si>
    <t>ARN-0007</t>
  </si>
  <si>
    <t>ARN-0009</t>
  </si>
  <si>
    <t>ARN-0010</t>
  </si>
  <si>
    <t>ARN-0011</t>
  </si>
  <si>
    <t>ARN-0014</t>
  </si>
  <si>
    <t>ARN-0016</t>
  </si>
  <si>
    <t>ARN-0017</t>
  </si>
  <si>
    <t>ARN-0019</t>
  </si>
  <si>
    <t>ARN-0020</t>
  </si>
  <si>
    <t>ARN-0021</t>
  </si>
  <si>
    <t>ARN-0022</t>
  </si>
  <si>
    <t>ARN-0030</t>
  </si>
  <si>
    <t>ARN-0032</t>
  </si>
  <si>
    <t>ARN-0037</t>
  </si>
  <si>
    <t>ARN-0039</t>
  </si>
  <si>
    <t>ARN-0052</t>
  </si>
  <si>
    <t>ARN-0057</t>
  </si>
  <si>
    <t>ARN-0058</t>
  </si>
  <si>
    <t>ARN-0059</t>
  </si>
  <si>
    <t>ARN-0060</t>
  </si>
  <si>
    <t>ARN-0076</t>
  </si>
  <si>
    <t>ARN-0088</t>
  </si>
  <si>
    <t>ARN-0098</t>
  </si>
  <si>
    <t>ARN-0132</t>
  </si>
  <si>
    <t>ARN-0133</t>
  </si>
  <si>
    <t>ARN-0135</t>
  </si>
  <si>
    <t>ARN-0139</t>
  </si>
  <si>
    <t>ARN-0155</t>
  </si>
  <si>
    <t>ARN-0158</t>
  </si>
  <si>
    <t>ARN-0159</t>
  </si>
  <si>
    <t>ARN-0162</t>
  </si>
  <si>
    <t>ARN-0163</t>
  </si>
  <si>
    <t>ARN-0164</t>
  </si>
  <si>
    <t>ARN-0165</t>
  </si>
  <si>
    <t>ARN-0166</t>
  </si>
  <si>
    <t>ARN-0167</t>
  </si>
  <si>
    <t>ARN-0172</t>
  </si>
  <si>
    <t>ARN-0183</t>
  </si>
  <si>
    <t>ARN-0185</t>
  </si>
  <si>
    <t>ARN-0186</t>
  </si>
  <si>
    <t>ARN-0189</t>
  </si>
  <si>
    <t>ARN-0203</t>
  </si>
  <si>
    <t>ARN-0206</t>
  </si>
  <si>
    <t>ARN-0209</t>
  </si>
  <si>
    <t>ARN-0219</t>
  </si>
  <si>
    <t>ARN-0230</t>
  </si>
  <si>
    <t>ARN-0234</t>
  </si>
  <si>
    <t>ARN-0243</t>
  </si>
  <si>
    <t>ARN-0244</t>
  </si>
  <si>
    <t>ARN-0262</t>
  </si>
  <si>
    <t>ARN-0280</t>
  </si>
  <si>
    <t>ARN-0307</t>
  </si>
  <si>
    <t>ARN-0309</t>
  </si>
  <si>
    <t>ARN-0337</t>
  </si>
  <si>
    <t>ARN-0342</t>
  </si>
  <si>
    <t>ARN-0353</t>
  </si>
  <si>
    <t>ARN-0354</t>
  </si>
  <si>
    <t>ARN-0358</t>
  </si>
  <si>
    <t>ARN-0418</t>
  </si>
  <si>
    <t>ARN-0478</t>
  </si>
  <si>
    <t>ARN-0492</t>
  </si>
  <si>
    <t>ARN-0493</t>
  </si>
  <si>
    <t>ARN-0496</t>
  </si>
  <si>
    <t>ARN-0498</t>
  </si>
  <si>
    <t>ARN-0507</t>
  </si>
  <si>
    <t>ARN-0592</t>
  </si>
  <si>
    <t>ARN-0601</t>
  </si>
  <si>
    <t>ARN-0633</t>
  </si>
  <si>
    <t>ARN-0635</t>
  </si>
  <si>
    <t>ARN-0654</t>
  </si>
  <si>
    <t>ARN-0655</t>
  </si>
  <si>
    <t>ARN-0657</t>
  </si>
  <si>
    <t>ARN-0678</t>
  </si>
  <si>
    <t>ARN-0690</t>
  </si>
  <si>
    <t>ARN-0693</t>
  </si>
  <si>
    <t>ARN-0703</t>
  </si>
  <si>
    <t>ARN-0712</t>
  </si>
  <si>
    <t>ARN-0726</t>
  </si>
  <si>
    <t>ARN-0727</t>
  </si>
  <si>
    <t>ARN-0749</t>
  </si>
  <si>
    <t>ARN-0784</t>
  </si>
  <si>
    <t>ARN-0785</t>
  </si>
  <si>
    <t>ARN-0796</t>
  </si>
  <si>
    <t>ARN-0797</t>
  </si>
  <si>
    <t>ARN-0810</t>
  </si>
  <si>
    <t>ARN-0811</t>
  </si>
  <si>
    <t>ARN-0821</t>
  </si>
  <si>
    <t>ARN-0839</t>
  </si>
  <si>
    <t>ARN-0845</t>
  </si>
  <si>
    <t>ARN-0866</t>
  </si>
  <si>
    <t>ARN-0868</t>
  </si>
  <si>
    <t>ARN-0872</t>
  </si>
  <si>
    <t>ARN-0877</t>
  </si>
  <si>
    <t>ARN-0893</t>
  </si>
  <si>
    <t>ARN-0894</t>
  </si>
  <si>
    <t>ARN-0906</t>
  </si>
  <si>
    <t>ARN-0910</t>
  </si>
  <si>
    <t>ARN-0912</t>
  </si>
  <si>
    <t>ARN-0930</t>
  </si>
  <si>
    <t>ARN-0938</t>
  </si>
  <si>
    <t>ARN-0940</t>
  </si>
  <si>
    <t>ARN-0941</t>
  </si>
  <si>
    <t>ARN-0950</t>
  </si>
  <si>
    <t>ARN-0952</t>
  </si>
  <si>
    <t>ARN-0959</t>
  </si>
  <si>
    <t>ARN-0962</t>
  </si>
  <si>
    <t>ARN-0972</t>
  </si>
  <si>
    <t>ARN-0988</t>
  </si>
  <si>
    <t>ARN-1006</t>
  </si>
  <si>
    <t>ARN-1012</t>
  </si>
  <si>
    <t>ARN-1017</t>
  </si>
  <si>
    <t>ARN-1022</t>
  </si>
  <si>
    <t>ARN-1027</t>
  </si>
  <si>
    <t>ARN-1031</t>
  </si>
  <si>
    <t>ARN-1037</t>
  </si>
  <si>
    <t>ARN-1084</t>
  </si>
  <si>
    <t>ARN-1098</t>
  </si>
  <si>
    <t>ARN-1101</t>
  </si>
  <si>
    <t>ARN-1106</t>
  </si>
  <si>
    <t>ARN-1132</t>
  </si>
  <si>
    <t>ARN-1133</t>
  </si>
  <si>
    <t>ARN-1134</t>
  </si>
  <si>
    <t>ARN-1142</t>
  </si>
  <si>
    <t>ARN-1146</t>
  </si>
  <si>
    <t>ARN-1160</t>
  </si>
  <si>
    <t>ARN-1164</t>
  </si>
  <si>
    <t>ARN-1173</t>
  </si>
  <si>
    <t>ARN-1174</t>
  </si>
  <si>
    <t>ARN-1186</t>
  </si>
  <si>
    <t>ARN-1209</t>
  </si>
  <si>
    <t>ARN-1219</t>
  </si>
  <si>
    <t>ARN-1226</t>
  </si>
  <si>
    <t>ARN-1235</t>
  </si>
  <si>
    <t>ARN-1238</t>
  </si>
  <si>
    <t>ARN-1239</t>
  </si>
  <si>
    <t>ARN-1240</t>
  </si>
  <si>
    <t>ARN-1300</t>
  </si>
  <si>
    <t>ARN-1308</t>
  </si>
  <si>
    <t>ARN-1319</t>
  </si>
  <si>
    <t>ARN-1335</t>
  </si>
  <si>
    <t>ARN-1343</t>
  </si>
  <si>
    <t>ARN-1350</t>
  </si>
  <si>
    <t>ARN-1379</t>
  </si>
  <si>
    <t>ARN-1386</t>
  </si>
  <si>
    <t>ARN-1390</t>
  </si>
  <si>
    <t>ARN-1406</t>
  </si>
  <si>
    <t>ARN-1409</t>
  </si>
  <si>
    <t>ARN-1428</t>
  </si>
  <si>
    <t>ARN-1435</t>
  </si>
  <si>
    <t>ARN-1480</t>
  </si>
  <si>
    <t>ARN-1487</t>
  </si>
  <si>
    <t>ARN-1488</t>
  </si>
  <si>
    <t>ARN-1493</t>
  </si>
  <si>
    <t>ARN-1503</t>
  </si>
  <si>
    <t>ARN-1513</t>
  </si>
  <si>
    <t>ARN-1520</t>
  </si>
  <si>
    <t>ARN-1560</t>
  </si>
  <si>
    <t>ARN-1563</t>
  </si>
  <si>
    <t>ARN-1566</t>
  </si>
  <si>
    <t>ARN-1567</t>
  </si>
  <si>
    <t>ARN-1590</t>
  </si>
  <si>
    <t>ARN-1598</t>
  </si>
  <si>
    <t>ARN-1622</t>
  </si>
  <si>
    <t>ARN-1630</t>
  </si>
  <si>
    <t>ARN-1632</t>
  </si>
  <si>
    <t>ARN-1634</t>
  </si>
  <si>
    <t>ARN-1662</t>
  </si>
  <si>
    <t>ARN-1666</t>
  </si>
  <si>
    <t>ARN-1668</t>
  </si>
  <si>
    <t>ARN-1669</t>
  </si>
  <si>
    <t>ARN-1674</t>
  </si>
  <si>
    <t>ARN-1676</t>
  </si>
  <si>
    <t>ARN-1678</t>
  </si>
  <si>
    <t>ARN-1687</t>
  </si>
  <si>
    <t>ARN-1697</t>
  </si>
  <si>
    <t>ARN-1721</t>
  </si>
  <si>
    <t>ARN-1734</t>
  </si>
  <si>
    <t>ARN-1739</t>
  </si>
  <si>
    <t>ARN-1756</t>
  </si>
  <si>
    <t>ARN-1757</t>
  </si>
  <si>
    <t>ARN-1773</t>
  </si>
  <si>
    <t>ARN-1777</t>
  </si>
  <si>
    <t>ARN-1786</t>
  </si>
  <si>
    <t>ARN-1819</t>
  </si>
  <si>
    <t>ARN-1820</t>
  </si>
  <si>
    <t>ARN-1821</t>
  </si>
  <si>
    <t>ARN-1824</t>
  </si>
  <si>
    <t>ARN-1849</t>
  </si>
  <si>
    <t>ARN-1851</t>
  </si>
  <si>
    <t>ARN-1854</t>
  </si>
  <si>
    <t>ARN-1909</t>
  </si>
  <si>
    <t>ARN-1912</t>
  </si>
  <si>
    <t>ARN-1920</t>
  </si>
  <si>
    <t>ARN-1927</t>
  </si>
  <si>
    <t>ARN-1930</t>
  </si>
  <si>
    <t>ARN-1964</t>
  </si>
  <si>
    <t>ARN-1976</t>
  </si>
  <si>
    <t>ARN-1977</t>
  </si>
  <si>
    <t>ARN-1991</t>
  </si>
  <si>
    <t>ARN-2023</t>
  </si>
  <si>
    <t>ARN-2025</t>
  </si>
  <si>
    <t>ARN-2066</t>
  </si>
  <si>
    <t>ARN-2076</t>
  </si>
  <si>
    <t>ARN-2093</t>
  </si>
  <si>
    <t>ARN-2096</t>
  </si>
  <si>
    <t>ARN-2120</t>
  </si>
  <si>
    <t>ARN-2130</t>
  </si>
  <si>
    <t>ARN-2131</t>
  </si>
  <si>
    <t>ARN-2138</t>
  </si>
  <si>
    <t>ARN-2180</t>
  </si>
  <si>
    <t>ARN-2197</t>
  </si>
  <si>
    <t>ARN-2198</t>
  </si>
  <si>
    <t>ARN-2222</t>
  </si>
  <si>
    <t>ARN-2224</t>
  </si>
  <si>
    <t>ARN-2233</t>
  </si>
  <si>
    <t>ARN-2238</t>
  </si>
  <si>
    <t>ARN-2283</t>
  </si>
  <si>
    <t>ARN-2354</t>
  </si>
  <si>
    <t>ARN-2368</t>
  </si>
  <si>
    <t>ARN-2373</t>
  </si>
  <si>
    <t>ARN-2380</t>
  </si>
  <si>
    <t>ARN-2387</t>
  </si>
  <si>
    <t>ARN-2389</t>
  </si>
  <si>
    <t>ARN-2396</t>
  </si>
  <si>
    <t>ARN-2403</t>
  </si>
  <si>
    <t>ARN-2405</t>
  </si>
  <si>
    <t>ARN-2408</t>
  </si>
  <si>
    <t>ARN-2425</t>
  </si>
  <si>
    <t>ARN-2427</t>
  </si>
  <si>
    <t>ARN-2481</t>
  </si>
  <si>
    <t>ARN-2482</t>
  </si>
  <si>
    <t>ARN-2487</t>
  </si>
  <si>
    <t>ARN-2512</t>
  </si>
  <si>
    <t>ARN-2550</t>
  </si>
  <si>
    <t>ARN-2566</t>
  </si>
  <si>
    <t>ARN-2590</t>
  </si>
  <si>
    <t>ARN-2595</t>
  </si>
  <si>
    <t>ARN-2599</t>
  </si>
  <si>
    <t>ARN-2640</t>
  </si>
  <si>
    <t>ARN-2645</t>
  </si>
  <si>
    <t>ARN-2647</t>
  </si>
  <si>
    <t>ARN-2648</t>
  </si>
  <si>
    <t>ARN-2654</t>
  </si>
  <si>
    <t>ARN-2703</t>
  </si>
  <si>
    <t>ARN-2730</t>
  </si>
  <si>
    <t>ARN-2733</t>
  </si>
  <si>
    <t>ARN-2811</t>
  </si>
  <si>
    <t>ARN-2862</t>
  </si>
  <si>
    <t>ARN-2888</t>
  </si>
  <si>
    <t>ARN-2907</t>
  </si>
  <si>
    <t>ARN-2993</t>
  </si>
  <si>
    <t>ARN-3003</t>
  </si>
  <si>
    <t>ARN-3030</t>
  </si>
  <si>
    <t>ARN-3033</t>
  </si>
  <si>
    <t>ARN-3063</t>
  </si>
  <si>
    <t>ARN-3066</t>
  </si>
  <si>
    <t>ARN-3069</t>
  </si>
  <si>
    <t>ARN-3071</t>
  </si>
  <si>
    <t>ARN-3082</t>
  </si>
  <si>
    <t>ARN-3083</t>
  </si>
  <si>
    <t>ARN-3086</t>
  </si>
  <si>
    <t>ARN-3087</t>
  </si>
  <si>
    <t>ARN-3089</t>
  </si>
  <si>
    <t>ARN-3090</t>
  </si>
  <si>
    <t>ARN-3092</t>
  </si>
  <si>
    <t>ARN-3115</t>
  </si>
  <si>
    <t>ARN-3147</t>
  </si>
  <si>
    <t>ARN-3204</t>
  </si>
  <si>
    <t>ARN-3213</t>
  </si>
  <si>
    <t>ARN-3224</t>
  </si>
  <si>
    <t>ARN-3264</t>
  </si>
  <si>
    <t>ARN-3276</t>
  </si>
  <si>
    <t>ARN-3280</t>
  </si>
  <si>
    <t>ARN-3287</t>
  </si>
  <si>
    <t>ARN-3294</t>
  </si>
  <si>
    <t>ARN-3296</t>
  </si>
  <si>
    <t>ARN-3304</t>
  </si>
  <si>
    <t>ARN-3305</t>
  </si>
  <si>
    <t>ARN-3307</t>
  </si>
  <si>
    <t>ARN-3308</t>
  </si>
  <si>
    <t>ARN-3315</t>
  </si>
  <si>
    <t>ARN-3350</t>
  </si>
  <si>
    <t>ARN-3397</t>
  </si>
  <si>
    <t>ARN-3418</t>
  </si>
  <si>
    <t>ARN-3439</t>
  </si>
  <si>
    <t>ARN-3463</t>
  </si>
  <si>
    <t>ARN-3485</t>
  </si>
  <si>
    <t>ARN-3489</t>
  </si>
  <si>
    <t>ARN-3492</t>
  </si>
  <si>
    <t>ARN-3511</t>
  </si>
  <si>
    <t>ARN-3514</t>
  </si>
  <si>
    <t>ARN-3515</t>
  </si>
  <si>
    <t>ARN-3517</t>
  </si>
  <si>
    <t>ARN-3524</t>
  </si>
  <si>
    <t>ARN-3528</t>
  </si>
  <si>
    <t>ARN-3529</t>
  </si>
  <si>
    <t>ARN-3534</t>
  </si>
  <si>
    <t>ARN-3535</t>
  </si>
  <si>
    <t>ARN-3537</t>
  </si>
  <si>
    <t>ARN-3543</t>
  </si>
  <si>
    <t>ARN-3660</t>
  </si>
  <si>
    <t>ARN-3676</t>
  </si>
  <si>
    <t>ARN-3677</t>
  </si>
  <si>
    <t>ARN-3689</t>
  </si>
  <si>
    <t>ARN-3721</t>
  </si>
  <si>
    <t>ARN-3729</t>
  </si>
  <si>
    <t>ARN-3798</t>
  </si>
  <si>
    <t>ARN-3841</t>
  </si>
  <si>
    <t>ARN-3845</t>
  </si>
  <si>
    <t>ARN-3852</t>
  </si>
  <si>
    <t>ARN-3858</t>
  </si>
  <si>
    <t>ARN-3870</t>
  </si>
  <si>
    <t>ARN-3912</t>
  </si>
  <si>
    <t>ARN-3941</t>
  </si>
  <si>
    <t>ARN-3963</t>
  </si>
  <si>
    <t>ARN-4040</t>
  </si>
  <si>
    <t>ARN-4041</t>
  </si>
  <si>
    <t>ARN-4042</t>
  </si>
  <si>
    <t>ARN-4055</t>
  </si>
  <si>
    <t>ARN-4137</t>
  </si>
  <si>
    <t>ARN-4157</t>
  </si>
  <si>
    <t>ARN-4159</t>
  </si>
  <si>
    <t>ARN-4188</t>
  </si>
  <si>
    <t>ARN-4193</t>
  </si>
  <si>
    <t>ARN-4195</t>
  </si>
  <si>
    <t>ARN-4216</t>
  </si>
  <si>
    <t>ARN-4327</t>
  </si>
  <si>
    <t>ARN-4353</t>
  </si>
  <si>
    <t>ARN-4360</t>
  </si>
  <si>
    <t>ARN-4421</t>
  </si>
  <si>
    <t>ARN-4432</t>
  </si>
  <si>
    <t>ARN-4449</t>
  </si>
  <si>
    <t>ARN-4452</t>
  </si>
  <si>
    <t>ARN-4461</t>
  </si>
  <si>
    <t>ARN-4464</t>
  </si>
  <si>
    <t>ARN-4468</t>
  </si>
  <si>
    <t>ARN-4478</t>
  </si>
  <si>
    <t>ARN-4480</t>
  </si>
  <si>
    <t>ARN-4481</t>
  </si>
  <si>
    <t>ARN-4483</t>
  </si>
  <si>
    <t>ARN-4484</t>
  </si>
  <si>
    <t>ARN-4537</t>
  </si>
  <si>
    <t>ARN-4564</t>
  </si>
  <si>
    <t>ARN-4633</t>
  </si>
  <si>
    <t>ARN-4803</t>
  </si>
  <si>
    <t>ARN-4815</t>
  </si>
  <si>
    <t>ARN-4843</t>
  </si>
  <si>
    <t>ARN-4873</t>
  </si>
  <si>
    <t>ARN-4882</t>
  </si>
  <si>
    <t>ARN-4894</t>
  </si>
  <si>
    <t>ARN-4924</t>
  </si>
  <si>
    <t>ARN-4937</t>
  </si>
  <si>
    <t>ARN-5013</t>
  </si>
  <si>
    <t>ARN-5042</t>
  </si>
  <si>
    <t>ARN-5062</t>
  </si>
  <si>
    <t>ARN-5084</t>
  </si>
  <si>
    <t>ARN-5108</t>
  </si>
  <si>
    <t>ARN-5205</t>
  </si>
  <si>
    <t>ARN-5207</t>
  </si>
  <si>
    <t>ARN-5275</t>
  </si>
  <si>
    <t>ARN-5285</t>
  </si>
  <si>
    <t>ARN-5298</t>
  </si>
  <si>
    <t>ARN-5328</t>
  </si>
  <si>
    <t>ARN-5388</t>
  </si>
  <si>
    <t>ARN-5421</t>
  </si>
  <si>
    <t>ARN-5476</t>
  </si>
  <si>
    <t>ARN-5487</t>
  </si>
  <si>
    <t>ARN-5503</t>
  </si>
  <si>
    <t>ARN-5505</t>
  </si>
  <si>
    <t>ARN-5544</t>
  </si>
  <si>
    <t>ARN-5592</t>
  </si>
  <si>
    <t>ARN-5593</t>
  </si>
  <si>
    <t>ARN-5596</t>
  </si>
  <si>
    <t>ARN-5599</t>
  </si>
  <si>
    <t>ARN-5603</t>
  </si>
  <si>
    <t>ARN-5642</t>
  </si>
  <si>
    <t>ARN-5727</t>
  </si>
  <si>
    <t>ARN-5776</t>
  </si>
  <si>
    <t>ARN-5781</t>
  </si>
  <si>
    <t>ARN-5795</t>
  </si>
  <si>
    <t>ARN-5803</t>
  </si>
  <si>
    <t>ARN-5867</t>
  </si>
  <si>
    <t>ARN-5873</t>
  </si>
  <si>
    <t>ARN-5875</t>
  </si>
  <si>
    <t>ARN-5882</t>
  </si>
  <si>
    <t>ARN-5889</t>
  </si>
  <si>
    <t>ARN-5957</t>
  </si>
  <si>
    <t>ARN-5958</t>
  </si>
  <si>
    <t>ARN-5962</t>
  </si>
  <si>
    <t>ARN-5975</t>
  </si>
  <si>
    <t>ARN-5990</t>
  </si>
  <si>
    <t>ARN-6083</t>
  </si>
  <si>
    <t>ARN-6085</t>
  </si>
  <si>
    <t>ARN-6086</t>
  </si>
  <si>
    <t>ARN-6088</t>
  </si>
  <si>
    <t>ARN-6089</t>
  </si>
  <si>
    <t>ARN-6165</t>
  </si>
  <si>
    <t>ARN-6223</t>
  </si>
  <si>
    <t>ARN-6233</t>
  </si>
  <si>
    <t>ARN-6270</t>
  </si>
  <si>
    <t>ARN-6336</t>
  </si>
  <si>
    <t>ARN-6353</t>
  </si>
  <si>
    <t>ARN-6396</t>
  </si>
  <si>
    <t>ARN-6575</t>
  </si>
  <si>
    <t>ARN-6605</t>
  </si>
  <si>
    <t>ARN-6613</t>
  </si>
  <si>
    <t>ARN-6623</t>
  </si>
  <si>
    <t>ARN-6711</t>
  </si>
  <si>
    <t>ARN-6714</t>
  </si>
  <si>
    <t>ARN-6721</t>
  </si>
  <si>
    <t>ARN-6789</t>
  </si>
  <si>
    <t>ARN-6948</t>
  </si>
  <si>
    <t>ARN-7007</t>
  </si>
  <si>
    <t>ARN-7057</t>
  </si>
  <si>
    <t>ARN-7098</t>
  </si>
  <si>
    <t>ARN-7151</t>
  </si>
  <si>
    <t>ARN-7160</t>
  </si>
  <si>
    <t>ARN-7188</t>
  </si>
  <si>
    <t>ARN-7214</t>
  </si>
  <si>
    <t>ARN-7268</t>
  </si>
  <si>
    <t>ARN-7319</t>
  </si>
  <si>
    <t>ARN-7434</t>
  </si>
  <si>
    <t>ARN-7466</t>
  </si>
  <si>
    <t>ARN-7493</t>
  </si>
  <si>
    <t>ARN-7518</t>
  </si>
  <si>
    <t>ARN-7541</t>
  </si>
  <si>
    <t>ARN-7584</t>
  </si>
  <si>
    <t>ARN-7632</t>
  </si>
  <si>
    <t>ARN-7685</t>
  </si>
  <si>
    <t>ARN-7743</t>
  </si>
  <si>
    <t>ARN-7818</t>
  </si>
  <si>
    <t>ARN-7839</t>
  </si>
  <si>
    <t>ARN-7858</t>
  </si>
  <si>
    <t>ARN-7893</t>
  </si>
  <si>
    <t>ARN-7895</t>
  </si>
  <si>
    <t>ARN-8061</t>
  </si>
  <si>
    <t>ARN-8166</t>
  </si>
  <si>
    <t>ARN-8181</t>
  </si>
  <si>
    <t>ARN-8229</t>
  </si>
  <si>
    <t>ARN-8331</t>
  </si>
  <si>
    <t>ARN-8337</t>
  </si>
  <si>
    <t>ARN-8417</t>
  </si>
  <si>
    <t>ARN-8418</t>
  </si>
  <si>
    <t>ARN-8466</t>
  </si>
  <si>
    <t>ARN-8467</t>
  </si>
  <si>
    <t>ARN-8490</t>
  </si>
  <si>
    <t>ARN-8492</t>
  </si>
  <si>
    <t>ARN-8509</t>
  </si>
  <si>
    <t>ARN-8523</t>
  </si>
  <si>
    <t>ARN-8559</t>
  </si>
  <si>
    <t>ARN-8596</t>
  </si>
  <si>
    <t>ARN-8600</t>
  </si>
  <si>
    <t>ARN-8664</t>
  </si>
  <si>
    <t>ARN-8718</t>
  </si>
  <si>
    <t>ARN-8783</t>
  </si>
  <si>
    <t>ARN-8798</t>
  </si>
  <si>
    <t>ARN-8799</t>
  </si>
  <si>
    <t>ARN-8801</t>
  </si>
  <si>
    <t>ARN-8812</t>
  </si>
  <si>
    <t>ARN-8893</t>
  </si>
  <si>
    <t>ARN-8983</t>
  </si>
  <si>
    <t>ARN-9054</t>
  </si>
  <si>
    <t>ARN-9095</t>
  </si>
  <si>
    <t>ARN-9109</t>
  </si>
  <si>
    <t>ARN-9156</t>
  </si>
  <si>
    <t>ARN-9270</t>
  </si>
  <si>
    <t>ARN-9305</t>
  </si>
  <si>
    <t>ARN-9308</t>
  </si>
  <si>
    <t>ARN-9342</t>
  </si>
  <si>
    <t>ARN-9350</t>
  </si>
  <si>
    <t>ARN-9374</t>
  </si>
  <si>
    <t>ARN-9534</t>
  </si>
  <si>
    <t>ARN-9587</t>
  </si>
  <si>
    <t>ARN-9611</t>
  </si>
  <si>
    <t>ARN-9635</t>
  </si>
  <si>
    <t>ARN-9682</t>
  </si>
  <si>
    <t>ARN-9749</t>
  </si>
  <si>
    <t>ARN-9750</t>
  </si>
  <si>
    <t>ARN-9760</t>
  </si>
  <si>
    <t>ARN-9794</t>
  </si>
  <si>
    <t>ARN-9807</t>
  </si>
  <si>
    <t>ARN-9859</t>
  </si>
  <si>
    <t>ARN-9945</t>
  </si>
  <si>
    <t>ARN-9951</t>
  </si>
  <si>
    <t>ARN-9992</t>
  </si>
  <si>
    <t>ARN-10021</t>
  </si>
  <si>
    <t>ARN-10064</t>
  </si>
  <si>
    <t>ARN-10095</t>
  </si>
  <si>
    <t>ARN-10155</t>
  </si>
  <si>
    <t>ARN-10167</t>
  </si>
  <si>
    <t>ARN-10170</t>
  </si>
  <si>
    <t>ARN-10195</t>
  </si>
  <si>
    <t>ARN-10239</t>
  </si>
  <si>
    <t>ARN-10251</t>
  </si>
  <si>
    <t>ARN-10268</t>
  </si>
  <si>
    <t>ARN-10394</t>
  </si>
  <si>
    <t>ARN-10402</t>
  </si>
  <si>
    <t>ARN-10439</t>
  </si>
  <si>
    <t>ARN-10520</t>
  </si>
  <si>
    <t>ARN-10523</t>
  </si>
  <si>
    <t>ARN-10617</t>
  </si>
  <si>
    <t>ARN-10621</t>
  </si>
  <si>
    <t>ARN-10770</t>
  </si>
  <si>
    <t>ARN-10773</t>
  </si>
  <si>
    <t>ARN-10781</t>
  </si>
  <si>
    <t>ARN-10784</t>
  </si>
  <si>
    <t>ARN-10836</t>
  </si>
  <si>
    <t>ARN-10844</t>
  </si>
  <si>
    <t>ARN-10852</t>
  </si>
  <si>
    <t>ARN-10882</t>
  </si>
  <si>
    <t>ARN-10980</t>
  </si>
  <si>
    <t>ARN-11052</t>
  </si>
  <si>
    <t>ARN-11129</t>
  </si>
  <si>
    <t>ARN-11131</t>
  </si>
  <si>
    <t>ARN-11256</t>
  </si>
  <si>
    <t>ARN-11257</t>
  </si>
  <si>
    <t>ARN-11282</t>
  </si>
  <si>
    <t>ARN-11392</t>
  </si>
  <si>
    <t>ARN-11439</t>
  </si>
  <si>
    <t>ARN-11460</t>
  </si>
  <si>
    <t>ARN-11462</t>
  </si>
  <si>
    <t>ARN-11502</t>
  </si>
  <si>
    <t>ARN-11538</t>
  </si>
  <si>
    <t>ARN-11554</t>
  </si>
  <si>
    <t>ARN-11572</t>
  </si>
  <si>
    <t>ARN-11660</t>
  </si>
  <si>
    <t>ARN-11681</t>
  </si>
  <si>
    <t>ARN-11694</t>
  </si>
  <si>
    <t>ARN-11777</t>
  </si>
  <si>
    <t>ARN-11782</t>
  </si>
  <si>
    <t>ARN-11815</t>
  </si>
  <si>
    <t>ARN-11899</t>
  </si>
  <si>
    <t>ARN-11941</t>
  </si>
  <si>
    <t>ARN-11991</t>
  </si>
  <si>
    <t>ARN-12001</t>
  </si>
  <si>
    <t>ARN-12143</t>
  </si>
  <si>
    <t>ARN-12165</t>
  </si>
  <si>
    <t>ARN-12176</t>
  </si>
  <si>
    <t>ARN-12195</t>
  </si>
  <si>
    <t>ARN-12298</t>
  </si>
  <si>
    <t>ARN-12370</t>
  </si>
  <si>
    <t>ARN-12371</t>
  </si>
  <si>
    <t>ARN-12417</t>
  </si>
  <si>
    <t>ARN-12434</t>
  </si>
  <si>
    <t>ARN-12439</t>
  </si>
  <si>
    <t>ARN-12525</t>
  </si>
  <si>
    <t>ARN-12558</t>
  </si>
  <si>
    <t>ARN-12572</t>
  </si>
  <si>
    <t>ARN-12576</t>
  </si>
  <si>
    <t>ARN-12758</t>
  </si>
  <si>
    <t>ARN-12836</t>
  </si>
  <si>
    <t>ARN-12881</t>
  </si>
  <si>
    <t>ARN-12899</t>
  </si>
  <si>
    <t>ARN-12933</t>
  </si>
  <si>
    <t>ARN-12992</t>
  </si>
  <si>
    <t>ARN-13004</t>
  </si>
  <si>
    <t>ARN-13135</t>
  </si>
  <si>
    <t>ARN-13286</t>
  </si>
  <si>
    <t>ARN-13345</t>
  </si>
  <si>
    <t>ARN-13376</t>
  </si>
  <si>
    <t>ARN-13384</t>
  </si>
  <si>
    <t>ARN-13495</t>
  </si>
  <si>
    <t>ARN-13515</t>
  </si>
  <si>
    <t>ARN-13549</t>
  </si>
  <si>
    <t>ARN-13595</t>
  </si>
  <si>
    <t>ARN-13796</t>
  </si>
  <si>
    <t>ARN-13799</t>
  </si>
  <si>
    <t>ARN-13829</t>
  </si>
  <si>
    <t>ARN-13831</t>
  </si>
  <si>
    <t>ARN-13895</t>
  </si>
  <si>
    <t>ARN-13912</t>
  </si>
  <si>
    <t>ARN-13913</t>
  </si>
  <si>
    <t>ARN-13996</t>
  </si>
  <si>
    <t>ARN-14034</t>
  </si>
  <si>
    <t>ARN-14038</t>
  </si>
  <si>
    <t>ARN-14243</t>
  </si>
  <si>
    <t>ARN-14302</t>
  </si>
  <si>
    <t>ARN-14352</t>
  </si>
  <si>
    <t>ARN-14384</t>
  </si>
  <si>
    <t>ARN-14393</t>
  </si>
  <si>
    <t>ARN-14430</t>
  </si>
  <si>
    <t>ARN-14515</t>
  </si>
  <si>
    <t>ARN-14631</t>
  </si>
  <si>
    <t>ARN-14678</t>
  </si>
  <si>
    <t>ARN-14730</t>
  </si>
  <si>
    <t>ARN-14731</t>
  </si>
  <si>
    <t>ARN-14794</t>
  </si>
  <si>
    <t>ARN-14833</t>
  </si>
  <si>
    <t>ARN-14934</t>
  </si>
  <si>
    <t>ARN-15046</t>
  </si>
  <si>
    <t>ARN-15062</t>
  </si>
  <si>
    <t>ARN-15070</t>
  </si>
  <si>
    <t>ARN-15078</t>
  </si>
  <si>
    <t>ARN-15095</t>
  </si>
  <si>
    <t>ARN-15110</t>
  </si>
  <si>
    <t>ARN-15114</t>
  </si>
  <si>
    <t>ARN-15251</t>
  </si>
  <si>
    <t>ARN-15329</t>
  </si>
  <si>
    <t>ARN-15348</t>
  </si>
  <si>
    <t>ARN-15422</t>
  </si>
  <si>
    <t>ARN-15554</t>
  </si>
  <si>
    <t>ARN-15702</t>
  </si>
  <si>
    <t>ARN-15707</t>
  </si>
  <si>
    <t>ARN-15722</t>
  </si>
  <si>
    <t>ARN-15805</t>
  </si>
  <si>
    <t>ARN-15811</t>
  </si>
  <si>
    <t>ARN-15824</t>
  </si>
  <si>
    <t>ARN-15848</t>
  </si>
  <si>
    <t>ARN-16083</t>
  </si>
  <si>
    <t>ARN-16126</t>
  </si>
  <si>
    <t>ARN-16153</t>
  </si>
  <si>
    <t>ARN-16160</t>
  </si>
  <si>
    <t>ARN-16252</t>
  </si>
  <si>
    <t>ARN-16321</t>
  </si>
  <si>
    <t>ARN-16350</t>
  </si>
  <si>
    <t>ARN-16538</t>
  </si>
  <si>
    <t>ARN-16656</t>
  </si>
  <si>
    <t>ARN-16699</t>
  </si>
  <si>
    <t>ARN-16709</t>
  </si>
  <si>
    <t>ARN-17029</t>
  </si>
  <si>
    <t>ARN-17067</t>
  </si>
  <si>
    <t>ARN-17230</t>
  </si>
  <si>
    <t>ARN-17265</t>
  </si>
  <si>
    <t>ARN-17297</t>
  </si>
  <si>
    <t>ARN-17358</t>
  </si>
  <si>
    <t>ARN-17593</t>
  </si>
  <si>
    <t>ARN-17697</t>
  </si>
  <si>
    <t>ARN-17698</t>
  </si>
  <si>
    <t>ARN-17711</t>
  </si>
  <si>
    <t>ARN-17738</t>
  </si>
  <si>
    <t>ARN-18015</t>
  </si>
  <si>
    <t>ARN-18047</t>
  </si>
  <si>
    <t>ARN-18090</t>
  </si>
  <si>
    <t>ARN-18131</t>
  </si>
  <si>
    <t>ARN-18141</t>
  </si>
  <si>
    <t>ARN-18212</t>
  </si>
  <si>
    <t>ARN-18351</t>
  </si>
  <si>
    <t>ARN-18481</t>
  </si>
  <si>
    <t>ARN-18500</t>
  </si>
  <si>
    <t>ARN-18503</t>
  </si>
  <si>
    <t>ARN-18515</t>
  </si>
  <si>
    <t>ARN-18523</t>
  </si>
  <si>
    <t>ARN-18557</t>
  </si>
  <si>
    <t>ARN-18741</t>
  </si>
  <si>
    <t>ARN-18747</t>
  </si>
  <si>
    <t>ARN-18762</t>
  </si>
  <si>
    <t>ARN-18870</t>
  </si>
  <si>
    <t>ARN-18879</t>
  </si>
  <si>
    <t>ARN-18919</t>
  </si>
  <si>
    <t>ARN-18941</t>
  </si>
  <si>
    <t>ARN-18993</t>
  </si>
  <si>
    <t>ARN-19016</t>
  </si>
  <si>
    <t>ARN-19017</t>
  </si>
  <si>
    <t>ARN-19027</t>
  </si>
  <si>
    <t>ARN-19038</t>
  </si>
  <si>
    <t>ARN-19040</t>
  </si>
  <si>
    <t>ARN-19155</t>
  </si>
  <si>
    <t>ARN-19177</t>
  </si>
  <si>
    <t>ARN-19190</t>
  </si>
  <si>
    <t>ARN-19197</t>
  </si>
  <si>
    <t>ARN-19203</t>
  </si>
  <si>
    <t>ARN-19249</t>
  </si>
  <si>
    <t>ARN-19343</t>
  </si>
  <si>
    <t>ARN-19392</t>
  </si>
  <si>
    <t>ARN-19571</t>
  </si>
  <si>
    <t>ARN-19664</t>
  </si>
  <si>
    <t>ARN-19760</t>
  </si>
  <si>
    <t>ARN-19818</t>
  </si>
  <si>
    <t>ARN-19862</t>
  </si>
  <si>
    <t>ARN-19969</t>
  </si>
  <si>
    <t>ARN-20026</t>
  </si>
  <si>
    <t>ARN-20113</t>
  </si>
  <si>
    <t>ARN-20144</t>
  </si>
  <si>
    <t>ARN-20309</t>
  </si>
  <si>
    <t>ARN-20387</t>
  </si>
  <si>
    <t>ARN-20569</t>
  </si>
  <si>
    <t>ARN-20669</t>
  </si>
  <si>
    <t>ARN-20677</t>
  </si>
  <si>
    <t>ARN-20684</t>
  </si>
  <si>
    <t>ARN-20721</t>
  </si>
  <si>
    <t>ARN-20934</t>
  </si>
  <si>
    <t>ARN-20936</t>
  </si>
  <si>
    <t>ARN-20943</t>
  </si>
  <si>
    <t>ARN-21161</t>
  </si>
  <si>
    <t>ARN-21209</t>
  </si>
  <si>
    <t>ARN-21399</t>
  </si>
  <si>
    <t>ARN-21453</t>
  </si>
  <si>
    <t>ARN-21503</t>
  </si>
  <si>
    <t>ARN-21823</t>
  </si>
  <si>
    <t>ARN-21846</t>
  </si>
  <si>
    <t>ARN-21854</t>
  </si>
  <si>
    <t>ARN-21896</t>
  </si>
  <si>
    <t>ARN-22004</t>
  </si>
  <si>
    <t>ARN-22181</t>
  </si>
  <si>
    <t>ARN-22190</t>
  </si>
  <si>
    <t>ARN-22193</t>
  </si>
  <si>
    <t>ARN-22317</t>
  </si>
  <si>
    <t>ARN-22506</t>
  </si>
  <si>
    <t>ARN-22512</t>
  </si>
  <si>
    <t>ARN-22532</t>
  </si>
  <si>
    <t>ARN-22621</t>
  </si>
  <si>
    <t>ARN-22770</t>
  </si>
  <si>
    <t>ARN-22866</t>
  </si>
  <si>
    <t>ARN-22973</t>
  </si>
  <si>
    <t>ARN-23017</t>
  </si>
  <si>
    <t>ARN-23125</t>
  </si>
  <si>
    <t>ARN-23138</t>
  </si>
  <si>
    <t>ARN-23146</t>
  </si>
  <si>
    <t>ARN-23179</t>
  </si>
  <si>
    <t>ARN-23381</t>
  </si>
  <si>
    <t>ARN-23470</t>
  </si>
  <si>
    <t>ARN-23579</t>
  </si>
  <si>
    <t>ARN-23615</t>
  </si>
  <si>
    <t>ARN-23661</t>
  </si>
  <si>
    <t>ARN-23696</t>
  </si>
  <si>
    <t>ARN-23699</t>
  </si>
  <si>
    <t>ARN-23947</t>
  </si>
  <si>
    <t>ARN-23952</t>
  </si>
  <si>
    <t>ARN-23962</t>
  </si>
  <si>
    <t>ARN-23976</t>
  </si>
  <si>
    <t>ARN-24189</t>
  </si>
  <si>
    <t>ARN-24204</t>
  </si>
  <si>
    <t>ARN-24216</t>
  </si>
  <si>
    <t>ARN-24281</t>
  </si>
  <si>
    <t>ARN-24383</t>
  </si>
  <si>
    <t>ARN-24394</t>
  </si>
  <si>
    <t>ARN-24407</t>
  </si>
  <si>
    <t>ARN-24437</t>
  </si>
  <si>
    <t>ARN-24562</t>
  </si>
  <si>
    <t>ARN-24577</t>
  </si>
  <si>
    <t>ARN-24596</t>
  </si>
  <si>
    <t>ARN-24659</t>
  </si>
  <si>
    <t>ARN-24689</t>
  </si>
  <si>
    <t>ARN-24713</t>
  </si>
  <si>
    <t>ARN-24734</t>
  </si>
  <si>
    <t>ARN-24868</t>
  </si>
  <si>
    <t>ARN-24952</t>
  </si>
  <si>
    <t>ARN-24976</t>
  </si>
  <si>
    <t>ARN-25113</t>
  </si>
  <si>
    <t>ARN-25140</t>
  </si>
  <si>
    <t>ARN-25299</t>
  </si>
  <si>
    <t>ARN-25312</t>
  </si>
  <si>
    <t>ARN-25382</t>
  </si>
  <si>
    <t>ARN-25475</t>
  </si>
  <si>
    <t>ARN-25998</t>
  </si>
  <si>
    <t>ARN-26001</t>
  </si>
  <si>
    <t>ARN-26010</t>
  </si>
  <si>
    <t>ARN-26116</t>
  </si>
  <si>
    <t>ARN-26233</t>
  </si>
  <si>
    <t>ARN-26378</t>
  </si>
  <si>
    <t>ARN-26543</t>
  </si>
  <si>
    <t>ARN-26613</t>
  </si>
  <si>
    <t>ARN-26616</t>
  </si>
  <si>
    <t>ARN-26761</t>
  </si>
  <si>
    <t>ARN-26772</t>
  </si>
  <si>
    <t>ARN-26869</t>
  </si>
  <si>
    <t>ARN-26919</t>
  </si>
  <si>
    <t>ARN-27130</t>
  </si>
  <si>
    <t>ARN-27210</t>
  </si>
  <si>
    <t>ARN-27400</t>
  </si>
  <si>
    <t>ARN-27403</t>
  </si>
  <si>
    <t>ARN-27531</t>
  </si>
  <si>
    <t>ARN-27574</t>
  </si>
  <si>
    <t>ARN-27605</t>
  </si>
  <si>
    <t>ARN-27770</t>
  </si>
  <si>
    <t>ARN-27799</t>
  </si>
  <si>
    <t>ARN-27842</t>
  </si>
  <si>
    <t>ARN-27909</t>
  </si>
  <si>
    <t>ARN-27981</t>
  </si>
  <si>
    <t>ARN-27988</t>
  </si>
  <si>
    <t>ARN-28003</t>
  </si>
  <si>
    <t>ARN-28004</t>
  </si>
  <si>
    <t>ARN-28159</t>
  </si>
  <si>
    <t>ARN-28230</t>
  </si>
  <si>
    <t>ARN-28244</t>
  </si>
  <si>
    <t>ARN-28283</t>
  </si>
  <si>
    <t>ARN-28323</t>
  </si>
  <si>
    <t>ARN-28391</t>
  </si>
  <si>
    <t>ARN-28395</t>
  </si>
  <si>
    <t>ARN-28400</t>
  </si>
  <si>
    <t>ARN-28457</t>
  </si>
  <si>
    <t>ARN-28543</t>
  </si>
  <si>
    <t>ARN-28591</t>
  </si>
  <si>
    <t>ARN-28592</t>
  </si>
  <si>
    <t>ARN-28601</t>
  </si>
  <si>
    <t>ARN-28608</t>
  </si>
  <si>
    <t>ARN-28730</t>
  </si>
  <si>
    <t>ARN-28786</t>
  </si>
  <si>
    <t>ARN-28883</t>
  </si>
  <si>
    <t>ARN-28905</t>
  </si>
  <si>
    <t>ARN-28943</t>
  </si>
  <si>
    <t>ARN-28958</t>
  </si>
  <si>
    <t>ARN-28985</t>
  </si>
  <si>
    <t>ARN-29043</t>
  </si>
  <si>
    <t>ARN-29053</t>
  </si>
  <si>
    <t>ARN-29224</t>
  </si>
  <si>
    <t>ARN-29235</t>
  </si>
  <si>
    <t>ARN-29236</t>
  </si>
  <si>
    <t>ARN-29261</t>
  </si>
  <si>
    <t>ARN-29282</t>
  </si>
  <si>
    <t>ARN-29333</t>
  </si>
  <si>
    <t>ARN-29345</t>
  </si>
  <si>
    <t>ARN-29380</t>
  </si>
  <si>
    <t>ARN-29460</t>
  </si>
  <si>
    <t>ARN-29517</t>
  </si>
  <si>
    <t>ARN-29657</t>
  </si>
  <si>
    <t>ARN-29696</t>
  </si>
  <si>
    <t>ARN-29704</t>
  </si>
  <si>
    <t>ARN-29711</t>
  </si>
  <si>
    <t>ARN-29727</t>
  </si>
  <si>
    <t>ARN-29800</t>
  </si>
  <si>
    <t>ARN-29808</t>
  </si>
  <si>
    <t>ARN-29819</t>
  </si>
  <si>
    <t>ARN-29860</t>
  </si>
  <si>
    <t>ARN-29886</t>
  </si>
  <si>
    <t>ARN-29889</t>
  </si>
  <si>
    <t>ARN-29900</t>
  </si>
  <si>
    <t>ARN-30031</t>
  </si>
  <si>
    <t>ARN-30061</t>
  </si>
  <si>
    <t>ARN-30156</t>
  </si>
  <si>
    <t>ARN-30161</t>
  </si>
  <si>
    <t>ARN-30173</t>
  </si>
  <si>
    <t>ARN-30201</t>
  </si>
  <si>
    <t>ARN-30242</t>
  </si>
  <si>
    <t>ARN-30246</t>
  </si>
  <si>
    <t>ARN-30370</t>
  </si>
  <si>
    <t>ARN-30403</t>
  </si>
  <si>
    <t>ARN-30533</t>
  </si>
  <si>
    <t>ARN-30544</t>
  </si>
  <si>
    <t>ARN-30601</t>
  </si>
  <si>
    <t>ARN-30617</t>
  </si>
  <si>
    <t>ARN-30779</t>
  </si>
  <si>
    <t>ARN-30808</t>
  </si>
  <si>
    <t>ARN-30846</t>
  </si>
  <si>
    <t>ARN-31210</t>
  </si>
  <si>
    <t>ARN-31237</t>
  </si>
  <si>
    <t>ARN-31321</t>
  </si>
  <si>
    <t>ARN-31340</t>
  </si>
  <si>
    <t>ARN-31375</t>
  </si>
  <si>
    <t>ARN-31388</t>
  </si>
  <si>
    <t>ARN-31514</t>
  </si>
  <si>
    <t>ARN-31569</t>
  </si>
  <si>
    <t>ARN-31574</t>
  </si>
  <si>
    <t>ARN-31642</t>
  </si>
  <si>
    <t>ARN-31735</t>
  </si>
  <si>
    <t>ARN-31739</t>
  </si>
  <si>
    <t>ARN-31751</t>
  </si>
  <si>
    <t>ARN-31822</t>
  </si>
  <si>
    <t>ARN-31824</t>
  </si>
  <si>
    <t>ARN-31899</t>
  </si>
  <si>
    <t>ARN-31968</t>
  </si>
  <si>
    <t>ARN-31983</t>
  </si>
  <si>
    <t>ARN-32164</t>
  </si>
  <si>
    <t>ARN-32205</t>
  </si>
  <si>
    <t>ARN-32247</t>
  </si>
  <si>
    <t>ARN-32347</t>
  </si>
  <si>
    <t>ARN-32388</t>
  </si>
  <si>
    <t>ARN-32418</t>
  </si>
  <si>
    <t>ARN-32455</t>
  </si>
  <si>
    <t>ARN-32495</t>
  </si>
  <si>
    <t>ARN-32571</t>
  </si>
  <si>
    <t>ARN-32652</t>
  </si>
  <si>
    <t>ARN-32820</t>
  </si>
  <si>
    <t>ARN-32848</t>
  </si>
  <si>
    <t>ARN-32972</t>
  </si>
  <si>
    <t>ARN-33035</t>
  </si>
  <si>
    <t>ARN-33051</t>
  </si>
  <si>
    <t>ARN-33074</t>
  </si>
  <si>
    <t>ARN-33090</t>
  </si>
  <si>
    <t>ARN-33177</t>
  </si>
  <si>
    <t>ARN-33241</t>
  </si>
  <si>
    <t>ARN-33249</t>
  </si>
  <si>
    <t>ARN-33307</t>
  </si>
  <si>
    <t>ARN-33349</t>
  </si>
  <si>
    <t>ARN-33361</t>
  </si>
  <si>
    <t>ARN-33422</t>
  </si>
  <si>
    <t>ARN-33430</t>
  </si>
  <si>
    <t>ARN-33448</t>
  </si>
  <si>
    <t>ARN-33582</t>
  </si>
  <si>
    <t>ARN-33585</t>
  </si>
  <si>
    <t>ARN-33614</t>
  </si>
  <si>
    <t>ARN-33662</t>
  </si>
  <si>
    <t>ARN-33666</t>
  </si>
  <si>
    <t>ARN-33684</t>
  </si>
  <si>
    <t>ARN-33741</t>
  </si>
  <si>
    <t>ARN-33752</t>
  </si>
  <si>
    <t>ARN-33764</t>
  </si>
  <si>
    <t>ARN-33853</t>
  </si>
  <si>
    <t>ARN-33919</t>
  </si>
  <si>
    <t>ARN-34033</t>
  </si>
  <si>
    <t>ARN-34042</t>
  </si>
  <si>
    <t>ARN-34074</t>
  </si>
  <si>
    <t>ARN-34097</t>
  </si>
  <si>
    <t>ARN-34180</t>
  </si>
  <si>
    <t>ARN-34238</t>
  </si>
  <si>
    <t>ARN-34269</t>
  </si>
  <si>
    <t>ARN-34347</t>
  </si>
  <si>
    <t>ARN-34348</t>
  </si>
  <si>
    <t>ARN-34364</t>
  </si>
  <si>
    <t>ARN-34386</t>
  </si>
  <si>
    <t>ARN-34413</t>
  </si>
  <si>
    <t>ARN-34481</t>
  </si>
  <si>
    <t>ARN-34488</t>
  </si>
  <si>
    <t>ARN-34515</t>
  </si>
  <si>
    <t>ARN-34796</t>
  </si>
  <si>
    <t>ARN-34797</t>
  </si>
  <si>
    <t>ARN-34829</t>
  </si>
  <si>
    <t>ARN-34833</t>
  </si>
  <si>
    <t>ARN-34907</t>
  </si>
  <si>
    <t>ARN-34910</t>
  </si>
  <si>
    <t>ARN-34929</t>
  </si>
  <si>
    <t>ARN-34962</t>
  </si>
  <si>
    <t>ARN-34976</t>
  </si>
  <si>
    <t>ARN-35161</t>
  </si>
  <si>
    <t>ARN-35275</t>
  </si>
  <si>
    <t>ARN-35323</t>
  </si>
  <si>
    <t>ARN-35392</t>
  </si>
  <si>
    <t>ARN-35443</t>
  </si>
  <si>
    <t>ARN-35783</t>
  </si>
  <si>
    <t>ARN-35981</t>
  </si>
  <si>
    <t>ARN-36190</t>
  </si>
  <si>
    <t>ARN-36254</t>
  </si>
  <si>
    <t>ARN-36266</t>
  </si>
  <si>
    <t>ARN-36400</t>
  </si>
  <si>
    <t>ARN-36435</t>
  </si>
  <si>
    <t>ARN-36437</t>
  </si>
  <si>
    <t>ARN-36701</t>
  </si>
  <si>
    <t>ARN-36793</t>
  </si>
  <si>
    <t>ARN-36805</t>
  </si>
  <si>
    <t>ARN-36826</t>
  </si>
  <si>
    <t>ARN-36863</t>
  </si>
  <si>
    <t>ARN-36894</t>
  </si>
  <si>
    <t>ARN-37133</t>
  </si>
  <si>
    <t>ARN-37184</t>
  </si>
  <si>
    <t>ARN-37283</t>
  </si>
  <si>
    <t>ARN-37314</t>
  </si>
  <si>
    <t>ARN-37544</t>
  </si>
  <si>
    <t>ARN-37550</t>
  </si>
  <si>
    <t>ARN-37643</t>
  </si>
  <si>
    <t>ARN-37795</t>
  </si>
  <si>
    <t>ARN-37827</t>
  </si>
  <si>
    <t>ARN-37888</t>
  </si>
  <si>
    <t>ARN-37958</t>
  </si>
  <si>
    <t>ARN-37997</t>
  </si>
  <si>
    <t>ARN-38053</t>
  </si>
  <si>
    <t>ARN-38058</t>
  </si>
  <si>
    <t>ARN-38095</t>
  </si>
  <si>
    <t>ARN-38606</t>
  </si>
  <si>
    <t>ARN-38730</t>
  </si>
  <si>
    <t>ARN-38887</t>
  </si>
  <si>
    <t>ARN-38933</t>
  </si>
  <si>
    <t>ARN-39103</t>
  </si>
  <si>
    <t>ARN-39107</t>
  </si>
  <si>
    <t>ARN-39155</t>
  </si>
  <si>
    <t>ARN-39196</t>
  </si>
  <si>
    <t>ARN-39208</t>
  </si>
  <si>
    <t>ARN-39269</t>
  </si>
  <si>
    <t>ARN-39461</t>
  </si>
  <si>
    <t>ARN-39470</t>
  </si>
  <si>
    <t>ARN-39569</t>
  </si>
  <si>
    <t>ARN-39636</t>
  </si>
  <si>
    <t>ARN-39917</t>
  </si>
  <si>
    <t>ARN-40037</t>
  </si>
  <si>
    <t>ARN-40107</t>
  </si>
  <si>
    <t>ARN-40225</t>
  </si>
  <si>
    <t>ARN-40251</t>
  </si>
  <si>
    <t>ARN-40312</t>
  </si>
  <si>
    <t>ARN-40443</t>
  </si>
  <si>
    <t>ARN-40483</t>
  </si>
  <si>
    <t>ARN-40594</t>
  </si>
  <si>
    <t>ARN-40625</t>
  </si>
  <si>
    <t>ARN-40642</t>
  </si>
  <si>
    <t>ARN-40717</t>
  </si>
  <si>
    <t>ARN-40733</t>
  </si>
  <si>
    <t>ARN-40843</t>
  </si>
  <si>
    <t>ARN-41043</t>
  </si>
  <si>
    <t>ARN-41063</t>
  </si>
  <si>
    <t>ARN-41121</t>
  </si>
  <si>
    <t>ARN-41132</t>
  </si>
  <si>
    <t>ARN-41137</t>
  </si>
  <si>
    <t>ARN-41177</t>
  </si>
  <si>
    <t>ARN-41198</t>
  </si>
  <si>
    <t>ARN-41427</t>
  </si>
  <si>
    <t>ARN-41541</t>
  </si>
  <si>
    <t>ARN-41571</t>
  </si>
  <si>
    <t>ARN-41674</t>
  </si>
  <si>
    <t>ARN-41719</t>
  </si>
  <si>
    <t>ARN-41912</t>
  </si>
  <si>
    <t>ARN-42141</t>
  </si>
  <si>
    <t>ARN-42336</t>
  </si>
  <si>
    <t>ARN-42423</t>
  </si>
  <si>
    <t>ARN-42500</t>
  </si>
  <si>
    <t>ARN-42506</t>
  </si>
  <si>
    <t>ARN-42632</t>
  </si>
  <si>
    <t>ARN-42657</t>
  </si>
  <si>
    <t>ARN-42760</t>
  </si>
  <si>
    <t>ARN-42874</t>
  </si>
  <si>
    <t>ARN-42964</t>
  </si>
  <si>
    <t>ARN-42990</t>
  </si>
  <si>
    <t>ARN-43022</t>
  </si>
  <si>
    <t>ARN-43629</t>
  </si>
  <si>
    <t>ARN-43680</t>
  </si>
  <si>
    <t>ARN-44026</t>
  </si>
  <si>
    <t>ARN-44290</t>
  </si>
  <si>
    <t>ARN-44318</t>
  </si>
  <si>
    <t>ARN-44348</t>
  </si>
  <si>
    <t>ARN-44504</t>
  </si>
  <si>
    <t>ARN-44580</t>
  </si>
  <si>
    <t>ARN-44863</t>
  </si>
  <si>
    <t>ARN-45092</t>
  </si>
  <si>
    <t>ARN-45111</t>
  </si>
  <si>
    <t>ARN-45274</t>
  </si>
  <si>
    <t>ARN-45289</t>
  </si>
  <si>
    <t>ARN-45392</t>
  </si>
  <si>
    <t>ARN-45415</t>
  </si>
  <si>
    <t>ARN-45422</t>
  </si>
  <si>
    <t>ARN-45453</t>
  </si>
  <si>
    <t>ARN-45457</t>
  </si>
  <si>
    <t>ARN-45545</t>
  </si>
  <si>
    <t>ARN-45624</t>
  </si>
  <si>
    <t>ARN-45791</t>
  </si>
  <si>
    <t>ARN-45878</t>
  </si>
  <si>
    <t>ARN-45888</t>
  </si>
  <si>
    <t>ARN-45990</t>
  </si>
  <si>
    <t>ARN-46002</t>
  </si>
  <si>
    <t>ARN-46040</t>
  </si>
  <si>
    <t>ARN-46188</t>
  </si>
  <si>
    <t>ARN-46220</t>
  </si>
  <si>
    <t>ARN-46280</t>
  </si>
  <si>
    <t>ARN-46285</t>
  </si>
  <si>
    <t>ARN-46316</t>
  </si>
  <si>
    <t>ARN-46470</t>
  </si>
  <si>
    <t>ARN-46559</t>
  </si>
  <si>
    <t>ARN-46659</t>
  </si>
  <si>
    <t>ARN-46706</t>
  </si>
  <si>
    <t>ARN-46722</t>
  </si>
  <si>
    <t>ARN-46724</t>
  </si>
  <si>
    <t>ARN-46963</t>
  </si>
  <si>
    <t>ARN-47054</t>
  </si>
  <si>
    <t>ARN-47169</t>
  </si>
  <si>
    <t>ARN-47282</t>
  </si>
  <si>
    <t>ARN-47293</t>
  </si>
  <si>
    <t>ARN-47351</t>
  </si>
  <si>
    <t>ARN-47360</t>
  </si>
  <si>
    <t>ARN-47471</t>
  </si>
  <si>
    <t>ARN-47603</t>
  </si>
  <si>
    <t>ARN-47647</t>
  </si>
  <si>
    <t>ARN-47791</t>
  </si>
  <si>
    <t>ARN-47845</t>
  </si>
  <si>
    <t>ARN-47875</t>
  </si>
  <si>
    <t>ARN-47959</t>
  </si>
  <si>
    <t>ARN-48046</t>
  </si>
  <si>
    <t>ARN-48106</t>
  </si>
  <si>
    <t>ARN-48143</t>
  </si>
  <si>
    <t>ARN-48379</t>
  </si>
  <si>
    <t>ARN-48392</t>
  </si>
  <si>
    <t>ARN-48614</t>
  </si>
  <si>
    <t>ARN-48722</t>
  </si>
  <si>
    <t>ARN-48991</t>
  </si>
  <si>
    <t>ARN-49091</t>
  </si>
  <si>
    <t>ARN-49236</t>
  </si>
  <si>
    <t>ARN-49309</t>
  </si>
  <si>
    <t>ARN-49626</t>
  </si>
  <si>
    <t>ARN-49675</t>
  </si>
  <si>
    <t>ARN-49702</t>
  </si>
  <si>
    <t>ARN-49705</t>
  </si>
  <si>
    <t>ARN-49710</t>
  </si>
  <si>
    <t>ARN-49884</t>
  </si>
  <si>
    <t>ARN-49891</t>
  </si>
  <si>
    <t>ARN-49898</t>
  </si>
  <si>
    <t>ARN-50041</t>
  </si>
  <si>
    <t>ARN-50043</t>
  </si>
  <si>
    <t>ARN-50105</t>
  </si>
  <si>
    <t>ARN-50106</t>
  </si>
  <si>
    <t>ARN-50120</t>
  </si>
  <si>
    <t>ARN-50197</t>
  </si>
  <si>
    <t>ARN-50561</t>
  </si>
  <si>
    <t>ARN-50627</t>
  </si>
  <si>
    <t>ARN-50636</t>
  </si>
  <si>
    <t>ARN-50734</t>
  </si>
  <si>
    <t>ARN-50760</t>
  </si>
  <si>
    <t>ARN-50867</t>
  </si>
  <si>
    <t>ARN-50927</t>
  </si>
  <si>
    <t>ARN-50995</t>
  </si>
  <si>
    <t>ARN-51004</t>
  </si>
  <si>
    <t>ARN-51053</t>
  </si>
  <si>
    <t>ARN-51175</t>
  </si>
  <si>
    <t>ARN-51179</t>
  </si>
  <si>
    <t>ARN-51268</t>
  </si>
  <si>
    <t>ARN-51289</t>
  </si>
  <si>
    <t>ARN-51479</t>
  </si>
  <si>
    <t>ARN-51487</t>
  </si>
  <si>
    <t>ARN-51565</t>
  </si>
  <si>
    <t>ARN-51634</t>
  </si>
  <si>
    <t>ARN-51665</t>
  </si>
  <si>
    <t>ARN-51701</t>
  </si>
  <si>
    <t>ARN-51729</t>
  </si>
  <si>
    <t>ARN-51734</t>
  </si>
  <si>
    <t>ARN-51806</t>
  </si>
  <si>
    <t>ARN-51873</t>
  </si>
  <si>
    <t>ARN-51903</t>
  </si>
  <si>
    <t>ARN-52018</t>
  </si>
  <si>
    <t>ARN-52028</t>
  </si>
  <si>
    <t>ARN-52256</t>
  </si>
  <si>
    <t>ARN-52416</t>
  </si>
  <si>
    <t>ARN-52431</t>
  </si>
  <si>
    <t>ARN-52466</t>
  </si>
  <si>
    <t>ARN-52471</t>
  </si>
  <si>
    <t>ARN-52619</t>
  </si>
  <si>
    <t>ARN-52825</t>
  </si>
  <si>
    <t>ARN-52828</t>
  </si>
  <si>
    <t>ARN-52872</t>
  </si>
  <si>
    <t>ARN-52880</t>
  </si>
  <si>
    <t>ARN-52894</t>
  </si>
  <si>
    <t>ARN-52902</t>
  </si>
  <si>
    <t>ARN-52940</t>
  </si>
  <si>
    <t>ARN-52978</t>
  </si>
  <si>
    <t>ARN-53155</t>
  </si>
  <si>
    <t>ARN-53238</t>
  </si>
  <si>
    <t>ARN-53308</t>
  </si>
  <si>
    <t>ARN-53321</t>
  </si>
  <si>
    <t>ARN-53378</t>
  </si>
  <si>
    <t>ARN-53437</t>
  </si>
  <si>
    <t>ARN-53452</t>
  </si>
  <si>
    <t>ARN-53552</t>
  </si>
  <si>
    <t>ARN-53588</t>
  </si>
  <si>
    <t>ARN-53670</t>
  </si>
  <si>
    <t>ARN-53956</t>
  </si>
  <si>
    <t>ARN-54047</t>
  </si>
  <si>
    <t>ARN-54164</t>
  </si>
  <si>
    <t>ARN-54387</t>
  </si>
  <si>
    <t>ARN-54495</t>
  </si>
  <si>
    <t>ARN-54504</t>
  </si>
  <si>
    <t>ARN-54840</t>
  </si>
  <si>
    <t>ARN-54846</t>
  </si>
  <si>
    <t>ARN-55274</t>
  </si>
  <si>
    <t>ARN-55275</t>
  </si>
  <si>
    <t>ARN-55372</t>
  </si>
  <si>
    <t>ARN-55374</t>
  </si>
  <si>
    <t>ARN-55500</t>
  </si>
  <si>
    <t>ARN-55743</t>
  </si>
  <si>
    <t>ARN-55918</t>
  </si>
  <si>
    <t>ARN-56003</t>
  </si>
  <si>
    <t>ARN-56033</t>
  </si>
  <si>
    <t>ARN-56152</t>
  </si>
  <si>
    <t>ARN-56308</t>
  </si>
  <si>
    <t>ARN-56421</t>
  </si>
  <si>
    <t>ARN-56561</t>
  </si>
  <si>
    <t>ARN-56958</t>
  </si>
  <si>
    <t>ARN-57328</t>
  </si>
  <si>
    <t>ARN-57459</t>
  </si>
  <si>
    <t>ARN-57584</t>
  </si>
  <si>
    <t>ARN-57656</t>
  </si>
  <si>
    <t>ARN-57672</t>
  </si>
  <si>
    <t>ARN-57682</t>
  </si>
  <si>
    <t>ARN-57874</t>
  </si>
  <si>
    <t>ARN-57930</t>
  </si>
  <si>
    <t>ARN-57940</t>
  </si>
  <si>
    <t>ARN-57970</t>
  </si>
  <si>
    <t>ARN-58240</t>
  </si>
  <si>
    <t>ARN-58315</t>
  </si>
  <si>
    <t>ARN-58331</t>
  </si>
  <si>
    <t>ARN-58332</t>
  </si>
  <si>
    <t>ARN-58603</t>
  </si>
  <si>
    <t>ARN-58607</t>
  </si>
  <si>
    <t>ARN-58665</t>
  </si>
  <si>
    <t>ARN-58711</t>
  </si>
  <si>
    <t>ARN-58865</t>
  </si>
  <si>
    <t>ARN-58953</t>
  </si>
  <si>
    <t>ARN-59335</t>
  </si>
  <si>
    <t>ARN-59403</t>
  </si>
  <si>
    <t>ARN-59586</t>
  </si>
  <si>
    <t>ARN-60100</t>
  </si>
  <si>
    <t>ARN-60149</t>
  </si>
  <si>
    <t>ARN-60270</t>
  </si>
  <si>
    <t>ARN-60930</t>
  </si>
  <si>
    <t>ARN-60947</t>
  </si>
  <si>
    <t>ARN-61173</t>
  </si>
  <si>
    <t>ARN-61248</t>
  </si>
  <si>
    <t>ARN-61261</t>
  </si>
  <si>
    <t>ARN-61800</t>
  </si>
  <si>
    <t>ARN-61974</t>
  </si>
  <si>
    <t>ARN-62000</t>
  </si>
  <si>
    <t>ARN-62001</t>
  </si>
  <si>
    <t>ARN-62300</t>
  </si>
  <si>
    <t>ARN-62301</t>
  </si>
  <si>
    <t>ARN-62337</t>
  </si>
  <si>
    <t>ARN-62343</t>
  </si>
  <si>
    <t>ARN-62757</t>
  </si>
  <si>
    <t>ARN-63611</t>
  </si>
  <si>
    <t>ARN-63626</t>
  </si>
  <si>
    <t>ARN-63643</t>
  </si>
  <si>
    <t>ARN-63838</t>
  </si>
  <si>
    <t>ARN-64132</t>
  </si>
  <si>
    <t>ARN-64297</t>
  </si>
  <si>
    <t>ARN-64301</t>
  </si>
  <si>
    <t>ARN-64422</t>
  </si>
  <si>
    <t>ARN-64493</t>
  </si>
  <si>
    <t>ARN-64502</t>
  </si>
  <si>
    <t>ARN-64606</t>
  </si>
  <si>
    <t>ARN-64610</t>
  </si>
  <si>
    <t>ARN-64651</t>
  </si>
  <si>
    <t>ARN-64917</t>
  </si>
  <si>
    <t>ARN-64981</t>
  </si>
  <si>
    <t>ARN-65092</t>
  </si>
  <si>
    <t>ARN-65160</t>
  </si>
  <si>
    <t>ARN-65251</t>
  </si>
  <si>
    <t>ARN-65374</t>
  </si>
  <si>
    <t>ARN-65508</t>
  </si>
  <si>
    <t>ARN-65542</t>
  </si>
  <si>
    <t>ARN-65608</t>
  </si>
  <si>
    <t>ARN-65977</t>
  </si>
  <si>
    <t>ARN-66006</t>
  </si>
  <si>
    <t>ARN-66107</t>
  </si>
  <si>
    <t>ARN-66203</t>
  </si>
  <si>
    <t>ARN-66529</t>
  </si>
  <si>
    <t>ARN-66555</t>
  </si>
  <si>
    <t>ARN-66560</t>
  </si>
  <si>
    <t>ARN-66751</t>
  </si>
  <si>
    <t>ARN-66910</t>
  </si>
  <si>
    <t>ARN-66913</t>
  </si>
  <si>
    <t>ARN-67045</t>
  </si>
  <si>
    <t>ARN-67059</t>
  </si>
  <si>
    <t>ARN-67288</t>
  </si>
  <si>
    <t>ARN-67333</t>
  </si>
  <si>
    <t>ARN-67429</t>
  </si>
  <si>
    <t>ARN-67458</t>
  </si>
  <si>
    <t>ARN-67592</t>
  </si>
  <si>
    <t>ARN-67688</t>
  </si>
  <si>
    <t>ARN-67693</t>
  </si>
  <si>
    <t>ARN-67712</t>
  </si>
  <si>
    <t>ARN-67793</t>
  </si>
  <si>
    <t>ARN-68185</t>
  </si>
  <si>
    <t>ARN-68368</t>
  </si>
  <si>
    <t>ARN-68412</t>
  </si>
  <si>
    <t>ARN-68758</t>
  </si>
  <si>
    <t>ARN-69443</t>
  </si>
  <si>
    <t>ARN-69521</t>
  </si>
  <si>
    <t>ARN-69541</t>
  </si>
  <si>
    <t>ARN-69583</t>
  </si>
  <si>
    <t>ARN-69846</t>
  </si>
  <si>
    <t>ARN-70419</t>
  </si>
  <si>
    <t>ARN-70462</t>
  </si>
  <si>
    <t>ARN-70565</t>
  </si>
  <si>
    <t>ARN-70818</t>
  </si>
  <si>
    <t>ARN-70892</t>
  </si>
  <si>
    <t>ARN-71520</t>
  </si>
  <si>
    <t>ARN-71529</t>
  </si>
  <si>
    <t>ARN-72073</t>
  </si>
  <si>
    <t>ARN-72287</t>
  </si>
  <si>
    <t>ARN-72346</t>
  </si>
  <si>
    <t>ARN-72451</t>
  </si>
  <si>
    <t>ARN-72452</t>
  </si>
  <si>
    <t>ARN-72462</t>
  </si>
  <si>
    <t>ARN-72741</t>
  </si>
  <si>
    <t>ARN-72875</t>
  </si>
  <si>
    <t>ARN-72885</t>
  </si>
  <si>
    <t>ARN-72900</t>
  </si>
  <si>
    <t>ARN-72969</t>
  </si>
  <si>
    <t>ARN-72999</t>
  </si>
  <si>
    <t>ARN-73000</t>
  </si>
  <si>
    <t>ARN-73130</t>
  </si>
  <si>
    <t>ARN-73211</t>
  </si>
  <si>
    <t>ARN-73268</t>
  </si>
  <si>
    <t>ARN-73585</t>
  </si>
  <si>
    <t>ARN-73621</t>
  </si>
  <si>
    <t>ARN-73912</t>
  </si>
  <si>
    <t>ARN-73966</t>
  </si>
  <si>
    <t>ARN-74061</t>
  </si>
  <si>
    <t>ARN-74207</t>
  </si>
  <si>
    <t>ARN-74224</t>
  </si>
  <si>
    <t>ARN-74263</t>
  </si>
  <si>
    <t>ARN-74695</t>
  </si>
  <si>
    <t>ARN-74723</t>
  </si>
  <si>
    <t>ARN-74941</t>
  </si>
  <si>
    <t>ARN-75154</t>
  </si>
  <si>
    <t>ARN-75176</t>
  </si>
  <si>
    <t>ARN-75223</t>
  </si>
  <si>
    <t>ARN-75319</t>
  </si>
  <si>
    <t>ARN-75320</t>
  </si>
  <si>
    <t>ARN-75404</t>
  </si>
  <si>
    <t>ARN-75674</t>
  </si>
  <si>
    <t>ARN-75678</t>
  </si>
  <si>
    <t>ARN-75718</t>
  </si>
  <si>
    <t>ARN-75882</t>
  </si>
  <si>
    <t>ARN-75889</t>
  </si>
  <si>
    <t>ARN-75896</t>
  </si>
  <si>
    <t>ARN-76017</t>
  </si>
  <si>
    <t>ARN-76019</t>
  </si>
  <si>
    <t>ARN-76024</t>
  </si>
  <si>
    <t>ARN-76035</t>
  </si>
  <si>
    <t>ARN-76037</t>
  </si>
  <si>
    <t>ARN-76065</t>
  </si>
  <si>
    <t>ARN-76122</t>
  </si>
  <si>
    <t>ARN-76123</t>
  </si>
  <si>
    <t>ARN-76165</t>
  </si>
  <si>
    <t>ARN-76506</t>
  </si>
  <si>
    <t>ARN-76586</t>
  </si>
  <si>
    <t>ARN-76658</t>
  </si>
  <si>
    <t>ARN-76843</t>
  </si>
  <si>
    <t>ARN-76950</t>
  </si>
  <si>
    <t>ARN-77037</t>
  </si>
  <si>
    <t>ARN-77115</t>
  </si>
  <si>
    <t>ARN-77152</t>
  </si>
  <si>
    <t>ARN-77214</t>
  </si>
  <si>
    <t>ARN-77321</t>
  </si>
  <si>
    <t>ARN-77356</t>
  </si>
  <si>
    <t>ARN-77369</t>
  </si>
  <si>
    <t>ARN-77382</t>
  </si>
  <si>
    <t>ARN-77393</t>
  </si>
  <si>
    <t>ARN-77404</t>
  </si>
  <si>
    <t>ARN-77440</t>
  </si>
  <si>
    <t>ARN-77441</t>
  </si>
  <si>
    <t>ARN-77444</t>
  </si>
  <si>
    <t>ARN-77509</t>
  </si>
  <si>
    <t>ARN-77558</t>
  </si>
  <si>
    <t>ARN-77864</t>
  </si>
  <si>
    <t>ARN-77875</t>
  </si>
  <si>
    <t>ARN-77877</t>
  </si>
  <si>
    <t>ARN-77890</t>
  </si>
  <si>
    <t>ARN-77926</t>
  </si>
  <si>
    <t>ARN-78038</t>
  </si>
  <si>
    <t>ARN-78041</t>
  </si>
  <si>
    <t>ARN-78126</t>
  </si>
  <si>
    <t>ARN-78432</t>
  </si>
  <si>
    <t>ARN-78491</t>
  </si>
  <si>
    <t>ARN-78494</t>
  </si>
  <si>
    <t>ARN-78740</t>
  </si>
  <si>
    <t>ARN-78896</t>
  </si>
  <si>
    <t>ARN-78908</t>
  </si>
  <si>
    <t>ARN-78933</t>
  </si>
  <si>
    <t>ARN-78978</t>
  </si>
  <si>
    <t>ARN-78984</t>
  </si>
  <si>
    <t>ARN-79003</t>
  </si>
  <si>
    <t>ARN-79036</t>
  </si>
  <si>
    <t>ARN-79049</t>
  </si>
  <si>
    <t>ARN-79099</t>
  </si>
  <si>
    <t>ARN-79196</t>
  </si>
  <si>
    <t>ARN-79317</t>
  </si>
  <si>
    <t>ARN-79329</t>
  </si>
  <si>
    <t>ARN-79638</t>
  </si>
  <si>
    <t>ARN-79664</t>
  </si>
  <si>
    <t>ARN-79799</t>
  </si>
  <si>
    <t>ARN-79846</t>
  </si>
  <si>
    <t>ARN-80121</t>
  </si>
  <si>
    <t>ARN-80125</t>
  </si>
  <si>
    <t>ARN-80131</t>
  </si>
  <si>
    <t>ARN-80331</t>
  </si>
  <si>
    <t>ARN-80510</t>
  </si>
  <si>
    <t>ARN-80592</t>
  </si>
  <si>
    <t>ARN-80655</t>
  </si>
  <si>
    <t>ARN-80711</t>
  </si>
  <si>
    <t>ARN-80742</t>
  </si>
  <si>
    <t>ARN-80789</t>
  </si>
  <si>
    <t>ARN-80863</t>
  </si>
  <si>
    <t>ARN-80943</t>
  </si>
  <si>
    <t>ARN-81000</t>
  </si>
  <si>
    <t>ARN-81023</t>
  </si>
  <si>
    <t>ARN-81042</t>
  </si>
  <si>
    <t>ARN-81064</t>
  </si>
  <si>
    <t>ARN-81103</t>
  </si>
  <si>
    <t>ARN-81194</t>
  </si>
  <si>
    <t>ARN-81310</t>
  </si>
  <si>
    <t>ARN-81334</t>
  </si>
  <si>
    <t>ARN-81389</t>
  </si>
  <si>
    <t>ARN-81404</t>
  </si>
  <si>
    <t>ARN-81449</t>
  </si>
  <si>
    <t>ARN-81496</t>
  </si>
  <si>
    <t>ARN-81505</t>
  </si>
  <si>
    <t>ARN-81507</t>
  </si>
  <si>
    <t>ARN-81632</t>
  </si>
  <si>
    <t>ARN-81646</t>
  </si>
  <si>
    <t>ARN-81655</t>
  </si>
  <si>
    <t>ARN-81656</t>
  </si>
  <si>
    <t>ARN-81768</t>
  </si>
  <si>
    <t>ARN-81793</t>
  </si>
  <si>
    <t>ARN-81815</t>
  </si>
  <si>
    <t>ARN-81826</t>
  </si>
  <si>
    <t>ARN-81828</t>
  </si>
  <si>
    <t>ARN-81916</t>
  </si>
  <si>
    <t>ARN-81955</t>
  </si>
  <si>
    <t>ARN-81987</t>
  </si>
  <si>
    <t>ARN-82130</t>
  </si>
  <si>
    <t>ARN-82161</t>
  </si>
  <si>
    <t>ARN-82172</t>
  </si>
  <si>
    <t>ARN-82174</t>
  </si>
  <si>
    <t>ARN-82228</t>
  </si>
  <si>
    <t>ARN-82242</t>
  </si>
  <si>
    <t>ARN-82357</t>
  </si>
  <si>
    <t>ARN-82408</t>
  </si>
  <si>
    <t>ARN-82440</t>
  </si>
  <si>
    <t>ARN-82457</t>
  </si>
  <si>
    <t>ARN-82471</t>
  </si>
  <si>
    <t>ARN-82528</t>
  </si>
  <si>
    <t>ARN-82588</t>
  </si>
  <si>
    <t>ARN-82601</t>
  </si>
  <si>
    <t>ARN-82735</t>
  </si>
  <si>
    <t>ARN-82849</t>
  </si>
  <si>
    <t>ARN-82880</t>
  </si>
  <si>
    <t>ARN-82974</t>
  </si>
  <si>
    <t>ARN-82988</t>
  </si>
  <si>
    <t>ARN-82992</t>
  </si>
  <si>
    <t>ARN-83013</t>
  </si>
  <si>
    <t>ARN-83065</t>
  </si>
  <si>
    <t>ARN-83114</t>
  </si>
  <si>
    <t>ARN-83150</t>
  </si>
  <si>
    <t>ARN-83166</t>
  </si>
  <si>
    <t>ARN-83202</t>
  </si>
  <si>
    <t>ARN-83313</t>
  </si>
  <si>
    <t>ARN-83314</t>
  </si>
  <si>
    <t>ARN-83322</t>
  </si>
  <si>
    <t>ARN-83358</t>
  </si>
  <si>
    <t>ARN-83360</t>
  </si>
  <si>
    <t>ARN-83393</t>
  </si>
  <si>
    <t>ARN-83419</t>
  </si>
  <si>
    <t>ARN-83420</t>
  </si>
  <si>
    <t>ARN-83625</t>
  </si>
  <si>
    <t>ARN-83673</t>
  </si>
  <si>
    <t>ARN-83676</t>
  </si>
  <si>
    <t>ARN-83700</t>
  </si>
  <si>
    <t>ARN-83719</t>
  </si>
  <si>
    <t>ARN-83867</t>
  </si>
  <si>
    <t>ARN-83946</t>
  </si>
  <si>
    <t>ARN-84002</t>
  </si>
  <si>
    <t>ARN-84072</t>
  </si>
  <si>
    <t>ARN-84120</t>
  </si>
  <si>
    <t>ARN-84169</t>
  </si>
  <si>
    <t>ARN-84176</t>
  </si>
  <si>
    <t>ARN-84261</t>
  </si>
  <si>
    <t>ARN-84293</t>
  </si>
  <si>
    <t>ARN-84300</t>
  </si>
  <si>
    <t>ARN-84328</t>
  </si>
  <si>
    <t>ARN-84334</t>
  </si>
  <si>
    <t>ARN-84385</t>
  </si>
  <si>
    <t>ARN-84571</t>
  </si>
  <si>
    <t>ARN-84644</t>
  </si>
  <si>
    <t>ARN-84645</t>
  </si>
  <si>
    <t>ARN-84649</t>
  </si>
  <si>
    <t>ARN-84672</t>
  </si>
  <si>
    <t>ARN-84767</t>
  </si>
  <si>
    <t>ARN-84771</t>
  </si>
  <si>
    <t>ARN-84838</t>
  </si>
  <si>
    <t>ARN-84894</t>
  </si>
  <si>
    <t>ARN-84912</t>
  </si>
  <si>
    <t>ARN-84967</t>
  </si>
  <si>
    <t>ARN-84998</t>
  </si>
  <si>
    <t>ARN-85055</t>
  </si>
  <si>
    <t>ARN-85175</t>
  </si>
  <si>
    <t>ARN-85305</t>
  </si>
  <si>
    <t>ARN-85363</t>
  </si>
  <si>
    <t>ARN-85376</t>
  </si>
  <si>
    <t>ARN-85413</t>
  </si>
  <si>
    <t>ARN-85460</t>
  </si>
  <si>
    <t>ARN-85488</t>
  </si>
  <si>
    <t>ARN-85562</t>
  </si>
  <si>
    <t>ARN-85592</t>
  </si>
  <si>
    <t>ARN-85605</t>
  </si>
  <si>
    <t>ARN-85614</t>
  </si>
  <si>
    <t>ARN-85675</t>
  </si>
  <si>
    <t>ARN-85700</t>
  </si>
  <si>
    <t>ARN-85762</t>
  </si>
  <si>
    <t>ARN-85815</t>
  </si>
  <si>
    <t>ARN-85866</t>
  </si>
  <si>
    <t>ARN-85927</t>
  </si>
  <si>
    <t>ARN-86076</t>
  </si>
  <si>
    <t>ARN-86257</t>
  </si>
  <si>
    <t>ARN-86277</t>
  </si>
  <si>
    <t>ARN-86414</t>
  </si>
  <si>
    <t>ARN-86420</t>
  </si>
  <si>
    <t>ARN-86448</t>
  </si>
  <si>
    <t>ARN-86499</t>
  </si>
  <si>
    <t>ARN-86502</t>
  </si>
  <si>
    <t>ARN-86558</t>
  </si>
  <si>
    <t>ARN-86589</t>
  </si>
  <si>
    <t>ARN-86683</t>
  </si>
  <si>
    <t>ARN-86685</t>
  </si>
  <si>
    <t>ARN-86800</t>
  </si>
  <si>
    <t>ARN-86804</t>
  </si>
  <si>
    <t>ARN-86807</t>
  </si>
  <si>
    <t>ARN-86828</t>
  </si>
  <si>
    <t>ARN-86871</t>
  </si>
  <si>
    <t>ARN-86872</t>
  </si>
  <si>
    <t>ARN-86901</t>
  </si>
  <si>
    <t>ARN-86906</t>
  </si>
  <si>
    <t>ARN-86973</t>
  </si>
  <si>
    <t>ARN-87081</t>
  </si>
  <si>
    <t>ARN-87087</t>
  </si>
  <si>
    <t>ARN-87145</t>
  </si>
  <si>
    <t>ARN-87218</t>
  </si>
  <si>
    <t>ARN-87332</t>
  </si>
  <si>
    <t>ARN-87401</t>
  </si>
  <si>
    <t>ARN-87527</t>
  </si>
  <si>
    <t>ARN-87538</t>
  </si>
  <si>
    <t>ARN-87539</t>
  </si>
  <si>
    <t>ARN-87541</t>
  </si>
  <si>
    <t>ARN-87554</t>
  </si>
  <si>
    <t>ARN-87732</t>
  </si>
  <si>
    <t>ARN-87751</t>
  </si>
  <si>
    <t>ARN-87755</t>
  </si>
  <si>
    <t>ARN-87761</t>
  </si>
  <si>
    <t>ARN-88114</t>
  </si>
  <si>
    <t>ARN-88200</t>
  </si>
  <si>
    <t>ARN-88227</t>
  </si>
  <si>
    <t>ARN-88254</t>
  </si>
  <si>
    <t>ARN-88329</t>
  </si>
  <si>
    <t>ARN-88450</t>
  </si>
  <si>
    <t>ARN-88627</t>
  </si>
  <si>
    <t>ARN-88692</t>
  </si>
  <si>
    <t>ARN-88704</t>
  </si>
  <si>
    <t>ARN-88705</t>
  </si>
  <si>
    <t>ARN-88737</t>
  </si>
  <si>
    <t>ARN-89057</t>
  </si>
  <si>
    <t>ARN-89068</t>
  </si>
  <si>
    <t>ARN-89264</t>
  </si>
  <si>
    <t>ARN-89299</t>
  </si>
  <si>
    <t>ARN-89339</t>
  </si>
  <si>
    <t>ARN-89368</t>
  </si>
  <si>
    <t>ARN-89445</t>
  </si>
  <si>
    <t>ARN-89485</t>
  </si>
  <si>
    <t>ARN-89611</t>
  </si>
  <si>
    <t>ARN-89738</t>
  </si>
  <si>
    <t>ARN-89827</t>
  </si>
  <si>
    <t>ARN-90061</t>
  </si>
  <si>
    <t>ARN-90158</t>
  </si>
  <si>
    <t>ARN-90164</t>
  </si>
  <si>
    <t>ARN-90345</t>
  </si>
  <si>
    <t>ARN-90446</t>
  </si>
  <si>
    <t>ARN-90535</t>
  </si>
  <si>
    <t>ARN-90538</t>
  </si>
  <si>
    <t>ARN-90577</t>
  </si>
  <si>
    <t>ARN-90746</t>
  </si>
  <si>
    <t>ARN-90748</t>
  </si>
  <si>
    <t>ARN-90793</t>
  </si>
  <si>
    <t>ARN-90796</t>
  </si>
  <si>
    <t>ARN-90825</t>
  </si>
  <si>
    <t>ARN-90876</t>
  </si>
  <si>
    <t>ARN-91019</t>
  </si>
  <si>
    <t>ARN-91034</t>
  </si>
  <si>
    <t>ARN-91066</t>
  </si>
  <si>
    <t>ARN-91074</t>
  </si>
  <si>
    <t>ARN-91346</t>
  </si>
  <si>
    <t>ARN-91514</t>
  </si>
  <si>
    <t>ARN-91684</t>
  </si>
  <si>
    <t>ARN-91703</t>
  </si>
  <si>
    <t>ARN-91802</t>
  </si>
  <si>
    <t>ARN-91899</t>
  </si>
  <si>
    <t>ARN-92004</t>
  </si>
  <si>
    <t>ARN-92017</t>
  </si>
  <si>
    <t>ARN-92061</t>
  </si>
  <si>
    <t>ARN-92091</t>
  </si>
  <si>
    <t>ARN-92092</t>
  </si>
  <si>
    <t>ARN-92117</t>
  </si>
  <si>
    <t>ARN-92166</t>
  </si>
  <si>
    <t>ARN-92316</t>
  </si>
  <si>
    <t>ARN-92387</t>
  </si>
  <si>
    <t>ARN-92525</t>
  </si>
  <si>
    <t>ARN-92528</t>
  </si>
  <si>
    <t>ARN-92594</t>
  </si>
  <si>
    <t>ARN-92699</t>
  </si>
  <si>
    <t>ARN-92709</t>
  </si>
  <si>
    <t>ARN-92722</t>
  </si>
  <si>
    <t>ARN-92820</t>
  </si>
  <si>
    <t>ARN-93234</t>
  </si>
  <si>
    <t>ARN-93359</t>
  </si>
  <si>
    <t>ARN-93442</t>
  </si>
  <si>
    <t>ARN-93500</t>
  </si>
  <si>
    <t>ARN-93674</t>
  </si>
  <si>
    <t>ARN-93802</t>
  </si>
  <si>
    <t>ARN-93828</t>
  </si>
  <si>
    <t>ARN-93956</t>
  </si>
  <si>
    <t>ARN-93961</t>
  </si>
  <si>
    <t>ARN-94012</t>
  </si>
  <si>
    <t>ARN-94014</t>
  </si>
  <si>
    <t>ARN-94133</t>
  </si>
  <si>
    <t>ARN-94144</t>
  </si>
  <si>
    <t>ARN-94348</t>
  </si>
  <si>
    <t>ARN-94353</t>
  </si>
  <si>
    <t>ARN-94355</t>
  </si>
  <si>
    <t>ARN-94379</t>
  </si>
  <si>
    <t>ARN-94634</t>
  </si>
  <si>
    <t>ARN-94637</t>
  </si>
  <si>
    <t>ARN-94638</t>
  </si>
  <si>
    <t>ARN-94798</t>
  </si>
  <si>
    <t>ARN-94862</t>
  </si>
  <si>
    <t>ARN-94994</t>
  </si>
  <si>
    <t>ARN-95024</t>
  </si>
  <si>
    <t>ARN-95025</t>
  </si>
  <si>
    <t>ARN-95067</t>
  </si>
  <si>
    <t>ARN-95073</t>
  </si>
  <si>
    <t>ARN-95104</t>
  </si>
  <si>
    <t>ARN-95185</t>
  </si>
  <si>
    <t>ARN-95221</t>
  </si>
  <si>
    <t>ARN-95407</t>
  </si>
  <si>
    <t>ARN-95599</t>
  </si>
  <si>
    <t>ARN-95672</t>
  </si>
  <si>
    <t>ARN-95692</t>
  </si>
  <si>
    <t>ARN-95731</t>
  </si>
  <si>
    <t>ARN-95748</t>
  </si>
  <si>
    <t>ARN-95768</t>
  </si>
  <si>
    <t>ARN-95786</t>
  </si>
  <si>
    <t>ARN-95861</t>
  </si>
  <si>
    <t>ARN-96025</t>
  </si>
  <si>
    <t>ARN-96039</t>
  </si>
  <si>
    <t>ARN-96040</t>
  </si>
  <si>
    <t>ARN-96083</t>
  </si>
  <si>
    <t>ARN-96137</t>
  </si>
  <si>
    <t>ARN-96139</t>
  </si>
  <si>
    <t>ARN-96178</t>
  </si>
  <si>
    <t>ARN-96338</t>
  </si>
  <si>
    <t>ARN-96366</t>
  </si>
  <si>
    <t>ARN-96373</t>
  </si>
  <si>
    <t>ARN-96377</t>
  </si>
  <si>
    <t>ARN-96400</t>
  </si>
  <si>
    <t>ARN-96404</t>
  </si>
  <si>
    <t>ARN-96447</t>
  </si>
  <si>
    <t>ARN-96545</t>
  </si>
  <si>
    <t>ARN-96560</t>
  </si>
  <si>
    <t>ARN-96578</t>
  </si>
  <si>
    <t>ARN-96623</t>
  </si>
  <si>
    <t>ARN-96672</t>
  </si>
  <si>
    <t>ARN-96933</t>
  </si>
  <si>
    <t>ARN-96974</t>
  </si>
  <si>
    <t>ARN-96994</t>
  </si>
  <si>
    <t>ARN-97038</t>
  </si>
  <si>
    <t>ARN-97198</t>
  </si>
  <si>
    <t>ARN-97237</t>
  </si>
  <si>
    <t>ARN-97243</t>
  </si>
  <si>
    <t>ARN-97251</t>
  </si>
  <si>
    <t>ARN-97272</t>
  </si>
  <si>
    <t>ARN-97274</t>
  </si>
  <si>
    <t>ARN-97408</t>
  </si>
  <si>
    <t>ARN-97525</t>
  </si>
  <si>
    <t>ARN-97534</t>
  </si>
  <si>
    <t>ARN-97613</t>
  </si>
  <si>
    <t>ARN-97628</t>
  </si>
  <si>
    <t>ARN-97654</t>
  </si>
  <si>
    <t>ARN-97776</t>
  </si>
  <si>
    <t>ARN-97797</t>
  </si>
  <si>
    <t>ARN-97835</t>
  </si>
  <si>
    <t>ARN-97927</t>
  </si>
  <si>
    <t>ARN-98012</t>
  </si>
  <si>
    <t>ARN-98013</t>
  </si>
  <si>
    <t>ARN-98133</t>
  </si>
  <si>
    <t>ARN-98218</t>
  </si>
  <si>
    <t>ARN-98267</t>
  </si>
  <si>
    <t>ARN-98307</t>
  </si>
  <si>
    <t>ARN-98335</t>
  </si>
  <si>
    <t>ARN-98654</t>
  </si>
  <si>
    <t>ARN-98659</t>
  </si>
  <si>
    <t>ARN-98661</t>
  </si>
  <si>
    <t>ARN-98691</t>
  </si>
  <si>
    <t>ARN-98730</t>
  </si>
  <si>
    <t>ARN-98763</t>
  </si>
  <si>
    <t>ARN-98783</t>
  </si>
  <si>
    <t>ARN-98788</t>
  </si>
  <si>
    <t>ARN-99071</t>
  </si>
  <si>
    <t>ARN-99075</t>
  </si>
  <si>
    <t>ARN-99236</t>
  </si>
  <si>
    <t>ARN-99625</t>
  </si>
  <si>
    <t>ARN-99653</t>
  </si>
  <si>
    <t>ARN-99699</t>
  </si>
  <si>
    <t>ARN-99790</t>
  </si>
  <si>
    <t>ARN-99930</t>
  </si>
  <si>
    <t>ARN-99944</t>
  </si>
  <si>
    <t>ARN-99968</t>
  </si>
  <si>
    <t>ARN-100283</t>
  </si>
  <si>
    <t>ARN-100284</t>
  </si>
  <si>
    <t>ARN-100416</t>
  </si>
  <si>
    <t>ARN-100424</t>
  </si>
  <si>
    <t>ARN-100481</t>
  </si>
  <si>
    <t>ARN-100604</t>
  </si>
  <si>
    <t>ARN-100762</t>
  </si>
  <si>
    <t>ARN-100924</t>
  </si>
  <si>
    <t>ARN-101186</t>
  </si>
  <si>
    <t>ARN-101258</t>
  </si>
  <si>
    <t>ARN-101259</t>
  </si>
  <si>
    <t>ARN-101576</t>
  </si>
  <si>
    <t>ARN-101856</t>
  </si>
  <si>
    <t>ARN-101865</t>
  </si>
  <si>
    <t>ARN-101883</t>
  </si>
  <si>
    <t>ARN-101887</t>
  </si>
  <si>
    <t>ARN-102054</t>
  </si>
  <si>
    <t>ARN-102124</t>
  </si>
  <si>
    <t>ARN-102202</t>
  </si>
  <si>
    <t>ARN-102214</t>
  </si>
  <si>
    <t>ARN-102292</t>
  </si>
  <si>
    <t>ARN-102294</t>
  </si>
  <si>
    <t>ARN-102338</t>
  </si>
  <si>
    <t>ARN-102345</t>
  </si>
  <si>
    <t>ARN-102395</t>
  </si>
  <si>
    <t>ARN-102461</t>
  </si>
  <si>
    <t>ARN-102475</t>
  </si>
  <si>
    <t>ARN-102486</t>
  </si>
  <si>
    <t>ARN-102489</t>
  </si>
  <si>
    <t>ARN-102495</t>
  </si>
  <si>
    <t>ARN-102602</t>
  </si>
  <si>
    <t>ARN-102669</t>
  </si>
  <si>
    <t>ARN-102672</t>
  </si>
  <si>
    <t>ARN-102793</t>
  </si>
  <si>
    <t>ARN-102841</t>
  </si>
  <si>
    <t>ARN-103044</t>
  </si>
  <si>
    <t>ARN-103055</t>
  </si>
  <si>
    <t>ARN-103100</t>
  </si>
  <si>
    <t>ARN-103121</t>
  </si>
  <si>
    <t>ARN-103123</t>
  </si>
  <si>
    <t>ARN-103168</t>
  </si>
  <si>
    <t>ARN-103330</t>
  </si>
  <si>
    <t>ARN-103393</t>
  </si>
  <si>
    <t>ARN-103438</t>
  </si>
  <si>
    <t>ARN-103439</t>
  </si>
  <si>
    <t>ARN-103483</t>
  </si>
  <si>
    <t>ARN-103555</t>
  </si>
  <si>
    <t>ARN-103788</t>
  </si>
  <si>
    <t>ARN-103956</t>
  </si>
  <si>
    <t>ARN-104025</t>
  </si>
  <si>
    <t>ARN-104096</t>
  </si>
  <si>
    <t>ARN-104178</t>
  </si>
  <si>
    <t>ARN-104196</t>
  </si>
  <si>
    <t>ARN-104207</t>
  </si>
  <si>
    <t>ARN-104410</t>
  </si>
  <si>
    <t>ARN-104453</t>
  </si>
  <si>
    <t>ARN-104466</t>
  </si>
  <si>
    <t>ARN-104669</t>
  </si>
  <si>
    <t>ARN-104799</t>
  </si>
  <si>
    <t>ARN-104917</t>
  </si>
  <si>
    <t>ARN-105049</t>
  </si>
  <si>
    <t>ARN-105050</t>
  </si>
  <si>
    <t>ARN-105205</t>
  </si>
  <si>
    <t>ARN-105437</t>
  </si>
  <si>
    <t>ARN-105629</t>
  </si>
  <si>
    <t>ARN-105712</t>
  </si>
  <si>
    <t>ARN-105768</t>
  </si>
  <si>
    <t>ARN-105808</t>
  </si>
  <si>
    <t>ARN-105917</t>
  </si>
  <si>
    <t>ARN-105920</t>
  </si>
  <si>
    <t>ARN-105921</t>
  </si>
  <si>
    <t>ARN-105922</t>
  </si>
  <si>
    <t>ARN-105949</t>
  </si>
  <si>
    <t>ARN-106026</t>
  </si>
  <si>
    <t>ARN-106095</t>
  </si>
  <si>
    <t>ARN-106101</t>
  </si>
  <si>
    <t>ARN-106188</t>
  </si>
  <si>
    <t>ARN-106223</t>
  </si>
  <si>
    <t>ARN-106278</t>
  </si>
  <si>
    <t>ARN-106508</t>
  </si>
  <si>
    <t>ARN-106562</t>
  </si>
  <si>
    <t>ARN-106676</t>
  </si>
  <si>
    <t>ARN-106719</t>
  </si>
  <si>
    <t>ARN-106720</t>
  </si>
  <si>
    <t>ARN-106777</t>
  </si>
  <si>
    <t>ARN-106780</t>
  </si>
  <si>
    <t>ARN-106846</t>
  </si>
  <si>
    <t>ARN-106877</t>
  </si>
  <si>
    <t>ARN-106881</t>
  </si>
  <si>
    <t>ARN-106923</t>
  </si>
  <si>
    <t>ARN-106947</t>
  </si>
  <si>
    <t>ARN-107096</t>
  </si>
  <si>
    <t>ARN-107175</t>
  </si>
  <si>
    <t>ARN-107188</t>
  </si>
  <si>
    <t>ARN-107264</t>
  </si>
  <si>
    <t>ARN-107329</t>
  </si>
  <si>
    <t>ARN-107330</t>
  </si>
  <si>
    <t>ARN-107332</t>
  </si>
  <si>
    <t>ARN-107515</t>
  </si>
  <si>
    <t>ARN-107551</t>
  </si>
  <si>
    <t>ARN-107656</t>
  </si>
  <si>
    <t>ARN-107741</t>
  </si>
  <si>
    <t>ARN-107743</t>
  </si>
  <si>
    <t>ARN-107778</t>
  </si>
  <si>
    <t>ARN-107780</t>
  </si>
  <si>
    <t>ARN-107812</t>
  </si>
  <si>
    <t>ARN-107820</t>
  </si>
  <si>
    <t>ARN-107883</t>
  </si>
  <si>
    <t>ARN-107943</t>
  </si>
  <si>
    <t>ARN-108031</t>
  </si>
  <si>
    <t>ARN-108254</t>
  </si>
  <si>
    <t>ARN-108320</t>
  </si>
  <si>
    <t>ARN-108494</t>
  </si>
  <si>
    <t>ARN-108523</t>
  </si>
  <si>
    <t>ARN-108616</t>
  </si>
  <si>
    <t>ARN-108618</t>
  </si>
  <si>
    <t>ARN-108734</t>
  </si>
  <si>
    <t>ARN-108913</t>
  </si>
  <si>
    <t>ARN-109017</t>
  </si>
  <si>
    <t>ARN-109126</t>
  </si>
  <si>
    <t>ARN-109318</t>
  </si>
  <si>
    <t>ARN-109342</t>
  </si>
  <si>
    <t>ARN-109518</t>
  </si>
  <si>
    <t>ARN-109818</t>
  </si>
  <si>
    <t>ARN-109820</t>
  </si>
  <si>
    <t>ARN-109871</t>
  </si>
  <si>
    <t>ARN-109893</t>
  </si>
  <si>
    <t>ARN-109950</t>
  </si>
  <si>
    <t>ARN-110015</t>
  </si>
  <si>
    <t>ARN-110027</t>
  </si>
  <si>
    <t>ARN-110028</t>
  </si>
  <si>
    <t>ARN-110094</t>
  </si>
  <si>
    <t>ARN-110098</t>
  </si>
  <si>
    <t>ARN-110114</t>
  </si>
  <si>
    <t>ARN-110136</t>
  </si>
  <si>
    <t>ARN-110282</t>
  </si>
  <si>
    <t>ARN-110284</t>
  </si>
  <si>
    <t>ARN-110318</t>
  </si>
  <si>
    <t>ARN-110370</t>
  </si>
  <si>
    <t>ARN-110384</t>
  </si>
  <si>
    <t>ARN-110432</t>
  </si>
  <si>
    <t>ARN-110561</t>
  </si>
  <si>
    <t>ARN-110619</t>
  </si>
  <si>
    <t>ARN-110712</t>
  </si>
  <si>
    <t>ARN-110756</t>
  </si>
  <si>
    <t>ARN-110788</t>
  </si>
  <si>
    <t>ARN-110828</t>
  </si>
  <si>
    <t>ARN-110937</t>
  </si>
  <si>
    <t>ARN-110947</t>
  </si>
  <si>
    <t>ARN-110989</t>
  </si>
  <si>
    <t>ARN-111054</t>
  </si>
  <si>
    <t>ARN-111233</t>
  </si>
  <si>
    <t>ARN-111297</t>
  </si>
  <si>
    <t>ARN-111513</t>
  </si>
  <si>
    <t>ARN-111564</t>
  </si>
  <si>
    <t>ARN-111569</t>
  </si>
  <si>
    <t>ARN-111593</t>
  </si>
  <si>
    <t>ARN-111599</t>
  </si>
  <si>
    <t>ARN-111609</t>
  </si>
  <si>
    <t>ARN-111721</t>
  </si>
  <si>
    <t>ARN-111727</t>
  </si>
  <si>
    <t>ARN-111917</t>
  </si>
  <si>
    <t>ARN-111970</t>
  </si>
  <si>
    <t>ARN-112164</t>
  </si>
  <si>
    <t>ARN-112185</t>
  </si>
  <si>
    <t>ARN-112213</t>
  </si>
  <si>
    <t>ARN-112270</t>
  </si>
  <si>
    <t>ARN-112272</t>
  </si>
  <si>
    <t>ARN-112333</t>
  </si>
  <si>
    <t>ARN-112337</t>
  </si>
  <si>
    <t>ARN-112379</t>
  </si>
  <si>
    <t>ARN-112380</t>
  </si>
  <si>
    <t>ARN-112475</t>
  </si>
  <si>
    <t>ARN-112553</t>
  </si>
  <si>
    <t>ARN-112583</t>
  </si>
  <si>
    <t>ARN-112705</t>
  </si>
  <si>
    <t>ARN-112714</t>
  </si>
  <si>
    <t>ARN-112717</t>
  </si>
  <si>
    <t>ARN-112744</t>
  </si>
  <si>
    <t>ARN-112748</t>
  </si>
  <si>
    <t>ARN-112749</t>
  </si>
  <si>
    <t>ARN-112853</t>
  </si>
  <si>
    <t>ARN-112933</t>
  </si>
  <si>
    <t>ARN-112987</t>
  </si>
  <si>
    <t>ARN-112989</t>
  </si>
  <si>
    <t>ARN-113058</t>
  </si>
  <si>
    <t>ARN-113059</t>
  </si>
  <si>
    <t>ARN-113074</t>
  </si>
  <si>
    <t>ARN-113082</t>
  </si>
  <si>
    <t>ARN-113116</t>
  </si>
  <si>
    <t>ARN-113345</t>
  </si>
  <si>
    <t>ARN-113813</t>
  </si>
  <si>
    <t>ARN-113880</t>
  </si>
  <si>
    <t>ARN-113944</t>
  </si>
  <si>
    <t>ARN-113946</t>
  </si>
  <si>
    <t>ARN-113948</t>
  </si>
  <si>
    <t>ARN-113973</t>
  </si>
  <si>
    <t>ARN-114121</t>
  </si>
  <si>
    <t>ARN-114263</t>
  </si>
  <si>
    <t>ARN-114288</t>
  </si>
  <si>
    <t>ARN-114327</t>
  </si>
  <si>
    <t>ARN-114376</t>
  </si>
  <si>
    <t>ARN-114589</t>
  </si>
  <si>
    <t>ARN-114611</t>
  </si>
  <si>
    <t>ARN-114644</t>
  </si>
  <si>
    <t>ARN-114679</t>
  </si>
  <si>
    <t>ARN-114731</t>
  </si>
  <si>
    <t>ARN-114739</t>
  </si>
  <si>
    <t>ARN-114771</t>
  </si>
  <si>
    <t>ARN-114893</t>
  </si>
  <si>
    <t>ARN-114911</t>
  </si>
  <si>
    <t>ARN-114934</t>
  </si>
  <si>
    <t>ARN-115287</t>
  </si>
  <si>
    <t>ARN-115318</t>
  </si>
  <si>
    <t>ARN-115404</t>
  </si>
  <si>
    <t>ARN-115473</t>
  </si>
  <si>
    <t>ARN-115486</t>
  </si>
  <si>
    <t>ARN-115499</t>
  </si>
  <si>
    <t>ARN-115573</t>
  </si>
  <si>
    <t>ARN-115844</t>
  </si>
  <si>
    <t>ARN-115858</t>
  </si>
  <si>
    <t>ARN-115984</t>
  </si>
  <si>
    <t>ARN-116047</t>
  </si>
  <si>
    <t>ARN-116166</t>
  </si>
  <si>
    <t>ARN-116312</t>
  </si>
  <si>
    <t>ARN-116347</t>
  </si>
  <si>
    <t>ARN-116356</t>
  </si>
  <si>
    <t>ARN-116461</t>
  </si>
  <si>
    <t>ARN-116464</t>
  </si>
  <si>
    <t>ARN-116627</t>
  </si>
  <si>
    <t>ARN-116724</t>
  </si>
  <si>
    <t>ARN-116864</t>
  </si>
  <si>
    <t>ARN-116900</t>
  </si>
  <si>
    <t>ARN-117052</t>
  </si>
  <si>
    <t>ARN-117143</t>
  </si>
  <si>
    <t>ARN-117293</t>
  </si>
  <si>
    <t>ARN-117408</t>
  </si>
  <si>
    <t>ARN-117409</t>
  </si>
  <si>
    <t>ARN-117422</t>
  </si>
  <si>
    <t>ARN-117558</t>
  </si>
  <si>
    <t>ARN-117722</t>
  </si>
  <si>
    <t>ARN-117902</t>
  </si>
  <si>
    <t>ARN-117977</t>
  </si>
  <si>
    <t>ARN-118014</t>
  </si>
  <si>
    <t>ARN-118077</t>
  </si>
  <si>
    <t>ARN-118251</t>
  </si>
  <si>
    <t>ARN-118266</t>
  </si>
  <si>
    <t>ARN-118486</t>
  </si>
  <si>
    <t>ARN-118672</t>
  </si>
  <si>
    <t>ARN-118681</t>
  </si>
  <si>
    <t>ARN-118821</t>
  </si>
  <si>
    <t>ARN-118933</t>
  </si>
  <si>
    <t>ARN-118996</t>
  </si>
  <si>
    <t>ARN-119147</t>
  </si>
  <si>
    <t>ARN-119383</t>
  </si>
  <si>
    <t>ARN-119459</t>
  </si>
  <si>
    <t>ARN-119692</t>
  </si>
  <si>
    <t>ARN-119695</t>
  </si>
  <si>
    <t>ARN-119893</t>
  </si>
  <si>
    <t>ARN-120004</t>
  </si>
  <si>
    <t>ARN-120049</t>
  </si>
  <si>
    <t>ARN-120088</t>
  </si>
  <si>
    <t>ARN-120116</t>
  </si>
  <si>
    <t>ARN-120121</t>
  </si>
  <si>
    <t>ARN-120300</t>
  </si>
  <si>
    <t>ARN-120335</t>
  </si>
  <si>
    <t>ARN-120435</t>
  </si>
  <si>
    <t>ARN-120498</t>
  </si>
  <si>
    <t>ARN-120646</t>
  </si>
  <si>
    <t>ARN-120781</t>
  </si>
  <si>
    <t>ARN-121064</t>
  </si>
  <si>
    <t>ARN-121121</t>
  </si>
  <si>
    <t>ARN-121196</t>
  </si>
  <si>
    <t>ARN-121232</t>
  </si>
  <si>
    <t>ARN-121333</t>
  </si>
  <si>
    <t>ARN-121338</t>
  </si>
  <si>
    <t>ARN-121343</t>
  </si>
  <si>
    <t>ARN-121472</t>
  </si>
  <si>
    <t>ARN-121519</t>
  </si>
  <si>
    <t>ARN-121841</t>
  </si>
  <si>
    <t>ARN-121862</t>
  </si>
  <si>
    <t>ARN-121967</t>
  </si>
  <si>
    <t>ARN-121999</t>
  </si>
  <si>
    <t>ARN-122067</t>
  </si>
  <si>
    <t>ARN-122073</t>
  </si>
  <si>
    <t>ARN-122590</t>
  </si>
  <si>
    <t>ARN-122642</t>
  </si>
  <si>
    <t>ARN-122698</t>
  </si>
  <si>
    <t>ARN-122765</t>
  </si>
  <si>
    <t>ARN-122806</t>
  </si>
  <si>
    <t>ARN-123179</t>
  </si>
  <si>
    <t>ARN-123329</t>
  </si>
  <si>
    <t>ARN-123614</t>
  </si>
  <si>
    <t>ARN-123992</t>
  </si>
  <si>
    <t>ARN-124173</t>
  </si>
  <si>
    <t>ARN-124304</t>
  </si>
  <si>
    <t>ARN-124307</t>
  </si>
  <si>
    <t>ARN-124591</t>
  </si>
  <si>
    <t>ARN-124618</t>
  </si>
  <si>
    <t>ARN-124619</t>
  </si>
  <si>
    <t>ARN-124881</t>
  </si>
  <si>
    <t>ARN-124974</t>
  </si>
  <si>
    <t>ARN-125172</t>
  </si>
  <si>
    <t>ARN-125185</t>
  </si>
  <si>
    <t>ARN-125299</t>
  </si>
  <si>
    <t>ARN-125335</t>
  </si>
  <si>
    <t>ARN-125371</t>
  </si>
  <si>
    <t>ARN-125375</t>
  </si>
  <si>
    <t>ARN-125677</t>
  </si>
  <si>
    <t>ARN-125716</t>
  </si>
  <si>
    <t>ARN-125855</t>
  </si>
  <si>
    <t>ARN-126236</t>
  </si>
  <si>
    <t>ARN-126827</t>
  </si>
  <si>
    <t>ARN-126908</t>
  </si>
  <si>
    <t>ARN-127058</t>
  </si>
  <si>
    <t>ARN-127060</t>
  </si>
  <si>
    <t>ARN-127213</t>
  </si>
  <si>
    <t>ARN-127251</t>
  </si>
  <si>
    <t>ARN-127286</t>
  </si>
  <si>
    <t>ARN-127385</t>
  </si>
  <si>
    <t>ARN-127545</t>
  </si>
  <si>
    <t>ARN-127549</t>
  </si>
  <si>
    <t>ARN-127678</t>
  </si>
  <si>
    <t>ARN-127881</t>
  </si>
  <si>
    <t>ARN-128216</t>
  </si>
  <si>
    <t>ARN-128548</t>
  </si>
  <si>
    <t>ARN-128555</t>
  </si>
  <si>
    <t>ARN-128606</t>
  </si>
  <si>
    <t>ARN-128693</t>
  </si>
  <si>
    <t>ARN-128724</t>
  </si>
  <si>
    <t>ARN-128769</t>
  </si>
  <si>
    <t>ARN-128837</t>
  </si>
  <si>
    <t>ARN-129067</t>
  </si>
  <si>
    <t>ARN-129543</t>
  </si>
  <si>
    <t>ARN-130074</t>
  </si>
  <si>
    <t>ARN-130604</t>
  </si>
  <si>
    <t>ARN-130786</t>
  </si>
  <si>
    <t>ARN-130934</t>
  </si>
  <si>
    <t>ARN-131057</t>
  </si>
  <si>
    <t>ARN-131557</t>
  </si>
  <si>
    <t>ARN-131587</t>
  </si>
  <si>
    <t>ARN-131837</t>
  </si>
  <si>
    <t>ARN-131903</t>
  </si>
  <si>
    <t>ARN-132017</t>
  </si>
  <si>
    <t>ARN-132269</t>
  </si>
  <si>
    <t>ARN-132638</t>
  </si>
  <si>
    <t>ARN-132902</t>
  </si>
  <si>
    <t>ARN-133099</t>
  </si>
  <si>
    <t>ARN-133132</t>
  </si>
  <si>
    <t>ARN-133153</t>
  </si>
  <si>
    <t>ARN-133390</t>
  </si>
  <si>
    <t>ARN-133777</t>
  </si>
  <si>
    <t>ARN-134063</t>
  </si>
  <si>
    <t>ARN-134141</t>
  </si>
  <si>
    <t>ARN-134483</t>
  </si>
  <si>
    <t>ARN-134569</t>
  </si>
  <si>
    <t>ARN-134655</t>
  </si>
  <si>
    <t>ARN-134887</t>
  </si>
  <si>
    <t>ARN-135280</t>
  </si>
  <si>
    <t>ARN-135987</t>
  </si>
  <si>
    <t>ARN-136649</t>
  </si>
  <si>
    <t>ARN-136772</t>
  </si>
  <si>
    <t>ARN-137069</t>
  </si>
  <si>
    <t>ARN-137296</t>
  </si>
  <si>
    <t>ARN-137947</t>
  </si>
  <si>
    <t>ARN-137949</t>
  </si>
  <si>
    <t>ARN-138294</t>
  </si>
  <si>
    <t>ARN-138791</t>
  </si>
  <si>
    <t>ARN-139390</t>
  </si>
  <si>
    <t>ARN-139535</t>
  </si>
  <si>
    <t>ARN-139548</t>
  </si>
  <si>
    <t>ARN-139809</t>
  </si>
  <si>
    <t>ARN-139828</t>
  </si>
  <si>
    <t>ARN-140033</t>
  </si>
  <si>
    <t>ARN-140124</t>
  </si>
  <si>
    <t>ARN-140416</t>
  </si>
  <si>
    <t>ARN-140448</t>
  </si>
  <si>
    <t>ARN-140754</t>
  </si>
  <si>
    <t>ARN-140810</t>
  </si>
  <si>
    <t>ARN-141456</t>
  </si>
  <si>
    <t>ARN-141492</t>
  </si>
  <si>
    <t>ARN-141573</t>
  </si>
  <si>
    <t>ARN-141707</t>
  </si>
  <si>
    <t>ARN-141769</t>
  </si>
  <si>
    <t>ARN-141823</t>
  </si>
  <si>
    <t>ARN-142407</t>
  </si>
  <si>
    <t>ARN-142651</t>
  </si>
  <si>
    <t>ARN-142835</t>
  </si>
  <si>
    <t>ARN-143015</t>
  </si>
  <si>
    <t>ARN-143180</t>
  </si>
  <si>
    <t>ARN-143182</t>
  </si>
  <si>
    <t>ARN-143475</t>
  </si>
  <si>
    <t>ARN-143829</t>
  </si>
  <si>
    <t>ARN-144038</t>
  </si>
  <si>
    <t>ARN-144332</t>
  </si>
  <si>
    <t>ARN-144404</t>
  </si>
  <si>
    <t>ARN-144504</t>
  </si>
  <si>
    <t>ARN-144513</t>
  </si>
  <si>
    <t>ARN-144658</t>
  </si>
  <si>
    <t>ARN-144686</t>
  </si>
  <si>
    <t>ARN-144870</t>
  </si>
  <si>
    <t>ARN-145002</t>
  </si>
  <si>
    <t>ARN-145064</t>
  </si>
  <si>
    <t>ARN-145509</t>
  </si>
  <si>
    <t>ARN-145633</t>
  </si>
  <si>
    <t>ARN-146026</t>
  </si>
  <si>
    <t>ARN-146222</t>
  </si>
  <si>
    <t>ARN-146380</t>
  </si>
  <si>
    <t>ARN-146497</t>
  </si>
  <si>
    <t>ARN-146591</t>
  </si>
  <si>
    <t>ARN-146650</t>
  </si>
  <si>
    <t>ARN-146822</t>
  </si>
  <si>
    <t>ARN-146826</t>
  </si>
  <si>
    <t>ARN-146833</t>
  </si>
  <si>
    <t>ARN-147149</t>
  </si>
  <si>
    <t>ARN-147547</t>
  </si>
  <si>
    <t>ARN-147697</t>
  </si>
  <si>
    <t>ARN-147908</t>
  </si>
  <si>
    <t>ARN-148005</t>
  </si>
  <si>
    <t>ARN-148090</t>
  </si>
  <si>
    <t>ARN-148190</t>
  </si>
  <si>
    <t>ARN-148616</t>
  </si>
  <si>
    <t>ARN-150027</t>
  </si>
  <si>
    <t>ARN-150210</t>
  </si>
  <si>
    <t>ARN-150570</t>
  </si>
  <si>
    <t>ARN-150726</t>
  </si>
  <si>
    <t>ARN-151438</t>
  </si>
  <si>
    <t>ARN-151909</t>
  </si>
  <si>
    <t>ARN-151977</t>
  </si>
  <si>
    <t>ARN-153351</t>
  </si>
  <si>
    <t>ARN-153658</t>
  </si>
  <si>
    <t>ARN-154072</t>
  </si>
  <si>
    <t>ARN-154182</t>
  </si>
  <si>
    <t>ARN-154297</t>
  </si>
  <si>
    <t>ARN-154334</t>
  </si>
  <si>
    <t>ARN-154381</t>
  </si>
  <si>
    <t>ARN-154476</t>
  </si>
  <si>
    <t>ARN-154582</t>
  </si>
  <si>
    <t>ARN-154632</t>
  </si>
  <si>
    <t>ARN-154678</t>
  </si>
  <si>
    <t>ARN-155088</t>
  </si>
  <si>
    <t>ARN-155225</t>
  </si>
  <si>
    <t>ARN-155237</t>
  </si>
  <si>
    <t>ARN-155319</t>
  </si>
  <si>
    <t>ARN-155383</t>
  </si>
  <si>
    <t>ARN-155415</t>
  </si>
  <si>
    <t>ARN-155467</t>
  </si>
  <si>
    <t>ARN-155584</t>
  </si>
  <si>
    <t>ARN-155944</t>
  </si>
  <si>
    <t>ARN-156011</t>
  </si>
  <si>
    <t>ARN-156109</t>
  </si>
  <si>
    <t>ARN-156288</t>
  </si>
  <si>
    <t>ARN-156289</t>
  </si>
  <si>
    <t>ARN-156386</t>
  </si>
  <si>
    <t>ARN-156449</t>
  </si>
  <si>
    <t>ARN-156540</t>
  </si>
  <si>
    <t>ARN-156723</t>
  </si>
  <si>
    <t>ARN-156917</t>
  </si>
  <si>
    <t>ARN-156939</t>
  </si>
  <si>
    <t>ARN-157200</t>
  </si>
  <si>
    <t>ARN-157204</t>
  </si>
  <si>
    <t>ARN-157215</t>
  </si>
  <si>
    <t>ARN-157305</t>
  </si>
  <si>
    <t>ARN-157327</t>
  </si>
  <si>
    <t>ARN-157375</t>
  </si>
  <si>
    <t>ARN-157801</t>
  </si>
  <si>
    <t>ARN-157924</t>
  </si>
  <si>
    <t>ARN-158138</t>
  </si>
  <si>
    <t>ARN-158164</t>
  </si>
  <si>
    <t>ARN-158340</t>
  </si>
  <si>
    <t>ARN-158405</t>
  </si>
  <si>
    <t>ARN-158820</t>
  </si>
  <si>
    <t>ARN-158866</t>
  </si>
  <si>
    <t>ARN-159165</t>
  </si>
  <si>
    <t>ARN-159316</t>
  </si>
  <si>
    <t>ARN-159388</t>
  </si>
  <si>
    <t>ARN-159464</t>
  </si>
  <si>
    <t>ARN-159576</t>
  </si>
  <si>
    <t>ARN-159579</t>
  </si>
  <si>
    <t>ARN-159618</t>
  </si>
  <si>
    <t>ARN-159693</t>
  </si>
  <si>
    <t>ARN-159794</t>
  </si>
  <si>
    <t>ARN-159887</t>
  </si>
  <si>
    <t>ARN-159953</t>
  </si>
  <si>
    <t>ARN-159954</t>
  </si>
  <si>
    <t>ARN-159957</t>
  </si>
  <si>
    <t>ARN-159986</t>
  </si>
  <si>
    <t>ARN-160239</t>
  </si>
  <si>
    <t>ARN-160596</t>
  </si>
  <si>
    <t>ARN-160597</t>
  </si>
  <si>
    <t>ARN-160715</t>
  </si>
  <si>
    <t>ARN-161121</t>
  </si>
  <si>
    <t>ARN-161147</t>
  </si>
  <si>
    <t>ARN-161706</t>
  </si>
  <si>
    <t>ARN-161746</t>
  </si>
  <si>
    <t>ARN-161802</t>
  </si>
  <si>
    <t>ARN-161878</t>
  </si>
  <si>
    <t>ARN-161995</t>
  </si>
  <si>
    <t>ARN-162172</t>
  </si>
  <si>
    <t>ARN-162265</t>
  </si>
  <si>
    <t>ARN-162472</t>
  </si>
  <si>
    <t>ARN-162514</t>
  </si>
  <si>
    <t>ARN-162635</t>
  </si>
  <si>
    <t>ARN-162985</t>
  </si>
  <si>
    <t>ARN-162993</t>
  </si>
  <si>
    <t>ARN-163403</t>
  </si>
  <si>
    <t>ARN-163497</t>
  </si>
  <si>
    <t>ARN-163501</t>
  </si>
  <si>
    <t>ARN-163615</t>
  </si>
  <si>
    <t>ARN-163753</t>
  </si>
  <si>
    <t>ARN-163765</t>
  </si>
  <si>
    <t>ARN-164029</t>
  </si>
  <si>
    <t>ARN-164031</t>
  </si>
  <si>
    <t>ARN-164112</t>
  </si>
  <si>
    <t>ARN-164114</t>
  </si>
  <si>
    <t>ARN-164128</t>
  </si>
  <si>
    <t>ARN-164338</t>
  </si>
  <si>
    <t>ARN-164489</t>
  </si>
  <si>
    <t>ARN-164646</t>
  </si>
  <si>
    <t>ARN-164952</t>
  </si>
  <si>
    <t>ARN-164955</t>
  </si>
  <si>
    <t>ARN-164990</t>
  </si>
  <si>
    <t>ARN-165114</t>
  </si>
  <si>
    <t>ARN-165184</t>
  </si>
  <si>
    <t>ARN-165254</t>
  </si>
  <si>
    <t>ARN-165432</t>
  </si>
  <si>
    <t>ARN-165440</t>
  </si>
  <si>
    <t>ARN-165614</t>
  </si>
  <si>
    <t>ARN-165724</t>
  </si>
  <si>
    <t>ARN-166017</t>
  </si>
  <si>
    <t>ARN-166100</t>
  </si>
  <si>
    <t>ARN-166314</t>
  </si>
  <si>
    <t>ARN-166356</t>
  </si>
  <si>
    <t>ARN-166420</t>
  </si>
  <si>
    <t>ARN-166442</t>
  </si>
  <si>
    <t>ARN-166501</t>
  </si>
  <si>
    <t>ARN-166767</t>
  </si>
  <si>
    <t>ARN-166805</t>
  </si>
  <si>
    <t>ARN-166913</t>
  </si>
  <si>
    <t>ARN-167127</t>
  </si>
  <si>
    <t>ARN-167196</t>
  </si>
  <si>
    <t>ARN-167471</t>
  </si>
  <si>
    <t>ARN-167996</t>
  </si>
  <si>
    <t>ARN-168039</t>
  </si>
  <si>
    <t>ARN-168436</t>
  </si>
  <si>
    <t>ARN-168440</t>
  </si>
  <si>
    <t>ARN-168469</t>
  </si>
  <si>
    <t>ARN-168625</t>
  </si>
  <si>
    <t>ARN-168707</t>
  </si>
  <si>
    <t>ARN-168722</t>
  </si>
  <si>
    <t>ARN-168766</t>
  </si>
  <si>
    <t>ARN-168786</t>
  </si>
  <si>
    <t>ARN-169022</t>
  </si>
  <si>
    <t>ARN-169241</t>
  </si>
  <si>
    <t>ARN-169285</t>
  </si>
  <si>
    <t>ARN-169322</t>
  </si>
  <si>
    <t>ARN-169520</t>
  </si>
  <si>
    <t>ARN-169780</t>
  </si>
  <si>
    <t>ARN-169849</t>
  </si>
  <si>
    <t>ARN-169850</t>
  </si>
  <si>
    <t>ARN-169854</t>
  </si>
  <si>
    <t>ARN-169923</t>
  </si>
  <si>
    <t>ARN-170464</t>
  </si>
  <si>
    <t>ARN-170740</t>
  </si>
  <si>
    <t>ARN-170998</t>
  </si>
  <si>
    <t>ARN-171060</t>
  </si>
  <si>
    <t>ARN-171281</t>
  </si>
  <si>
    <t>ARN-171412</t>
  </si>
  <si>
    <t>ARN-171423</t>
  </si>
  <si>
    <t>ARN-171644</t>
  </si>
  <si>
    <t>ARN-171769</t>
  </si>
  <si>
    <t>ARN-171852</t>
  </si>
  <si>
    <t>ARN-171895</t>
  </si>
  <si>
    <t>ARN-171969</t>
  </si>
  <si>
    <t>ARN-172057</t>
  </si>
  <si>
    <t>ARN-172196</t>
  </si>
  <si>
    <t>ARN-172215</t>
  </si>
  <si>
    <t>ARN-172574</t>
  </si>
  <si>
    <t>ARN-172593</t>
  </si>
  <si>
    <t>ARN-172841</t>
  </si>
  <si>
    <t>ARN-172988</t>
  </si>
  <si>
    <t>ARN-173032</t>
  </si>
  <si>
    <t>ARN-173086</t>
  </si>
  <si>
    <t>ARN-173108</t>
  </si>
  <si>
    <t>ARN-173142</t>
  </si>
  <si>
    <t>ARN-173224</t>
  </si>
  <si>
    <t>ARN-173231</t>
  </si>
  <si>
    <t>ARN-173256</t>
  </si>
  <si>
    <t>ARN-173342</t>
  </si>
  <si>
    <t>ARN-173430</t>
  </si>
  <si>
    <t>ARN-173466</t>
  </si>
  <si>
    <t>ARN-173558</t>
  </si>
  <si>
    <t>ARN-173974</t>
  </si>
  <si>
    <t>ARN-173986</t>
  </si>
  <si>
    <t>ARN-174029</t>
  </si>
  <si>
    <t>ARN-174074</t>
  </si>
  <si>
    <t>ARN-174093</t>
  </si>
  <si>
    <t>ARN-174346</t>
  </si>
  <si>
    <t>ARN-174475</t>
  </si>
  <si>
    <t>ARN-174484</t>
  </si>
  <si>
    <t>ARN-174795</t>
  </si>
  <si>
    <t>ARN-174803</t>
  </si>
  <si>
    <t>ARN-174863</t>
  </si>
  <si>
    <t>ARN-175033</t>
  </si>
  <si>
    <t>ARN-175137</t>
  </si>
  <si>
    <t>ARN-175193</t>
  </si>
  <si>
    <t>ARN-175312</t>
  </si>
  <si>
    <t>ARN-175429</t>
  </si>
  <si>
    <t>ARN-175785</t>
  </si>
  <si>
    <t>ARN-175978</t>
  </si>
  <si>
    <t>ARN-176173</t>
  </si>
  <si>
    <t>ARN-176234</t>
  </si>
  <si>
    <t>ARN-176472</t>
  </si>
  <si>
    <t>ARN-176482</t>
  </si>
  <si>
    <t>ARN-176666</t>
  </si>
  <si>
    <t>ARN-176739</t>
  </si>
  <si>
    <t>ARN-176754</t>
  </si>
  <si>
    <t>ARN-176981</t>
  </si>
  <si>
    <t>ARN-176986</t>
  </si>
  <si>
    <t>ARN-177080</t>
  </si>
  <si>
    <t>ARN-177172</t>
  </si>
  <si>
    <t>ARN-177563</t>
  </si>
  <si>
    <t>ARN-178159</t>
  </si>
  <si>
    <t>ARN-179229</t>
  </si>
  <si>
    <t>ARN-179272</t>
  </si>
  <si>
    <t>ARN-179273</t>
  </si>
  <si>
    <t>ARN-179774</t>
  </si>
  <si>
    <t>ARN-179832</t>
  </si>
  <si>
    <t>ARN-179976</t>
  </si>
  <si>
    <t>ARN-180325</t>
  </si>
  <si>
    <t>ARN-180348</t>
  </si>
  <si>
    <t>ARN-180349</t>
  </si>
  <si>
    <t>ARN-180975</t>
  </si>
  <si>
    <t>ARN-181033</t>
  </si>
  <si>
    <t>ARN-181211</t>
  </si>
  <si>
    <t>ARN-181278</t>
  </si>
  <si>
    <t>ARN-181727</t>
  </si>
  <si>
    <t>ARN-182258</t>
  </si>
  <si>
    <t>ARN-183038</t>
  </si>
  <si>
    <t>ARN-183111</t>
  </si>
  <si>
    <t>ARN-184136</t>
  </si>
  <si>
    <t>ARN-184155</t>
  </si>
  <si>
    <t>ARN-184294</t>
  </si>
  <si>
    <t>ARN-184506</t>
  </si>
  <si>
    <t>ARN-184541</t>
  </si>
  <si>
    <t>ARN-184618</t>
  </si>
  <si>
    <t>ARN-184633</t>
  </si>
  <si>
    <t>ARN-185633</t>
  </si>
  <si>
    <t>ARN-185921</t>
  </si>
  <si>
    <t>ARN-186386</t>
  </si>
  <si>
    <t>ARN-186659</t>
  </si>
  <si>
    <t>ARN-186911</t>
  </si>
  <si>
    <t>ARN-186987</t>
  </si>
  <si>
    <t>ARN-187201</t>
  </si>
  <si>
    <t>ARN-187441</t>
  </si>
  <si>
    <t>ARN-187485</t>
  </si>
  <si>
    <t>ARN-187821</t>
  </si>
  <si>
    <t>ARN-188138</t>
  </si>
  <si>
    <t>ARN-188164</t>
  </si>
  <si>
    <t>ARN-188281</t>
  </si>
  <si>
    <t>ARN-188888</t>
  </si>
  <si>
    <t>ARN-188934</t>
  </si>
  <si>
    <t>ARN-189009</t>
  </si>
  <si>
    <t>ARN-189032</t>
  </si>
  <si>
    <t>ARN-189274</t>
  </si>
  <si>
    <t>ARN-189294</t>
  </si>
  <si>
    <t>ARN-190022</t>
  </si>
  <si>
    <t>ARN-190023</t>
  </si>
  <si>
    <t>ARN-190032</t>
  </si>
  <si>
    <t>ARN-190730</t>
  </si>
  <si>
    <t>ARN-191304</t>
  </si>
  <si>
    <t>ARN-191497</t>
  </si>
  <si>
    <t>ARN-192100</t>
  </si>
  <si>
    <t>ARN-192342</t>
  </si>
  <si>
    <t>ARN-192746</t>
  </si>
  <si>
    <t>ARN-192813</t>
  </si>
  <si>
    <t>ARN-192973</t>
  </si>
  <si>
    <t>ARN-193293</t>
  </si>
  <si>
    <t>ARN-193359</t>
  </si>
  <si>
    <t>ARN-193389</t>
  </si>
  <si>
    <t>ARN-193741</t>
  </si>
  <si>
    <t>ARN-193948</t>
  </si>
  <si>
    <t>ARN-193949</t>
  </si>
  <si>
    <t>ARN-193973</t>
  </si>
  <si>
    <t>ARN-194216</t>
  </si>
  <si>
    <t>ARN-194915</t>
  </si>
  <si>
    <t>ARN-194918</t>
  </si>
  <si>
    <t>ARN-195075</t>
  </si>
  <si>
    <t>ARN-195185</t>
  </si>
  <si>
    <t>ARN-195287</t>
  </si>
  <si>
    <t>ARN-195537</t>
  </si>
  <si>
    <t>ARN-195636</t>
  </si>
  <si>
    <t>ARN-195638</t>
  </si>
  <si>
    <t>ARN-195783</t>
  </si>
  <si>
    <t>ARN-195998</t>
  </si>
  <si>
    <t>ARN-196079</t>
  </si>
  <si>
    <t>ARN-197457</t>
  </si>
  <si>
    <t>ARN-199433</t>
  </si>
  <si>
    <t>ARN-201038</t>
  </si>
  <si>
    <t>ARN-201243</t>
  </si>
  <si>
    <t>ARN-202058</t>
  </si>
  <si>
    <t>ARN-207772</t>
  </si>
  <si>
    <t>ARN-210827</t>
  </si>
  <si>
    <t>ARN-215115</t>
  </si>
  <si>
    <t>ARN-215118</t>
  </si>
  <si>
    <t>ARN-219027</t>
  </si>
  <si>
    <t>ARN-220065</t>
  </si>
  <si>
    <t>ARN-224232</t>
  </si>
  <si>
    <t>ARN-227590</t>
  </si>
  <si>
    <t>ARN-228676</t>
  </si>
  <si>
    <t>ARN-228678</t>
  </si>
  <si>
    <t>ARN-240125</t>
  </si>
  <si>
    <t>ARN-240126</t>
  </si>
  <si>
    <t>ARN-241930</t>
  </si>
  <si>
    <t>ARN-243797</t>
  </si>
  <si>
    <t>ARN-243903</t>
  </si>
  <si>
    <t>ARN-244487</t>
  </si>
  <si>
    <t>ARN-244876</t>
  </si>
  <si>
    <t>ARN-244907</t>
  </si>
  <si>
    <t>ARN-245210</t>
  </si>
  <si>
    <t>ARN-245436</t>
  </si>
  <si>
    <t>ARN-245582</t>
  </si>
  <si>
    <t>ARN-246125</t>
  </si>
  <si>
    <t>ARN-246336</t>
  </si>
  <si>
    <t>ARN-246682</t>
  </si>
  <si>
    <t>ARN-246834</t>
  </si>
  <si>
    <t>ARN-247417</t>
  </si>
  <si>
    <t>ARN-247667</t>
  </si>
  <si>
    <t>ARN-247917</t>
  </si>
  <si>
    <t>ARN-248080</t>
  </si>
  <si>
    <t>ARN-248368</t>
  </si>
  <si>
    <t>ARN-248439</t>
  </si>
  <si>
    <t>ARN-249212</t>
  </si>
  <si>
    <t>ARN-249727</t>
  </si>
  <si>
    <t>ARN-250664</t>
  </si>
  <si>
    <t>ARN-251198</t>
  </si>
  <si>
    <t>ARN-251382</t>
  </si>
  <si>
    <t>ARN-251550</t>
  </si>
  <si>
    <t>ARN-252158</t>
  </si>
  <si>
    <t>ARN-252966</t>
  </si>
  <si>
    <t>ARN-253076</t>
  </si>
  <si>
    <t>ARN-253162</t>
  </si>
  <si>
    <t>ARN-253442</t>
  </si>
  <si>
    <t>ARN-254009</t>
  </si>
  <si>
    <t>ARN-254361</t>
  </si>
  <si>
    <t>ARN-254715</t>
  </si>
  <si>
    <t>ARN-254717</t>
  </si>
  <si>
    <t>ARN-254807</t>
  </si>
  <si>
    <t>ARN-254910</t>
  </si>
  <si>
    <t>ARN-254970</t>
  </si>
  <si>
    <t>ARN-255035</t>
  </si>
  <si>
    <t>ARN-255051</t>
  </si>
  <si>
    <t>ARN-255332</t>
  </si>
  <si>
    <t>ARN-255509</t>
  </si>
  <si>
    <t>ARN-256167</t>
  </si>
  <si>
    <t>ARN-256548</t>
  </si>
  <si>
    <t>ARN-257083</t>
  </si>
  <si>
    <t>ARN-257131</t>
  </si>
  <si>
    <t>ARN-257227</t>
  </si>
  <si>
    <t>ARN-257369</t>
  </si>
  <si>
    <t>ARN-257409</t>
  </si>
  <si>
    <t>ARN-258300</t>
  </si>
  <si>
    <t>ARN-258420</t>
  </si>
  <si>
    <t>ARN-259333</t>
  </si>
  <si>
    <t>ARN-259776</t>
  </si>
  <si>
    <t>ARN-260160</t>
  </si>
  <si>
    <t>ARN-260198</t>
  </si>
  <si>
    <t>ARN-260483</t>
  </si>
  <si>
    <t>ARN-260564</t>
  </si>
  <si>
    <t>ARN-260681</t>
  </si>
  <si>
    <t>ARN-260999</t>
  </si>
  <si>
    <t>ARN-262591</t>
  </si>
  <si>
    <t>ARN-262839</t>
  </si>
  <si>
    <t>ARN-262857</t>
  </si>
  <si>
    <t>ARN-262950</t>
  </si>
  <si>
    <t>ARN-263263</t>
  </si>
  <si>
    <t>ARN-263408</t>
  </si>
  <si>
    <t>ARN-263473</t>
  </si>
  <si>
    <t>ARN-263659</t>
  </si>
  <si>
    <t>ARN-263998</t>
  </si>
  <si>
    <t>ARN-264480</t>
  </si>
  <si>
    <t>ARN-264603</t>
  </si>
  <si>
    <t>ARN-264660</t>
  </si>
  <si>
    <t>ARN-265036</t>
  </si>
  <si>
    <t>ARN-265132</t>
  </si>
  <si>
    <t>ARN-265702</t>
  </si>
  <si>
    <t>ARN-266051</t>
  </si>
  <si>
    <t>ARN-266556</t>
  </si>
  <si>
    <t>ARN-266892</t>
  </si>
  <si>
    <t>ARN-267230</t>
  </si>
  <si>
    <t>ARN-268616</t>
  </si>
  <si>
    <t>ARN-268692</t>
  </si>
  <si>
    <t>ARN-268843</t>
  </si>
  <si>
    <t>ARN-269340</t>
  </si>
  <si>
    <t>ARN-269441</t>
  </si>
  <si>
    <t>ARN-269631</t>
  </si>
  <si>
    <t>ARN-269993</t>
  </si>
  <si>
    <t>ARN-270149</t>
  </si>
  <si>
    <t>ARN-270233</t>
  </si>
  <si>
    <t>ARN-270293</t>
  </si>
  <si>
    <t>ARN-270620</t>
  </si>
  <si>
    <t>ARN-270727</t>
  </si>
  <si>
    <t>ARN-270798</t>
  </si>
  <si>
    <t>ARN-271741</t>
  </si>
  <si>
    <t>ARN-272069</t>
  </si>
  <si>
    <t>ARN-272332</t>
  </si>
  <si>
    <t>ARN-272705</t>
  </si>
  <si>
    <t>ARN-273443</t>
  </si>
  <si>
    <t>ARN-273947</t>
  </si>
  <si>
    <t>ARN-274361</t>
  </si>
  <si>
    <t>ARN-274504</t>
  </si>
  <si>
    <t>ARN-274884</t>
  </si>
  <si>
    <t>ARN-275466</t>
  </si>
  <si>
    <t>ARN-277350</t>
  </si>
  <si>
    <t>ARN-277453</t>
  </si>
  <si>
    <t>ARN-277920</t>
  </si>
  <si>
    <t>ARN-278505</t>
  </si>
  <si>
    <t>ARN-279933</t>
  </si>
  <si>
    <t>ARN-280761</t>
  </si>
  <si>
    <t>ARN-281552</t>
  </si>
  <si>
    <t>ARN-282528</t>
  </si>
  <si>
    <t>ARN-285143</t>
  </si>
  <si>
    <t>ARN-285451</t>
  </si>
  <si>
    <t>ARN-285569</t>
  </si>
  <si>
    <t>ARN-286847</t>
  </si>
  <si>
    <t>ARN-286886</t>
  </si>
  <si>
    <t>ARN-288042</t>
  </si>
  <si>
    <t>ARN-OD3078</t>
  </si>
  <si>
    <t>ARN-OD91293</t>
  </si>
  <si>
    <t>ARN-OD106170</t>
  </si>
  <si>
    <t>ARN-OD112575</t>
  </si>
  <si>
    <t>N</t>
  </si>
  <si>
    <t>Name of the AMC : quant Money Managers Limited</t>
  </si>
  <si>
    <t>Ratio of AUM to Gross inflows as on 31-Mar-2024</t>
  </si>
  <si>
    <t>ACTUAL ARNs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</si>
</sst>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top"/>
    </xf>
    <xf numFmtId="0" fontId="2" fillId="0" borderId="1" xfId="2" applyFont="1" applyBorder="1" applyAlignment="1">
      <alignment horizontal="center" vertical="top" wrapText="1"/>
    </xf>
    <xf numFmtId="0" fontId="2" fillId="0" borderId="1" xfId="2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2" fillId="0" borderId="1" xfId="1" applyFont="1" applyFill="1" applyBorder="1"/>
    <xf numFmtId="43" fontId="0" fillId="0" borderId="1" xfId="1" applyFont="1" applyBorder="1"/>
    <xf numFmtId="43" fontId="2" fillId="0" borderId="1" xfId="1" applyFont="1" applyBorder="1"/>
    <xf numFmtId="2" fontId="0" fillId="0" borderId="1" xfId="0" applyNumberFormat="1" applyBorder="1"/>
    <xf numFmtId="0" fontId="2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5"/>
  <sheetViews>
    <sheetView tabSelected="1" workbookViewId="0">
      <pane xSplit="4" ySplit="5" topLeftCell="E195" activePane="bottomRight" state="frozen"/>
      <selection pane="topRight" activeCell="D1" sqref="D1"/>
      <selection pane="bottomLeft" activeCell="A6" sqref="A6"/>
      <selection pane="bottomRight" activeCell="M7" sqref="M7"/>
    </sheetView>
  </sheetViews>
  <sheetFormatPr defaultRowHeight="15" x14ac:dyDescent="0.25"/>
  <cols>
    <col min="2" max="2" width="9.140625" style="10"/>
    <col min="3" max="3" width="18.28515625" style="10" bestFit="1" customWidth="1"/>
    <col min="4" max="4" width="58.5703125" customWidth="1"/>
    <col min="5" max="5" width="16.5703125" customWidth="1"/>
    <col min="6" max="6" width="15.7109375" customWidth="1"/>
    <col min="7" max="7" width="18.85546875" customWidth="1"/>
    <col min="8" max="8" width="13.140625" customWidth="1"/>
    <col min="9" max="9" width="12" customWidth="1"/>
    <col min="10" max="10" width="17.28515625" customWidth="1"/>
    <col min="11" max="11" width="15.85546875" customWidth="1"/>
    <col min="12" max="12" width="16.7109375" customWidth="1"/>
    <col min="13" max="13" width="17.42578125" customWidth="1"/>
  </cols>
  <sheetData>
    <row r="1" spans="1:13" x14ac:dyDescent="0.25">
      <c r="A1" s="4" t="s">
        <v>5012</v>
      </c>
      <c r="C1" s="17"/>
    </row>
    <row r="3" spans="1:13" x14ac:dyDescent="0.25">
      <c r="E3" s="1"/>
      <c r="F3" s="1"/>
      <c r="G3" s="1"/>
      <c r="H3" s="1"/>
      <c r="I3" s="1"/>
      <c r="J3" s="1"/>
      <c r="K3" s="4" t="s">
        <v>2499</v>
      </c>
      <c r="L3" s="1"/>
    </row>
    <row r="4" spans="1:13" ht="90" x14ac:dyDescent="0.25">
      <c r="A4" s="5" t="s">
        <v>0</v>
      </c>
      <c r="B4" s="5" t="s">
        <v>1</v>
      </c>
      <c r="C4" s="5" t="s">
        <v>5014</v>
      </c>
      <c r="D4" s="6" t="s">
        <v>2498</v>
      </c>
      <c r="E4" s="7" t="s">
        <v>2503</v>
      </c>
      <c r="F4" s="7" t="s">
        <v>2504</v>
      </c>
      <c r="G4" s="7" t="s">
        <v>2505</v>
      </c>
      <c r="H4" s="7" t="s">
        <v>2500</v>
      </c>
      <c r="I4" s="7" t="s">
        <v>2501</v>
      </c>
      <c r="J4" s="7" t="s">
        <v>2502</v>
      </c>
      <c r="K4" s="7" t="s">
        <v>2506</v>
      </c>
      <c r="L4" s="7" t="s">
        <v>2507</v>
      </c>
      <c r="M4" s="7" t="s">
        <v>5013</v>
      </c>
    </row>
    <row r="5" spans="1:13" x14ac:dyDescent="0.25">
      <c r="A5" s="5"/>
      <c r="B5" s="5"/>
      <c r="C5" s="5"/>
      <c r="D5" s="6"/>
      <c r="E5" s="8" t="s">
        <v>2508</v>
      </c>
      <c r="F5" s="8" t="s">
        <v>2509</v>
      </c>
      <c r="G5" s="8" t="s">
        <v>2510</v>
      </c>
      <c r="H5" s="8"/>
      <c r="I5" s="8"/>
      <c r="J5" s="9"/>
      <c r="K5" s="9"/>
      <c r="L5" s="9"/>
      <c r="M5" s="3"/>
    </row>
    <row r="6" spans="1:13" x14ac:dyDescent="0.25">
      <c r="A6" s="2">
        <v>1</v>
      </c>
      <c r="B6" s="2">
        <v>2</v>
      </c>
      <c r="C6" s="2" t="s">
        <v>2512</v>
      </c>
      <c r="D6" s="14" t="s">
        <v>2</v>
      </c>
      <c r="E6" s="14">
        <v>120.9464607</v>
      </c>
      <c r="F6" s="14">
        <v>0</v>
      </c>
      <c r="G6" s="14">
        <v>120.9464607</v>
      </c>
      <c r="H6" s="16">
        <v>8593.0824747999995</v>
      </c>
      <c r="I6" s="16">
        <v>6773.4083569000004</v>
      </c>
      <c r="J6" s="3" t="s">
        <v>5011</v>
      </c>
      <c r="K6" s="16">
        <v>115229.20124378786</v>
      </c>
      <c r="L6" s="16">
        <v>16144.8439461</v>
      </c>
      <c r="M6" s="16">
        <f>L6/H6</f>
        <v>1.8788186885726084</v>
      </c>
    </row>
    <row r="7" spans="1:13" x14ac:dyDescent="0.25">
      <c r="A7" s="2">
        <f>A6+1</f>
        <v>2</v>
      </c>
      <c r="B7" s="2">
        <v>5</v>
      </c>
      <c r="C7" s="2" t="s">
        <v>2513</v>
      </c>
      <c r="D7" s="14" t="s">
        <v>3</v>
      </c>
      <c r="E7" s="14">
        <v>174.90757249999999</v>
      </c>
      <c r="F7" s="14">
        <v>0</v>
      </c>
      <c r="G7" s="14">
        <v>174.90757249999999</v>
      </c>
      <c r="H7" s="16">
        <v>36162.166899600001</v>
      </c>
      <c r="I7" s="16">
        <v>28494.142257</v>
      </c>
      <c r="J7" s="3" t="s">
        <v>5011</v>
      </c>
      <c r="K7" s="16">
        <v>207196.60387947748</v>
      </c>
      <c r="L7" s="16">
        <v>40722.437865899999</v>
      </c>
      <c r="M7" s="16">
        <f t="shared" ref="M7:M70" si="0">L7/H7</f>
        <v>1.1261061312769518</v>
      </c>
    </row>
    <row r="8" spans="1:13" x14ac:dyDescent="0.25">
      <c r="A8" s="2">
        <f t="shared" ref="A8:A71" si="1">A7+1</f>
        <v>3</v>
      </c>
      <c r="B8" s="2">
        <v>6</v>
      </c>
      <c r="C8" s="2" t="s">
        <v>2514</v>
      </c>
      <c r="D8" s="14" t="s">
        <v>4</v>
      </c>
      <c r="E8" s="14">
        <v>4.3077790999999994</v>
      </c>
      <c r="F8" s="14">
        <v>0</v>
      </c>
      <c r="G8" s="14">
        <v>4.3077790999999994</v>
      </c>
      <c r="H8" s="16">
        <v>301.90046949999999</v>
      </c>
      <c r="I8" s="16">
        <v>246.03765489999998</v>
      </c>
      <c r="J8" s="3" t="s">
        <v>5011</v>
      </c>
      <c r="K8" s="16">
        <v>4032.3060184769993</v>
      </c>
      <c r="L8" s="16">
        <v>581.73992169999997</v>
      </c>
      <c r="M8" s="16">
        <f t="shared" si="0"/>
        <v>1.9269261908186599</v>
      </c>
    </row>
    <row r="9" spans="1:13" x14ac:dyDescent="0.25">
      <c r="A9" s="2">
        <f t="shared" si="1"/>
        <v>4</v>
      </c>
      <c r="B9" s="2">
        <v>7</v>
      </c>
      <c r="C9" s="2" t="s">
        <v>2515</v>
      </c>
      <c r="D9" s="14" t="s">
        <v>5</v>
      </c>
      <c r="E9" s="14">
        <v>0.53770360000000006</v>
      </c>
      <c r="F9" s="14">
        <v>0</v>
      </c>
      <c r="G9" s="14">
        <v>0.53770360000000006</v>
      </c>
      <c r="H9" s="16">
        <v>51.901959599999998</v>
      </c>
      <c r="I9" s="16">
        <v>43.9461528</v>
      </c>
      <c r="J9" s="3" t="s">
        <v>5011</v>
      </c>
      <c r="K9" s="16">
        <v>724.95705322130004</v>
      </c>
      <c r="L9" s="16">
        <v>102.60021810000001</v>
      </c>
      <c r="M9" s="16">
        <f t="shared" si="0"/>
        <v>1.9768081762369529</v>
      </c>
    </row>
    <row r="10" spans="1:13" x14ac:dyDescent="0.25">
      <c r="A10" s="2">
        <f t="shared" si="1"/>
        <v>5</v>
      </c>
      <c r="B10" s="2">
        <v>9</v>
      </c>
      <c r="C10" s="2" t="s">
        <v>2516</v>
      </c>
      <c r="D10" s="14" t="s">
        <v>6</v>
      </c>
      <c r="E10" s="14">
        <v>51.7880678</v>
      </c>
      <c r="F10" s="14">
        <v>0</v>
      </c>
      <c r="G10" s="14">
        <v>51.7880678</v>
      </c>
      <c r="H10" s="16">
        <v>2975.4508486</v>
      </c>
      <c r="I10" s="16">
        <v>1447.5170923000003</v>
      </c>
      <c r="J10" s="3" t="s">
        <v>5011</v>
      </c>
      <c r="K10" s="16">
        <v>44305.050736290883</v>
      </c>
      <c r="L10" s="16">
        <v>5269.9149667000002</v>
      </c>
      <c r="M10" s="16">
        <f t="shared" si="0"/>
        <v>1.7711315813465998</v>
      </c>
    </row>
    <row r="11" spans="1:13" x14ac:dyDescent="0.25">
      <c r="A11" s="2">
        <f t="shared" si="1"/>
        <v>6</v>
      </c>
      <c r="B11" s="2">
        <v>10</v>
      </c>
      <c r="C11" s="2" t="s">
        <v>2517</v>
      </c>
      <c r="D11" s="14" t="s">
        <v>7</v>
      </c>
      <c r="E11" s="14">
        <v>152.29649849999998</v>
      </c>
      <c r="F11" s="14">
        <v>0</v>
      </c>
      <c r="G11" s="14">
        <v>152.29649849999998</v>
      </c>
      <c r="H11" s="16">
        <v>8539.4344498999999</v>
      </c>
      <c r="I11" s="16">
        <v>5101.7103946000007</v>
      </c>
      <c r="J11" s="3" t="s">
        <v>5011</v>
      </c>
      <c r="K11" s="16">
        <v>137252.19409655209</v>
      </c>
      <c r="L11" s="16">
        <v>17506.766271099998</v>
      </c>
      <c r="M11" s="16">
        <f t="shared" si="0"/>
        <v>2.0501083969682568</v>
      </c>
    </row>
    <row r="12" spans="1:13" x14ac:dyDescent="0.25">
      <c r="A12" s="2">
        <f t="shared" si="1"/>
        <v>7</v>
      </c>
      <c r="B12" s="2">
        <v>11</v>
      </c>
      <c r="C12" s="2" t="s">
        <v>2518</v>
      </c>
      <c r="D12" s="14" t="s">
        <v>8</v>
      </c>
      <c r="E12" s="14">
        <v>19.915399799999999</v>
      </c>
      <c r="F12" s="14">
        <v>0</v>
      </c>
      <c r="G12" s="14">
        <v>19.915399799999999</v>
      </c>
      <c r="H12" s="16">
        <v>4988.7818692999999</v>
      </c>
      <c r="I12" s="16">
        <v>4218.4393479</v>
      </c>
      <c r="J12" s="3" t="s">
        <v>5011</v>
      </c>
      <c r="K12" s="16">
        <v>26033.449031299704</v>
      </c>
      <c r="L12" s="16">
        <v>5456.6562730999995</v>
      </c>
      <c r="M12" s="16">
        <f t="shared" si="0"/>
        <v>1.0937852999104267</v>
      </c>
    </row>
    <row r="13" spans="1:13" x14ac:dyDescent="0.25">
      <c r="A13" s="2">
        <f t="shared" si="1"/>
        <v>8</v>
      </c>
      <c r="B13" s="2">
        <v>14</v>
      </c>
      <c r="C13" s="2" t="s">
        <v>2519</v>
      </c>
      <c r="D13" s="14" t="s">
        <v>9</v>
      </c>
      <c r="E13" s="14">
        <v>0</v>
      </c>
      <c r="F13" s="14">
        <v>0</v>
      </c>
      <c r="G13" s="14">
        <v>0</v>
      </c>
      <c r="H13" s="16">
        <v>0</v>
      </c>
      <c r="I13" s="16">
        <v>0</v>
      </c>
      <c r="J13" s="3" t="s">
        <v>5011</v>
      </c>
      <c r="K13" s="16">
        <v>0</v>
      </c>
      <c r="L13" s="16">
        <v>0</v>
      </c>
      <c r="M13" s="16">
        <v>0</v>
      </c>
    </row>
    <row r="14" spans="1:13" x14ac:dyDescent="0.25">
      <c r="A14" s="2">
        <f t="shared" si="1"/>
        <v>9</v>
      </c>
      <c r="B14" s="2">
        <v>16</v>
      </c>
      <c r="C14" s="2" t="s">
        <v>2520</v>
      </c>
      <c r="D14" s="14" t="s">
        <v>10</v>
      </c>
      <c r="E14" s="14">
        <v>45.021156099999992</v>
      </c>
      <c r="F14" s="14">
        <v>0</v>
      </c>
      <c r="G14" s="14">
        <v>45.021156099999992</v>
      </c>
      <c r="H14" s="16">
        <v>4085.4897631999997</v>
      </c>
      <c r="I14" s="16">
        <v>3367.0006664999996</v>
      </c>
      <c r="J14" s="3" t="s">
        <v>5011</v>
      </c>
      <c r="K14" s="16">
        <v>42443.374687395655</v>
      </c>
      <c r="L14" s="16">
        <v>6501.0469312000005</v>
      </c>
      <c r="M14" s="16">
        <f t="shared" si="0"/>
        <v>1.5912527770251936</v>
      </c>
    </row>
    <row r="15" spans="1:13" x14ac:dyDescent="0.25">
      <c r="A15" s="2">
        <f t="shared" si="1"/>
        <v>10</v>
      </c>
      <c r="B15" s="2">
        <v>17</v>
      </c>
      <c r="C15" s="2" t="s">
        <v>2521</v>
      </c>
      <c r="D15" s="14" t="s">
        <v>11</v>
      </c>
      <c r="E15" s="14">
        <v>8.6962890999999996</v>
      </c>
      <c r="F15" s="14">
        <v>0</v>
      </c>
      <c r="G15" s="14">
        <v>8.6962890999999996</v>
      </c>
      <c r="H15" s="16">
        <v>468.02461790000001</v>
      </c>
      <c r="I15" s="16">
        <v>431.43860649999999</v>
      </c>
      <c r="J15" s="3" t="s">
        <v>5011</v>
      </c>
      <c r="K15" s="16">
        <v>8030.5642887532031</v>
      </c>
      <c r="L15" s="16">
        <v>1105.1608925</v>
      </c>
      <c r="M15" s="16">
        <f t="shared" si="0"/>
        <v>2.3613306869600033</v>
      </c>
    </row>
    <row r="16" spans="1:13" x14ac:dyDescent="0.25">
      <c r="A16" s="2">
        <f t="shared" si="1"/>
        <v>11</v>
      </c>
      <c r="B16" s="2">
        <v>19</v>
      </c>
      <c r="C16" s="2" t="s">
        <v>2522</v>
      </c>
      <c r="D16" s="14" t="s">
        <v>12</v>
      </c>
      <c r="E16" s="14">
        <v>3.3857553000000005</v>
      </c>
      <c r="F16" s="14">
        <v>0</v>
      </c>
      <c r="G16" s="14">
        <v>3.3857553000000005</v>
      </c>
      <c r="H16" s="16">
        <v>1946.8638938999998</v>
      </c>
      <c r="I16" s="16">
        <v>1899.5031232999997</v>
      </c>
      <c r="J16" s="3" t="s">
        <v>5011</v>
      </c>
      <c r="K16" s="16">
        <v>6104.4641121435006</v>
      </c>
      <c r="L16" s="16">
        <v>2321.3434562000002</v>
      </c>
      <c r="M16" s="16">
        <f t="shared" si="0"/>
        <v>1.1923501501431797</v>
      </c>
    </row>
    <row r="17" spans="1:13" x14ac:dyDescent="0.25">
      <c r="A17" s="2">
        <f t="shared" si="1"/>
        <v>12</v>
      </c>
      <c r="B17" s="2">
        <v>20</v>
      </c>
      <c r="C17" s="2" t="s">
        <v>2523</v>
      </c>
      <c r="D17" s="14" t="s">
        <v>13</v>
      </c>
      <c r="E17" s="14">
        <v>43.9124543</v>
      </c>
      <c r="F17" s="14">
        <v>0</v>
      </c>
      <c r="G17" s="14">
        <v>43.9124543</v>
      </c>
      <c r="H17" s="16">
        <v>19431.416158399999</v>
      </c>
      <c r="I17" s="16">
        <v>16030.0672151</v>
      </c>
      <c r="J17" s="3" t="s">
        <v>5011</v>
      </c>
      <c r="K17" s="16">
        <v>69004.635805181664</v>
      </c>
      <c r="L17" s="16">
        <v>18562.774589500001</v>
      </c>
      <c r="M17" s="16">
        <f t="shared" si="0"/>
        <v>0.9552970528849235</v>
      </c>
    </row>
    <row r="18" spans="1:13" x14ac:dyDescent="0.25">
      <c r="A18" s="2">
        <f t="shared" si="1"/>
        <v>13</v>
      </c>
      <c r="B18" s="2">
        <v>21</v>
      </c>
      <c r="C18" s="2" t="s">
        <v>2524</v>
      </c>
      <c r="D18" s="14" t="s">
        <v>14</v>
      </c>
      <c r="E18" s="14">
        <v>7.1144520999999994</v>
      </c>
      <c r="F18" s="14">
        <v>0</v>
      </c>
      <c r="G18" s="14">
        <v>7.1144520999999994</v>
      </c>
      <c r="H18" s="16">
        <v>837.69705959999999</v>
      </c>
      <c r="I18" s="16">
        <v>607.75944379999999</v>
      </c>
      <c r="J18" s="3" t="s">
        <v>5011</v>
      </c>
      <c r="K18" s="16">
        <v>6962.9726215190012</v>
      </c>
      <c r="L18" s="16">
        <v>1095.0059295999999</v>
      </c>
      <c r="M18" s="16">
        <f t="shared" si="0"/>
        <v>1.3071621978986829</v>
      </c>
    </row>
    <row r="19" spans="1:13" x14ac:dyDescent="0.25">
      <c r="A19" s="2">
        <f t="shared" si="1"/>
        <v>14</v>
      </c>
      <c r="B19" s="2">
        <v>22</v>
      </c>
      <c r="C19" s="2" t="s">
        <v>2525</v>
      </c>
      <c r="D19" s="14" t="s">
        <v>15</v>
      </c>
      <c r="E19" s="14">
        <v>0</v>
      </c>
      <c r="F19" s="14">
        <v>0</v>
      </c>
      <c r="G19" s="14">
        <v>0</v>
      </c>
      <c r="H19" s="16">
        <v>12.009399499999999</v>
      </c>
      <c r="I19" s="16">
        <v>10.875289299999999</v>
      </c>
      <c r="J19" s="3" t="s">
        <v>5011</v>
      </c>
      <c r="K19" s="16">
        <v>90.367346446999989</v>
      </c>
      <c r="L19" s="16">
        <v>50.049796799999996</v>
      </c>
      <c r="M19" s="16">
        <f t="shared" si="0"/>
        <v>4.1675519912548502</v>
      </c>
    </row>
    <row r="20" spans="1:13" x14ac:dyDescent="0.25">
      <c r="A20" s="2">
        <f t="shared" si="1"/>
        <v>15</v>
      </c>
      <c r="B20" s="2">
        <v>30</v>
      </c>
      <c r="C20" s="2" t="s">
        <v>2526</v>
      </c>
      <c r="D20" s="14" t="s">
        <v>16</v>
      </c>
      <c r="E20" s="14">
        <v>20.283802200000004</v>
      </c>
      <c r="F20" s="14">
        <v>0</v>
      </c>
      <c r="G20" s="14">
        <v>20.283802200000004</v>
      </c>
      <c r="H20" s="16">
        <v>2042.1903268000001</v>
      </c>
      <c r="I20" s="16">
        <v>1334.8795585</v>
      </c>
      <c r="J20" s="3" t="s">
        <v>5011</v>
      </c>
      <c r="K20" s="16">
        <v>20101.790017864005</v>
      </c>
      <c r="L20" s="16">
        <v>2900.6762754000001</v>
      </c>
      <c r="M20" s="16">
        <f t="shared" si="0"/>
        <v>1.4203750930233816</v>
      </c>
    </row>
    <row r="21" spans="1:13" x14ac:dyDescent="0.25">
      <c r="A21" s="2">
        <f t="shared" si="1"/>
        <v>16</v>
      </c>
      <c r="B21" s="2">
        <v>32</v>
      </c>
      <c r="C21" s="2" t="s">
        <v>2527</v>
      </c>
      <c r="D21" s="14" t="s">
        <v>17</v>
      </c>
      <c r="E21" s="14">
        <v>4.8540342999999995</v>
      </c>
      <c r="F21" s="14">
        <v>0</v>
      </c>
      <c r="G21" s="14">
        <v>4.8540342999999995</v>
      </c>
      <c r="H21" s="16">
        <v>541.31773750000002</v>
      </c>
      <c r="I21" s="16">
        <v>522.36200409999992</v>
      </c>
      <c r="J21" s="3" t="s">
        <v>5011</v>
      </c>
      <c r="K21" s="16">
        <v>5642.2980529770002</v>
      </c>
      <c r="L21" s="16">
        <v>970.23051790000011</v>
      </c>
      <c r="M21" s="16">
        <f t="shared" si="0"/>
        <v>1.792349392393594</v>
      </c>
    </row>
    <row r="22" spans="1:13" x14ac:dyDescent="0.25">
      <c r="A22" s="2">
        <f t="shared" si="1"/>
        <v>17</v>
      </c>
      <c r="B22" s="2">
        <v>37</v>
      </c>
      <c r="C22" s="2" t="s">
        <v>2528</v>
      </c>
      <c r="D22" s="14" t="s">
        <v>18</v>
      </c>
      <c r="E22" s="14">
        <v>2.8611522000000003</v>
      </c>
      <c r="F22" s="14">
        <v>0</v>
      </c>
      <c r="G22" s="14">
        <v>2.8611522000000003</v>
      </c>
      <c r="H22" s="16">
        <v>199.9345691</v>
      </c>
      <c r="I22" s="16">
        <v>107.04899730000001</v>
      </c>
      <c r="J22" s="3" t="s">
        <v>5011</v>
      </c>
      <c r="K22" s="16">
        <v>3514.9240044372009</v>
      </c>
      <c r="L22" s="16">
        <v>398.31580829999996</v>
      </c>
      <c r="M22" s="16">
        <f t="shared" si="0"/>
        <v>1.9922308087741289</v>
      </c>
    </row>
    <row r="23" spans="1:13" x14ac:dyDescent="0.25">
      <c r="A23" s="2">
        <f t="shared" si="1"/>
        <v>18</v>
      </c>
      <c r="B23" s="2">
        <v>39</v>
      </c>
      <c r="C23" s="2" t="s">
        <v>2529</v>
      </c>
      <c r="D23" s="14" t="s">
        <v>19</v>
      </c>
      <c r="E23" s="14">
        <v>0.55984159999999994</v>
      </c>
      <c r="F23" s="14">
        <v>0</v>
      </c>
      <c r="G23" s="14">
        <v>0.55984159999999994</v>
      </c>
      <c r="H23" s="16">
        <v>130.4698042</v>
      </c>
      <c r="I23" s="16">
        <v>110.0114404</v>
      </c>
      <c r="J23" s="3" t="s">
        <v>5011</v>
      </c>
      <c r="K23" s="16">
        <v>745.31696824889991</v>
      </c>
      <c r="L23" s="16">
        <v>145.03669400000001</v>
      </c>
      <c r="M23" s="16">
        <f t="shared" si="0"/>
        <v>1.1116495106995801</v>
      </c>
    </row>
    <row r="24" spans="1:13" x14ac:dyDescent="0.25">
      <c r="A24" s="2">
        <f t="shared" si="1"/>
        <v>19</v>
      </c>
      <c r="B24" s="2">
        <v>52</v>
      </c>
      <c r="C24" s="2" t="s">
        <v>2530</v>
      </c>
      <c r="D24" s="14" t="s">
        <v>20</v>
      </c>
      <c r="E24" s="14">
        <v>9.872679999999999E-2</v>
      </c>
      <c r="F24" s="14">
        <v>0</v>
      </c>
      <c r="G24" s="14">
        <v>9.872679999999999E-2</v>
      </c>
      <c r="H24" s="16">
        <v>5.9996999999999998</v>
      </c>
      <c r="I24" s="16">
        <v>5.9996999999999998</v>
      </c>
      <c r="J24" s="3" t="s">
        <v>5011</v>
      </c>
      <c r="K24" s="16">
        <v>114.62025346930001</v>
      </c>
      <c r="L24" s="16">
        <v>15.270406100000001</v>
      </c>
      <c r="M24" s="16">
        <f t="shared" si="0"/>
        <v>2.5451949430804874</v>
      </c>
    </row>
    <row r="25" spans="1:13" x14ac:dyDescent="0.25">
      <c r="A25" s="2">
        <f t="shared" si="1"/>
        <v>20</v>
      </c>
      <c r="B25" s="2">
        <v>57</v>
      </c>
      <c r="C25" s="2" t="s">
        <v>2531</v>
      </c>
      <c r="D25" s="14" t="s">
        <v>21</v>
      </c>
      <c r="E25" s="14">
        <v>2.9729200000000001E-2</v>
      </c>
      <c r="F25" s="14">
        <v>0</v>
      </c>
      <c r="G25" s="14">
        <v>2.9729200000000001E-2</v>
      </c>
      <c r="H25" s="16">
        <v>2.2464081</v>
      </c>
      <c r="I25" s="16">
        <v>1.1649072</v>
      </c>
      <c r="J25" s="3" t="s">
        <v>5011</v>
      </c>
      <c r="K25" s="16">
        <v>47.475096192400002</v>
      </c>
      <c r="L25" s="16">
        <v>5.5709856000000002</v>
      </c>
      <c r="M25" s="16">
        <f t="shared" si="0"/>
        <v>2.4799525963247731</v>
      </c>
    </row>
    <row r="26" spans="1:13" x14ac:dyDescent="0.25">
      <c r="A26" s="2">
        <f t="shared" si="1"/>
        <v>21</v>
      </c>
      <c r="B26" s="2">
        <v>58</v>
      </c>
      <c r="C26" s="2" t="s">
        <v>2532</v>
      </c>
      <c r="D26" s="14" t="s">
        <v>22</v>
      </c>
      <c r="E26" s="14">
        <v>2.8512804999999997</v>
      </c>
      <c r="F26" s="14">
        <v>0</v>
      </c>
      <c r="G26" s="14">
        <v>2.8512804999999997</v>
      </c>
      <c r="H26" s="16">
        <v>260.28209029999999</v>
      </c>
      <c r="I26" s="16">
        <v>154.36612020000001</v>
      </c>
      <c r="J26" s="3" t="s">
        <v>5011</v>
      </c>
      <c r="K26" s="16">
        <v>2771.4798177538014</v>
      </c>
      <c r="L26" s="16">
        <v>414.09881359999997</v>
      </c>
      <c r="M26" s="16">
        <f t="shared" si="0"/>
        <v>1.5909616106229649</v>
      </c>
    </row>
    <row r="27" spans="1:13" x14ac:dyDescent="0.25">
      <c r="A27" s="2">
        <f t="shared" si="1"/>
        <v>22</v>
      </c>
      <c r="B27" s="2">
        <v>59</v>
      </c>
      <c r="C27" s="2" t="s">
        <v>2533</v>
      </c>
      <c r="D27" s="14" t="s">
        <v>23</v>
      </c>
      <c r="E27" s="14">
        <v>0</v>
      </c>
      <c r="F27" s="14">
        <v>0</v>
      </c>
      <c r="G27" s="14">
        <v>0</v>
      </c>
      <c r="H27" s="16">
        <v>0</v>
      </c>
      <c r="I27" s="16">
        <v>0</v>
      </c>
      <c r="J27" s="3" t="s">
        <v>5011</v>
      </c>
      <c r="K27" s="16">
        <v>0</v>
      </c>
      <c r="L27" s="16">
        <v>0</v>
      </c>
      <c r="M27" s="16">
        <v>0</v>
      </c>
    </row>
    <row r="28" spans="1:13" x14ac:dyDescent="0.25">
      <c r="A28" s="2">
        <f t="shared" si="1"/>
        <v>23</v>
      </c>
      <c r="B28" s="2">
        <v>60</v>
      </c>
      <c r="C28" s="2" t="s">
        <v>2534</v>
      </c>
      <c r="D28" s="14" t="s">
        <v>24</v>
      </c>
      <c r="E28" s="14">
        <v>7.1581599999999995E-2</v>
      </c>
      <c r="F28" s="14">
        <v>0</v>
      </c>
      <c r="G28" s="14">
        <v>7.1581599999999995E-2</v>
      </c>
      <c r="H28" s="16">
        <v>7.7996100000000004</v>
      </c>
      <c r="I28" s="16">
        <v>7.7996100000000004</v>
      </c>
      <c r="J28" s="3" t="s">
        <v>5011</v>
      </c>
      <c r="K28" s="16">
        <v>99.133357603000007</v>
      </c>
      <c r="L28" s="16">
        <v>14.491022600000001</v>
      </c>
      <c r="M28" s="16">
        <f t="shared" si="0"/>
        <v>1.8579163060717139</v>
      </c>
    </row>
    <row r="29" spans="1:13" x14ac:dyDescent="0.25">
      <c r="A29" s="2">
        <f t="shared" si="1"/>
        <v>24</v>
      </c>
      <c r="B29" s="2">
        <v>76</v>
      </c>
      <c r="C29" s="2" t="s">
        <v>2535</v>
      </c>
      <c r="D29" s="14" t="s">
        <v>25</v>
      </c>
      <c r="E29" s="14">
        <v>0</v>
      </c>
      <c r="F29" s="14">
        <v>0</v>
      </c>
      <c r="G29" s="14">
        <v>0</v>
      </c>
      <c r="H29" s="16">
        <v>0</v>
      </c>
      <c r="I29" s="16">
        <v>0</v>
      </c>
      <c r="J29" s="3" t="s">
        <v>5011</v>
      </c>
      <c r="K29" s="16">
        <v>0</v>
      </c>
      <c r="L29" s="16">
        <v>0</v>
      </c>
      <c r="M29" s="16">
        <v>0</v>
      </c>
    </row>
    <row r="30" spans="1:13" x14ac:dyDescent="0.25">
      <c r="A30" s="2">
        <f t="shared" si="1"/>
        <v>25</v>
      </c>
      <c r="B30" s="2">
        <v>88</v>
      </c>
      <c r="C30" s="2" t="s">
        <v>2536</v>
      </c>
      <c r="D30" s="14" t="s">
        <v>26</v>
      </c>
      <c r="E30" s="14">
        <v>0</v>
      </c>
      <c r="F30" s="14">
        <v>0</v>
      </c>
      <c r="G30" s="14">
        <v>0</v>
      </c>
      <c r="H30" s="16">
        <v>0</v>
      </c>
      <c r="I30" s="16">
        <v>0</v>
      </c>
      <c r="J30" s="3" t="s">
        <v>5011</v>
      </c>
      <c r="K30" s="16">
        <v>0</v>
      </c>
      <c r="L30" s="16">
        <v>0</v>
      </c>
      <c r="M30" s="16">
        <v>0</v>
      </c>
    </row>
    <row r="31" spans="1:13" x14ac:dyDescent="0.25">
      <c r="A31" s="2">
        <f t="shared" si="1"/>
        <v>26</v>
      </c>
      <c r="B31" s="2">
        <v>98</v>
      </c>
      <c r="C31" s="2" t="s">
        <v>2537</v>
      </c>
      <c r="D31" s="14" t="s">
        <v>27</v>
      </c>
      <c r="E31" s="14">
        <v>42.268061600000003</v>
      </c>
      <c r="F31" s="14">
        <v>0</v>
      </c>
      <c r="G31" s="14">
        <v>42.268061600000003</v>
      </c>
      <c r="H31" s="16">
        <v>3731.2426430999999</v>
      </c>
      <c r="I31" s="16">
        <v>2810.3196100999999</v>
      </c>
      <c r="J31" s="3" t="s">
        <v>5011</v>
      </c>
      <c r="K31" s="16">
        <v>39974.031589570768</v>
      </c>
      <c r="L31" s="16">
        <v>5764.8421473999997</v>
      </c>
      <c r="M31" s="16">
        <f t="shared" si="0"/>
        <v>1.5450193672235799</v>
      </c>
    </row>
    <row r="32" spans="1:13" x14ac:dyDescent="0.25">
      <c r="A32" s="2">
        <f t="shared" si="1"/>
        <v>27</v>
      </c>
      <c r="B32" s="2">
        <v>132</v>
      </c>
      <c r="C32" s="2" t="s">
        <v>2538</v>
      </c>
      <c r="D32" s="14" t="s">
        <v>28</v>
      </c>
      <c r="E32" s="14">
        <v>0</v>
      </c>
      <c r="F32" s="14">
        <v>0</v>
      </c>
      <c r="G32" s="14">
        <v>0</v>
      </c>
      <c r="H32" s="16">
        <v>0</v>
      </c>
      <c r="I32" s="16">
        <v>0</v>
      </c>
      <c r="J32" s="3" t="s">
        <v>5011</v>
      </c>
      <c r="K32" s="16">
        <v>0</v>
      </c>
      <c r="L32" s="16">
        <v>0</v>
      </c>
      <c r="M32" s="16">
        <v>0</v>
      </c>
    </row>
    <row r="33" spans="1:13" x14ac:dyDescent="0.25">
      <c r="A33" s="2">
        <f t="shared" si="1"/>
        <v>28</v>
      </c>
      <c r="B33" s="2">
        <v>133</v>
      </c>
      <c r="C33" s="2" t="s">
        <v>2539</v>
      </c>
      <c r="D33" s="14" t="s">
        <v>29</v>
      </c>
      <c r="E33" s="14">
        <v>0</v>
      </c>
      <c r="F33" s="14">
        <v>0</v>
      </c>
      <c r="G33" s="14">
        <v>0</v>
      </c>
      <c r="H33" s="16">
        <v>0</v>
      </c>
      <c r="I33" s="16">
        <v>0</v>
      </c>
      <c r="J33" s="3" t="s">
        <v>5011</v>
      </c>
      <c r="K33" s="16">
        <v>0</v>
      </c>
      <c r="L33" s="16">
        <v>0</v>
      </c>
      <c r="M33" s="16">
        <v>0</v>
      </c>
    </row>
    <row r="34" spans="1:13" x14ac:dyDescent="0.25">
      <c r="A34" s="2">
        <f t="shared" si="1"/>
        <v>29</v>
      </c>
      <c r="B34" s="2">
        <v>135</v>
      </c>
      <c r="C34" s="2" t="s">
        <v>2540</v>
      </c>
      <c r="D34" s="14" t="s">
        <v>30</v>
      </c>
      <c r="E34" s="14">
        <v>26.129825400000001</v>
      </c>
      <c r="F34" s="14">
        <v>0</v>
      </c>
      <c r="G34" s="14">
        <v>26.129825400000001</v>
      </c>
      <c r="H34" s="16">
        <v>1972.586687</v>
      </c>
      <c r="I34" s="16">
        <v>968.88268409999978</v>
      </c>
      <c r="J34" s="3" t="s">
        <v>5011</v>
      </c>
      <c r="K34" s="16">
        <v>23607.035772518808</v>
      </c>
      <c r="L34" s="16">
        <v>3058.4218176999998</v>
      </c>
      <c r="M34" s="16">
        <f t="shared" si="0"/>
        <v>1.5504625666674186</v>
      </c>
    </row>
    <row r="35" spans="1:13" x14ac:dyDescent="0.25">
      <c r="A35" s="2">
        <f t="shared" si="1"/>
        <v>30</v>
      </c>
      <c r="B35" s="2">
        <v>139</v>
      </c>
      <c r="C35" s="2" t="s">
        <v>2541</v>
      </c>
      <c r="D35" s="14" t="s">
        <v>31</v>
      </c>
      <c r="E35" s="14">
        <v>0</v>
      </c>
      <c r="F35" s="14">
        <v>0</v>
      </c>
      <c r="G35" s="14">
        <v>0</v>
      </c>
      <c r="H35" s="16">
        <v>0</v>
      </c>
      <c r="I35" s="16">
        <v>0</v>
      </c>
      <c r="J35" s="3" t="s">
        <v>5011</v>
      </c>
      <c r="K35" s="16">
        <v>0</v>
      </c>
      <c r="L35" s="16">
        <v>0</v>
      </c>
      <c r="M35" s="16">
        <v>0</v>
      </c>
    </row>
    <row r="36" spans="1:13" x14ac:dyDescent="0.25">
      <c r="A36" s="2">
        <f t="shared" si="1"/>
        <v>31</v>
      </c>
      <c r="B36" s="2">
        <v>155</v>
      </c>
      <c r="C36" s="2" t="s">
        <v>2542</v>
      </c>
      <c r="D36" s="14" t="s">
        <v>32</v>
      </c>
      <c r="E36" s="14">
        <v>1292.7186145999999</v>
      </c>
      <c r="F36" s="14">
        <v>0</v>
      </c>
      <c r="G36" s="14">
        <v>1292.7186145999999</v>
      </c>
      <c r="H36" s="16">
        <v>74161.789041700002</v>
      </c>
      <c r="I36" s="16">
        <v>55864.6627783</v>
      </c>
      <c r="J36" s="3" t="s">
        <v>5011</v>
      </c>
      <c r="K36" s="16">
        <v>1178812.8980561807</v>
      </c>
      <c r="L36" s="16">
        <v>154891.48643670001</v>
      </c>
      <c r="M36" s="16">
        <f t="shared" si="0"/>
        <v>2.0885618920224132</v>
      </c>
    </row>
    <row r="37" spans="1:13" x14ac:dyDescent="0.25">
      <c r="A37" s="2">
        <f t="shared" si="1"/>
        <v>32</v>
      </c>
      <c r="B37" s="2">
        <v>158</v>
      </c>
      <c r="C37" s="2" t="s">
        <v>2543</v>
      </c>
      <c r="D37" s="14" t="s">
        <v>33</v>
      </c>
      <c r="E37" s="14">
        <v>1.1486400000000001E-2</v>
      </c>
      <c r="F37" s="14">
        <v>0</v>
      </c>
      <c r="G37" s="14">
        <v>1.1486400000000001E-2</v>
      </c>
      <c r="H37" s="16">
        <v>1.1499425000000001</v>
      </c>
      <c r="I37" s="16">
        <v>1.1499425000000001</v>
      </c>
      <c r="J37" s="3" t="s">
        <v>5011</v>
      </c>
      <c r="K37" s="16">
        <v>11.455290055600003</v>
      </c>
      <c r="L37" s="16">
        <v>2.1240167000000003</v>
      </c>
      <c r="M37" s="16">
        <f t="shared" si="0"/>
        <v>1.8470633966480934</v>
      </c>
    </row>
    <row r="38" spans="1:13" x14ac:dyDescent="0.25">
      <c r="A38" s="2">
        <f t="shared" si="1"/>
        <v>33</v>
      </c>
      <c r="B38" s="2">
        <v>159</v>
      </c>
      <c r="C38" s="2" t="s">
        <v>2544</v>
      </c>
      <c r="D38" s="14" t="s">
        <v>34</v>
      </c>
      <c r="E38" s="14">
        <v>3.8150600000000007E-2</v>
      </c>
      <c r="F38" s="14">
        <v>0</v>
      </c>
      <c r="G38" s="14">
        <v>3.8150600000000007E-2</v>
      </c>
      <c r="H38" s="16">
        <v>12.3544091</v>
      </c>
      <c r="I38" s="16">
        <v>11.654373099999999</v>
      </c>
      <c r="J38" s="3" t="s">
        <v>5011</v>
      </c>
      <c r="K38" s="16">
        <v>42.67907432669999</v>
      </c>
      <c r="L38" s="16">
        <v>13.827122900000001</v>
      </c>
      <c r="M38" s="16">
        <f t="shared" si="0"/>
        <v>1.1192055231520543</v>
      </c>
    </row>
    <row r="39" spans="1:13" x14ac:dyDescent="0.25">
      <c r="A39" s="2">
        <f t="shared" si="1"/>
        <v>34</v>
      </c>
      <c r="B39" s="2">
        <v>162</v>
      </c>
      <c r="C39" s="2" t="s">
        <v>2545</v>
      </c>
      <c r="D39" s="14" t="s">
        <v>35</v>
      </c>
      <c r="E39" s="14">
        <v>0</v>
      </c>
      <c r="F39" s="14">
        <v>0</v>
      </c>
      <c r="G39" s="14">
        <v>0</v>
      </c>
      <c r="H39" s="16">
        <v>0</v>
      </c>
      <c r="I39" s="16">
        <v>0</v>
      </c>
      <c r="J39" s="3" t="s">
        <v>5011</v>
      </c>
      <c r="K39" s="16">
        <v>0</v>
      </c>
      <c r="L39" s="16">
        <v>0</v>
      </c>
      <c r="M39" s="16">
        <v>0</v>
      </c>
    </row>
    <row r="40" spans="1:13" x14ac:dyDescent="0.25">
      <c r="A40" s="2">
        <f t="shared" si="1"/>
        <v>35</v>
      </c>
      <c r="B40" s="2">
        <v>163</v>
      </c>
      <c r="C40" s="2" t="s">
        <v>2546</v>
      </c>
      <c r="D40" s="14" t="s">
        <v>36</v>
      </c>
      <c r="E40" s="14">
        <v>4.2822362000000007</v>
      </c>
      <c r="F40" s="14">
        <v>0</v>
      </c>
      <c r="G40" s="14">
        <v>4.2822362000000007</v>
      </c>
      <c r="H40" s="16">
        <v>398.88723640000001</v>
      </c>
      <c r="I40" s="16">
        <v>396.71103350000004</v>
      </c>
      <c r="J40" s="3" t="s">
        <v>5011</v>
      </c>
      <c r="K40" s="16">
        <v>4162.5520435445005</v>
      </c>
      <c r="L40" s="16">
        <v>705.8767077</v>
      </c>
      <c r="M40" s="16">
        <f t="shared" si="0"/>
        <v>1.7696146762443763</v>
      </c>
    </row>
    <row r="41" spans="1:13" x14ac:dyDescent="0.25">
      <c r="A41" s="2">
        <f t="shared" si="1"/>
        <v>36</v>
      </c>
      <c r="B41" s="2">
        <v>164</v>
      </c>
      <c r="C41" s="2" t="s">
        <v>2547</v>
      </c>
      <c r="D41" s="14" t="s">
        <v>37</v>
      </c>
      <c r="E41" s="14">
        <v>5.7436082000000006</v>
      </c>
      <c r="F41" s="14">
        <v>0</v>
      </c>
      <c r="G41" s="14">
        <v>5.7436082000000006</v>
      </c>
      <c r="H41" s="16">
        <v>670.16188669999997</v>
      </c>
      <c r="I41" s="16">
        <v>539.37635929999999</v>
      </c>
      <c r="J41" s="3" t="s">
        <v>5011</v>
      </c>
      <c r="K41" s="16">
        <v>5728.6480763040981</v>
      </c>
      <c r="L41" s="16">
        <v>974.75410150000005</v>
      </c>
      <c r="M41" s="16">
        <f t="shared" si="0"/>
        <v>1.4545054274868838</v>
      </c>
    </row>
    <row r="42" spans="1:13" x14ac:dyDescent="0.25">
      <c r="A42" s="2">
        <f t="shared" si="1"/>
        <v>37</v>
      </c>
      <c r="B42" s="2">
        <v>165</v>
      </c>
      <c r="C42" s="2" t="s">
        <v>2548</v>
      </c>
      <c r="D42" s="14" t="s">
        <v>38</v>
      </c>
      <c r="E42" s="14">
        <v>0.12505439999999998</v>
      </c>
      <c r="F42" s="14">
        <v>0</v>
      </c>
      <c r="G42" s="14">
        <v>0.12505439999999998</v>
      </c>
      <c r="H42" s="16">
        <v>28.108594500000002</v>
      </c>
      <c r="I42" s="16">
        <v>28.108594500000002</v>
      </c>
      <c r="J42" s="3" t="s">
        <v>5011</v>
      </c>
      <c r="K42" s="16">
        <v>174.21331868060003</v>
      </c>
      <c r="L42" s="16">
        <v>37.4062901</v>
      </c>
      <c r="M42" s="16">
        <f t="shared" si="0"/>
        <v>1.3307776772687798</v>
      </c>
    </row>
    <row r="43" spans="1:13" x14ac:dyDescent="0.25">
      <c r="A43" s="2">
        <f t="shared" si="1"/>
        <v>38</v>
      </c>
      <c r="B43" s="2">
        <v>166</v>
      </c>
      <c r="C43" s="2" t="s">
        <v>2549</v>
      </c>
      <c r="D43" s="14" t="s">
        <v>39</v>
      </c>
      <c r="E43" s="14">
        <v>0</v>
      </c>
      <c r="F43" s="14">
        <v>0</v>
      </c>
      <c r="G43" s="14">
        <v>0</v>
      </c>
      <c r="H43" s="16">
        <v>0</v>
      </c>
      <c r="I43" s="16">
        <v>0</v>
      </c>
      <c r="J43" s="3" t="s">
        <v>5011</v>
      </c>
      <c r="K43" s="16">
        <v>0</v>
      </c>
      <c r="L43" s="16">
        <v>0</v>
      </c>
      <c r="M43" s="16">
        <v>0</v>
      </c>
    </row>
    <row r="44" spans="1:13" x14ac:dyDescent="0.25">
      <c r="A44" s="2">
        <f t="shared" si="1"/>
        <v>39</v>
      </c>
      <c r="B44" s="2">
        <v>167</v>
      </c>
      <c r="C44" s="2" t="s">
        <v>2550</v>
      </c>
      <c r="D44" s="14" t="s">
        <v>40</v>
      </c>
      <c r="E44" s="14">
        <v>0</v>
      </c>
      <c r="F44" s="14">
        <v>0</v>
      </c>
      <c r="G44" s="14">
        <v>0</v>
      </c>
      <c r="H44" s="16">
        <v>0</v>
      </c>
      <c r="I44" s="16">
        <v>0</v>
      </c>
      <c r="J44" s="3" t="s">
        <v>5011</v>
      </c>
      <c r="K44" s="16">
        <v>0</v>
      </c>
      <c r="L44" s="16">
        <v>0</v>
      </c>
      <c r="M44" s="16">
        <v>0</v>
      </c>
    </row>
    <row r="45" spans="1:13" x14ac:dyDescent="0.25">
      <c r="A45" s="2">
        <f t="shared" si="1"/>
        <v>40</v>
      </c>
      <c r="B45" s="2">
        <v>172</v>
      </c>
      <c r="C45" s="2" t="s">
        <v>2551</v>
      </c>
      <c r="D45" s="14" t="s">
        <v>41</v>
      </c>
      <c r="E45" s="14">
        <v>0</v>
      </c>
      <c r="F45" s="14">
        <v>0</v>
      </c>
      <c r="G45" s="14">
        <v>0</v>
      </c>
      <c r="H45" s="16">
        <v>0</v>
      </c>
      <c r="I45" s="16">
        <v>0</v>
      </c>
      <c r="J45" s="3" t="s">
        <v>5011</v>
      </c>
      <c r="K45" s="16">
        <v>0</v>
      </c>
      <c r="L45" s="16">
        <v>0</v>
      </c>
      <c r="M45" s="16">
        <v>0</v>
      </c>
    </row>
    <row r="46" spans="1:13" x14ac:dyDescent="0.25">
      <c r="A46" s="2">
        <f t="shared" si="1"/>
        <v>41</v>
      </c>
      <c r="B46" s="2">
        <v>183</v>
      </c>
      <c r="C46" s="2" t="s">
        <v>2552</v>
      </c>
      <c r="D46" s="14" t="s">
        <v>42</v>
      </c>
      <c r="E46" s="14">
        <v>2.1827999999999997E-2</v>
      </c>
      <c r="F46" s="14">
        <v>0</v>
      </c>
      <c r="G46" s="14">
        <v>2.1827999999999997E-2</v>
      </c>
      <c r="H46" s="16">
        <v>15.304235</v>
      </c>
      <c r="I46" s="16">
        <v>13.554235</v>
      </c>
      <c r="J46" s="3" t="s">
        <v>5011</v>
      </c>
      <c r="K46" s="16">
        <v>56.983611266899999</v>
      </c>
      <c r="L46" s="16">
        <v>15.183591999999999</v>
      </c>
      <c r="M46" s="16">
        <f t="shared" si="0"/>
        <v>0.99211701858995227</v>
      </c>
    </row>
    <row r="47" spans="1:13" x14ac:dyDescent="0.25">
      <c r="A47" s="2">
        <f t="shared" si="1"/>
        <v>42</v>
      </c>
      <c r="B47" s="2">
        <v>185</v>
      </c>
      <c r="C47" s="2" t="s">
        <v>2553</v>
      </c>
      <c r="D47" s="14" t="s">
        <v>43</v>
      </c>
      <c r="E47" s="14">
        <v>0</v>
      </c>
      <c r="F47" s="14">
        <v>0</v>
      </c>
      <c r="G47" s="14">
        <v>0</v>
      </c>
      <c r="H47" s="16">
        <v>0</v>
      </c>
      <c r="I47" s="16">
        <v>0</v>
      </c>
      <c r="J47" s="3" t="s">
        <v>5011</v>
      </c>
      <c r="K47" s="16">
        <v>0</v>
      </c>
      <c r="L47" s="16">
        <v>0</v>
      </c>
      <c r="M47" s="16">
        <v>0</v>
      </c>
    </row>
    <row r="48" spans="1:13" x14ac:dyDescent="0.25">
      <c r="A48" s="2">
        <f t="shared" si="1"/>
        <v>43</v>
      </c>
      <c r="B48" s="2">
        <v>186</v>
      </c>
      <c r="C48" s="2" t="s">
        <v>2554</v>
      </c>
      <c r="D48" s="14" t="s">
        <v>44</v>
      </c>
      <c r="E48" s="14">
        <v>8.4154571000000011</v>
      </c>
      <c r="F48" s="14">
        <v>0</v>
      </c>
      <c r="G48" s="14">
        <v>8.4154571000000011</v>
      </c>
      <c r="H48" s="16">
        <v>823.90171139999995</v>
      </c>
      <c r="I48" s="16">
        <v>691.84866790000001</v>
      </c>
      <c r="J48" s="3" t="s">
        <v>5011</v>
      </c>
      <c r="K48" s="16">
        <v>8217.6566713064021</v>
      </c>
      <c r="L48" s="16">
        <v>1326.9661192000001</v>
      </c>
      <c r="M48" s="16">
        <f t="shared" si="0"/>
        <v>1.610587890326356</v>
      </c>
    </row>
    <row r="49" spans="1:13" x14ac:dyDescent="0.25">
      <c r="A49" s="2">
        <f t="shared" si="1"/>
        <v>44</v>
      </c>
      <c r="B49" s="2">
        <v>189</v>
      </c>
      <c r="C49" s="2" t="s">
        <v>2555</v>
      </c>
      <c r="D49" s="14" t="s">
        <v>45</v>
      </c>
      <c r="E49" s="14">
        <v>3.9742382000000003</v>
      </c>
      <c r="F49" s="14">
        <v>0</v>
      </c>
      <c r="G49" s="14">
        <v>3.9742382000000003</v>
      </c>
      <c r="H49" s="16">
        <v>632.92796869999995</v>
      </c>
      <c r="I49" s="16">
        <v>422.31064750000002</v>
      </c>
      <c r="J49" s="3" t="s">
        <v>5011</v>
      </c>
      <c r="K49" s="16">
        <v>4570.5507027420008</v>
      </c>
      <c r="L49" s="16">
        <v>697.34756730000004</v>
      </c>
      <c r="M49" s="16">
        <f t="shared" si="0"/>
        <v>1.1017803001063684</v>
      </c>
    </row>
    <row r="50" spans="1:13" x14ac:dyDescent="0.25">
      <c r="A50" s="2">
        <f t="shared" si="1"/>
        <v>45</v>
      </c>
      <c r="B50" s="2">
        <v>203</v>
      </c>
      <c r="C50" s="2" t="s">
        <v>2556</v>
      </c>
      <c r="D50" s="14" t="s">
        <v>46</v>
      </c>
      <c r="E50" s="14">
        <v>9.8487999999999996E-3</v>
      </c>
      <c r="F50" s="14">
        <v>0</v>
      </c>
      <c r="G50" s="14">
        <v>9.8487999999999996E-3</v>
      </c>
      <c r="H50" s="16">
        <v>1.0372775000000001</v>
      </c>
      <c r="I50" s="16">
        <v>-5.1600000000034925E-5</v>
      </c>
      <c r="J50" s="3" t="s">
        <v>5011</v>
      </c>
      <c r="K50" s="16">
        <v>13.2267322715</v>
      </c>
      <c r="L50" s="16">
        <v>1.2690138</v>
      </c>
      <c r="M50" s="16">
        <f t="shared" si="0"/>
        <v>1.2234082007948692</v>
      </c>
    </row>
    <row r="51" spans="1:13" x14ac:dyDescent="0.25">
      <c r="A51" s="2">
        <f t="shared" si="1"/>
        <v>46</v>
      </c>
      <c r="B51" s="2">
        <v>206</v>
      </c>
      <c r="C51" s="2" t="s">
        <v>2557</v>
      </c>
      <c r="D51" s="14" t="s">
        <v>47</v>
      </c>
      <c r="E51" s="14">
        <v>0</v>
      </c>
      <c r="F51" s="14">
        <v>0</v>
      </c>
      <c r="G51" s="14">
        <v>0</v>
      </c>
      <c r="H51" s="16">
        <v>0</v>
      </c>
      <c r="I51" s="16">
        <v>0</v>
      </c>
      <c r="J51" s="3" t="s">
        <v>5011</v>
      </c>
      <c r="K51" s="16">
        <v>0</v>
      </c>
      <c r="L51" s="16">
        <v>0</v>
      </c>
      <c r="M51" s="16">
        <v>0</v>
      </c>
    </row>
    <row r="52" spans="1:13" x14ac:dyDescent="0.25">
      <c r="A52" s="2">
        <f t="shared" si="1"/>
        <v>47</v>
      </c>
      <c r="B52" s="2">
        <v>209</v>
      </c>
      <c r="C52" s="2" t="s">
        <v>2558</v>
      </c>
      <c r="D52" s="14" t="s">
        <v>48</v>
      </c>
      <c r="E52" s="14">
        <v>10.289736899999999</v>
      </c>
      <c r="F52" s="14">
        <v>0</v>
      </c>
      <c r="G52" s="14">
        <v>10.289736899999999</v>
      </c>
      <c r="H52" s="16">
        <v>330.95561229999998</v>
      </c>
      <c r="I52" s="16">
        <v>242.85132190000002</v>
      </c>
      <c r="J52" s="3" t="s">
        <v>5011</v>
      </c>
      <c r="K52" s="16">
        <v>8098.3608683650973</v>
      </c>
      <c r="L52" s="16">
        <v>935.80672150000009</v>
      </c>
      <c r="M52" s="16">
        <f t="shared" si="0"/>
        <v>2.8275898238937347</v>
      </c>
    </row>
    <row r="53" spans="1:13" x14ac:dyDescent="0.25">
      <c r="A53" s="2">
        <f t="shared" si="1"/>
        <v>48</v>
      </c>
      <c r="B53" s="2">
        <v>219</v>
      </c>
      <c r="C53" s="2" t="s">
        <v>2559</v>
      </c>
      <c r="D53" s="14" t="s">
        <v>49</v>
      </c>
      <c r="E53" s="14">
        <v>1.3219881</v>
      </c>
      <c r="F53" s="14">
        <v>0</v>
      </c>
      <c r="G53" s="14">
        <v>1.3219881</v>
      </c>
      <c r="H53" s="16">
        <v>135.01318739999999</v>
      </c>
      <c r="I53" s="16">
        <v>75.138249300000012</v>
      </c>
      <c r="J53" s="3" t="s">
        <v>5011</v>
      </c>
      <c r="K53" s="16">
        <v>1658.0072498884001</v>
      </c>
      <c r="L53" s="16">
        <v>201.91764480000001</v>
      </c>
      <c r="M53" s="16">
        <f t="shared" si="0"/>
        <v>1.4955401667674428</v>
      </c>
    </row>
    <row r="54" spans="1:13" x14ac:dyDescent="0.25">
      <c r="A54" s="2">
        <f t="shared" si="1"/>
        <v>49</v>
      </c>
      <c r="B54" s="2">
        <v>230</v>
      </c>
      <c r="C54" s="2" t="s">
        <v>2560</v>
      </c>
      <c r="D54" s="14" t="s">
        <v>50</v>
      </c>
      <c r="E54" s="14">
        <v>0</v>
      </c>
      <c r="F54" s="14">
        <v>0</v>
      </c>
      <c r="G54" s="14">
        <v>0</v>
      </c>
      <c r="H54" s="16">
        <v>0</v>
      </c>
      <c r="I54" s="16">
        <v>0</v>
      </c>
      <c r="J54" s="3" t="s">
        <v>5011</v>
      </c>
      <c r="K54" s="16">
        <v>0</v>
      </c>
      <c r="L54" s="16">
        <v>0</v>
      </c>
      <c r="M54" s="16">
        <v>0</v>
      </c>
    </row>
    <row r="55" spans="1:13" x14ac:dyDescent="0.25">
      <c r="A55" s="2">
        <f t="shared" si="1"/>
        <v>50</v>
      </c>
      <c r="B55" s="2">
        <v>234</v>
      </c>
      <c r="C55" s="2" t="s">
        <v>2561</v>
      </c>
      <c r="D55" s="14" t="s">
        <v>51</v>
      </c>
      <c r="E55" s="14">
        <v>1.61052E-2</v>
      </c>
      <c r="F55" s="14">
        <v>0</v>
      </c>
      <c r="G55" s="14">
        <v>1.61052E-2</v>
      </c>
      <c r="H55" s="16">
        <v>4.8997549999999999</v>
      </c>
      <c r="I55" s="16">
        <v>4.8997549999999999</v>
      </c>
      <c r="J55" s="3" t="s">
        <v>5011</v>
      </c>
      <c r="K55" s="16">
        <v>23.0152800179</v>
      </c>
      <c r="L55" s="16">
        <v>5.8216105000000002</v>
      </c>
      <c r="M55" s="16">
        <f t="shared" si="0"/>
        <v>1.1881431826693376</v>
      </c>
    </row>
    <row r="56" spans="1:13" x14ac:dyDescent="0.25">
      <c r="A56" s="2">
        <f t="shared" si="1"/>
        <v>51</v>
      </c>
      <c r="B56" s="2">
        <v>243</v>
      </c>
      <c r="C56" s="2" t="s">
        <v>2562</v>
      </c>
      <c r="D56" s="14" t="s">
        <v>52</v>
      </c>
      <c r="E56" s="14">
        <v>3.9391000000000001E-3</v>
      </c>
      <c r="F56" s="14">
        <v>0</v>
      </c>
      <c r="G56" s="14">
        <v>3.9391000000000001E-3</v>
      </c>
      <c r="H56" s="16">
        <v>2.0498975000000002</v>
      </c>
      <c r="I56" s="16">
        <v>2.0498975000000002</v>
      </c>
      <c r="J56" s="3" t="s">
        <v>5011</v>
      </c>
      <c r="K56" s="16">
        <v>3.6038779973000001</v>
      </c>
      <c r="L56" s="16">
        <v>2.042106</v>
      </c>
      <c r="M56" s="16">
        <f t="shared" si="0"/>
        <v>0.99619907824659515</v>
      </c>
    </row>
    <row r="57" spans="1:13" x14ac:dyDescent="0.25">
      <c r="A57" s="2">
        <f t="shared" si="1"/>
        <v>52</v>
      </c>
      <c r="B57" s="2">
        <v>244</v>
      </c>
      <c r="C57" s="2" t="s">
        <v>2563</v>
      </c>
      <c r="D57" s="14" t="s">
        <v>53</v>
      </c>
      <c r="E57" s="14">
        <v>0</v>
      </c>
      <c r="F57" s="14">
        <v>0</v>
      </c>
      <c r="G57" s="14">
        <v>0</v>
      </c>
      <c r="H57" s="16">
        <v>0</v>
      </c>
      <c r="I57" s="16">
        <v>0</v>
      </c>
      <c r="J57" s="3" t="s">
        <v>5011</v>
      </c>
      <c r="K57" s="16">
        <v>0</v>
      </c>
      <c r="L57" s="16">
        <v>0</v>
      </c>
      <c r="M57" s="16">
        <v>0</v>
      </c>
    </row>
    <row r="58" spans="1:13" x14ac:dyDescent="0.25">
      <c r="A58" s="2">
        <f t="shared" si="1"/>
        <v>53</v>
      </c>
      <c r="B58" s="2">
        <v>262</v>
      </c>
      <c r="C58" s="2" t="s">
        <v>2564</v>
      </c>
      <c r="D58" s="14" t="s">
        <v>54</v>
      </c>
      <c r="E58" s="14">
        <v>10.830256599999998</v>
      </c>
      <c r="F58" s="14">
        <v>0</v>
      </c>
      <c r="G58" s="14">
        <v>10.830256599999998</v>
      </c>
      <c r="H58" s="16">
        <v>949.42029909999997</v>
      </c>
      <c r="I58" s="16">
        <v>584.49068379999994</v>
      </c>
      <c r="J58" s="3" t="s">
        <v>5011</v>
      </c>
      <c r="K58" s="16">
        <v>11152.990796986702</v>
      </c>
      <c r="L58" s="16">
        <v>1507.1829459</v>
      </c>
      <c r="M58" s="16">
        <f t="shared" si="0"/>
        <v>1.5874770608219873</v>
      </c>
    </row>
    <row r="59" spans="1:13" x14ac:dyDescent="0.25">
      <c r="A59" s="2">
        <f t="shared" si="1"/>
        <v>54</v>
      </c>
      <c r="B59" s="2">
        <v>280</v>
      </c>
      <c r="C59" s="2" t="s">
        <v>2565</v>
      </c>
      <c r="D59" s="14" t="s">
        <v>55</v>
      </c>
      <c r="E59" s="14">
        <v>0</v>
      </c>
      <c r="F59" s="14">
        <v>0</v>
      </c>
      <c r="G59" s="14">
        <v>0</v>
      </c>
      <c r="H59" s="16">
        <v>0</v>
      </c>
      <c r="I59" s="16">
        <v>0</v>
      </c>
      <c r="J59" s="3" t="s">
        <v>5011</v>
      </c>
      <c r="K59" s="16">
        <v>0</v>
      </c>
      <c r="L59" s="16">
        <v>0</v>
      </c>
      <c r="M59" s="16">
        <v>0</v>
      </c>
    </row>
    <row r="60" spans="1:13" x14ac:dyDescent="0.25">
      <c r="A60" s="2">
        <f t="shared" si="1"/>
        <v>55</v>
      </c>
      <c r="B60" s="2">
        <v>307</v>
      </c>
      <c r="C60" s="2" t="s">
        <v>2566</v>
      </c>
      <c r="D60" s="14" t="s">
        <v>56</v>
      </c>
      <c r="E60" s="14">
        <v>0</v>
      </c>
      <c r="F60" s="14">
        <v>0</v>
      </c>
      <c r="G60" s="14">
        <v>0</v>
      </c>
      <c r="H60" s="16">
        <v>0</v>
      </c>
      <c r="I60" s="16">
        <v>0</v>
      </c>
      <c r="J60" s="3" t="s">
        <v>5011</v>
      </c>
      <c r="K60" s="16">
        <v>0</v>
      </c>
      <c r="L60" s="16">
        <v>0</v>
      </c>
      <c r="M60" s="16">
        <v>0</v>
      </c>
    </row>
    <row r="61" spans="1:13" x14ac:dyDescent="0.25">
      <c r="A61" s="2">
        <f t="shared" si="1"/>
        <v>56</v>
      </c>
      <c r="B61" s="2">
        <v>309</v>
      </c>
      <c r="C61" s="2" t="s">
        <v>2567</v>
      </c>
      <c r="D61" s="14" t="s">
        <v>57</v>
      </c>
      <c r="E61" s="14">
        <v>0</v>
      </c>
      <c r="F61" s="14">
        <v>0</v>
      </c>
      <c r="G61" s="14">
        <v>0</v>
      </c>
      <c r="H61" s="16">
        <v>0</v>
      </c>
      <c r="I61" s="16">
        <v>0</v>
      </c>
      <c r="J61" s="3" t="s">
        <v>5011</v>
      </c>
      <c r="K61" s="16">
        <v>0</v>
      </c>
      <c r="L61" s="16">
        <v>0</v>
      </c>
      <c r="M61" s="16">
        <v>0</v>
      </c>
    </row>
    <row r="62" spans="1:13" x14ac:dyDescent="0.25">
      <c r="A62" s="2">
        <f t="shared" si="1"/>
        <v>57</v>
      </c>
      <c r="B62" s="2">
        <v>337</v>
      </c>
      <c r="C62" s="2" t="s">
        <v>2568</v>
      </c>
      <c r="D62" s="14" t="s">
        <v>58</v>
      </c>
      <c r="E62" s="14">
        <v>0</v>
      </c>
      <c r="F62" s="14">
        <v>0</v>
      </c>
      <c r="G62" s="14">
        <v>0</v>
      </c>
      <c r="H62" s="16">
        <v>0</v>
      </c>
      <c r="I62" s="16">
        <v>0</v>
      </c>
      <c r="J62" s="3" t="s">
        <v>5011</v>
      </c>
      <c r="K62" s="16">
        <v>0</v>
      </c>
      <c r="L62" s="16">
        <v>0</v>
      </c>
      <c r="M62" s="16">
        <v>0</v>
      </c>
    </row>
    <row r="63" spans="1:13" x14ac:dyDescent="0.25">
      <c r="A63" s="2">
        <f t="shared" si="1"/>
        <v>58</v>
      </c>
      <c r="B63" s="2">
        <v>342</v>
      </c>
      <c r="C63" s="2" t="s">
        <v>2569</v>
      </c>
      <c r="D63" s="14" t="s">
        <v>59</v>
      </c>
      <c r="E63" s="14">
        <v>1.6627346000000003</v>
      </c>
      <c r="F63" s="14">
        <v>0</v>
      </c>
      <c r="G63" s="14">
        <v>1.6627346000000003</v>
      </c>
      <c r="H63" s="16">
        <v>364.4523514</v>
      </c>
      <c r="I63" s="16">
        <v>204.70611579999999</v>
      </c>
      <c r="J63" s="3" t="s">
        <v>5011</v>
      </c>
      <c r="K63" s="16">
        <v>2106.2660861472991</v>
      </c>
      <c r="L63" s="16">
        <v>291.26418539999997</v>
      </c>
      <c r="M63" s="16">
        <f t="shared" si="0"/>
        <v>0.79918316970968506</v>
      </c>
    </row>
    <row r="64" spans="1:13" x14ac:dyDescent="0.25">
      <c r="A64" s="2">
        <f t="shared" si="1"/>
        <v>59</v>
      </c>
      <c r="B64" s="2">
        <v>353</v>
      </c>
      <c r="C64" s="2" t="s">
        <v>2570</v>
      </c>
      <c r="D64" s="14" t="s">
        <v>60</v>
      </c>
      <c r="E64" s="14">
        <v>0</v>
      </c>
      <c r="F64" s="14">
        <v>0</v>
      </c>
      <c r="G64" s="14">
        <v>0</v>
      </c>
      <c r="H64" s="16">
        <v>0</v>
      </c>
      <c r="I64" s="16">
        <v>0</v>
      </c>
      <c r="J64" s="3" t="s">
        <v>5011</v>
      </c>
      <c r="K64" s="16">
        <v>43.1971621486</v>
      </c>
      <c r="L64" s="16">
        <v>0.39620759999999999</v>
      </c>
      <c r="M64" s="16">
        <v>0</v>
      </c>
    </row>
    <row r="65" spans="1:13" x14ac:dyDescent="0.25">
      <c r="A65" s="2">
        <f t="shared" si="1"/>
        <v>60</v>
      </c>
      <c r="B65" s="2">
        <v>354</v>
      </c>
      <c r="C65" s="2" t="s">
        <v>2571</v>
      </c>
      <c r="D65" s="14" t="s">
        <v>61</v>
      </c>
      <c r="E65" s="14">
        <v>1.6030099999999999E-2</v>
      </c>
      <c r="F65" s="14">
        <v>0</v>
      </c>
      <c r="G65" s="14">
        <v>1.6030099999999999E-2</v>
      </c>
      <c r="H65" s="16">
        <v>0</v>
      </c>
      <c r="I65" s="16">
        <v>-1.4748764000000001</v>
      </c>
      <c r="J65" s="3" t="s">
        <v>5011</v>
      </c>
      <c r="K65" s="16">
        <v>112.79099194369998</v>
      </c>
      <c r="L65" s="16">
        <v>11.802878400000001</v>
      </c>
      <c r="M65" s="16">
        <v>0</v>
      </c>
    </row>
    <row r="66" spans="1:13" x14ac:dyDescent="0.25">
      <c r="A66" s="2">
        <f t="shared" si="1"/>
        <v>61</v>
      </c>
      <c r="B66" s="2">
        <v>358</v>
      </c>
      <c r="C66" s="2" t="s">
        <v>2572</v>
      </c>
      <c r="D66" s="14" t="s">
        <v>62</v>
      </c>
      <c r="E66" s="14">
        <v>0</v>
      </c>
      <c r="F66" s="14">
        <v>0</v>
      </c>
      <c r="G66" s="14">
        <v>0</v>
      </c>
      <c r="H66" s="16">
        <v>0</v>
      </c>
      <c r="I66" s="16">
        <v>0</v>
      </c>
      <c r="J66" s="3" t="s">
        <v>5011</v>
      </c>
      <c r="K66" s="16">
        <v>0</v>
      </c>
      <c r="L66" s="16">
        <v>0</v>
      </c>
      <c r="M66" s="16">
        <v>0</v>
      </c>
    </row>
    <row r="67" spans="1:13" x14ac:dyDescent="0.25">
      <c r="A67" s="2">
        <f t="shared" si="1"/>
        <v>62</v>
      </c>
      <c r="B67" s="2">
        <v>418</v>
      </c>
      <c r="C67" s="2" t="s">
        <v>2573</v>
      </c>
      <c r="D67" s="14" t="s">
        <v>63</v>
      </c>
      <c r="E67" s="14">
        <v>0</v>
      </c>
      <c r="F67" s="14">
        <v>0</v>
      </c>
      <c r="G67" s="14">
        <v>0</v>
      </c>
      <c r="H67" s="16">
        <v>0</v>
      </c>
      <c r="I67" s="16">
        <v>0</v>
      </c>
      <c r="J67" s="3" t="s">
        <v>5011</v>
      </c>
      <c r="K67" s="16">
        <v>0</v>
      </c>
      <c r="L67" s="16">
        <v>0</v>
      </c>
      <c r="M67" s="16">
        <v>0</v>
      </c>
    </row>
    <row r="68" spans="1:13" x14ac:dyDescent="0.25">
      <c r="A68" s="2">
        <f t="shared" si="1"/>
        <v>63</v>
      </c>
      <c r="B68" s="2">
        <v>478</v>
      </c>
      <c r="C68" s="2" t="s">
        <v>2574</v>
      </c>
      <c r="D68" s="14" t="s">
        <v>64</v>
      </c>
      <c r="E68" s="14">
        <v>9.7654995000000024</v>
      </c>
      <c r="F68" s="14">
        <v>0</v>
      </c>
      <c r="G68" s="14">
        <v>9.7654995000000024</v>
      </c>
      <c r="H68" s="16">
        <v>467.16101500000002</v>
      </c>
      <c r="I68" s="16">
        <v>435.8347804</v>
      </c>
      <c r="J68" s="3" t="s">
        <v>5011</v>
      </c>
      <c r="K68" s="16">
        <v>9547.3948538531004</v>
      </c>
      <c r="L68" s="16">
        <v>1192.9218409</v>
      </c>
      <c r="M68" s="16">
        <f t="shared" si="0"/>
        <v>2.5535560601091682</v>
      </c>
    </row>
    <row r="69" spans="1:13" x14ac:dyDescent="0.25">
      <c r="A69" s="2">
        <f t="shared" si="1"/>
        <v>64</v>
      </c>
      <c r="B69" s="2">
        <v>492</v>
      </c>
      <c r="C69" s="2" t="s">
        <v>2575</v>
      </c>
      <c r="D69" s="14" t="s">
        <v>65</v>
      </c>
      <c r="E69" s="14">
        <v>2.8597061999999998</v>
      </c>
      <c r="F69" s="14">
        <v>0</v>
      </c>
      <c r="G69" s="14">
        <v>2.8597061999999998</v>
      </c>
      <c r="H69" s="16">
        <v>99.539462100000009</v>
      </c>
      <c r="I69" s="16">
        <v>37.349457500000007</v>
      </c>
      <c r="J69" s="3" t="s">
        <v>5011</v>
      </c>
      <c r="K69" s="16">
        <v>2746.5805301985001</v>
      </c>
      <c r="L69" s="16">
        <v>295.68023879999998</v>
      </c>
      <c r="M69" s="16">
        <f t="shared" si="0"/>
        <v>2.9704825861219915</v>
      </c>
    </row>
    <row r="70" spans="1:13" x14ac:dyDescent="0.25">
      <c r="A70" s="2">
        <f t="shared" si="1"/>
        <v>65</v>
      </c>
      <c r="B70" s="2">
        <v>493</v>
      </c>
      <c r="C70" s="2" t="s">
        <v>2576</v>
      </c>
      <c r="D70" s="14" t="s">
        <v>66</v>
      </c>
      <c r="E70" s="14">
        <v>0.23815979999999995</v>
      </c>
      <c r="F70" s="14">
        <v>0</v>
      </c>
      <c r="G70" s="14">
        <v>0.23815979999999995</v>
      </c>
      <c r="H70" s="16">
        <v>192.27429979999999</v>
      </c>
      <c r="I70" s="16">
        <v>167.08263819999999</v>
      </c>
      <c r="J70" s="3" t="s">
        <v>5011</v>
      </c>
      <c r="K70" s="16">
        <v>392.65255182379991</v>
      </c>
      <c r="L70" s="16">
        <v>182.81215550000002</v>
      </c>
      <c r="M70" s="16">
        <f t="shared" si="0"/>
        <v>0.95078830447000817</v>
      </c>
    </row>
    <row r="71" spans="1:13" x14ac:dyDescent="0.25">
      <c r="A71" s="2">
        <f t="shared" si="1"/>
        <v>66</v>
      </c>
      <c r="B71" s="2">
        <v>496</v>
      </c>
      <c r="C71" s="2" t="s">
        <v>2577</v>
      </c>
      <c r="D71" s="14" t="s">
        <v>67</v>
      </c>
      <c r="E71" s="14">
        <v>0</v>
      </c>
      <c r="F71" s="14">
        <v>0</v>
      </c>
      <c r="G71" s="14">
        <v>0</v>
      </c>
      <c r="H71" s="16">
        <v>0</v>
      </c>
      <c r="I71" s="16">
        <v>0</v>
      </c>
      <c r="J71" s="3" t="s">
        <v>5011</v>
      </c>
      <c r="K71" s="16">
        <v>0</v>
      </c>
      <c r="L71" s="16">
        <v>0</v>
      </c>
      <c r="M71" s="16">
        <v>0</v>
      </c>
    </row>
    <row r="72" spans="1:13" x14ac:dyDescent="0.25">
      <c r="A72" s="2">
        <f t="shared" ref="A72:A135" si="2">A71+1</f>
        <v>67</v>
      </c>
      <c r="B72" s="2">
        <v>498</v>
      </c>
      <c r="C72" s="2" t="s">
        <v>2578</v>
      </c>
      <c r="D72" s="14" t="s">
        <v>68</v>
      </c>
      <c r="E72" s="14">
        <v>1.7764099999999998E-2</v>
      </c>
      <c r="F72" s="14">
        <v>0</v>
      </c>
      <c r="G72" s="14">
        <v>1.7764099999999998E-2</v>
      </c>
      <c r="H72" s="16">
        <v>9.3145344999999988</v>
      </c>
      <c r="I72" s="16">
        <v>9.2645344999999999</v>
      </c>
      <c r="J72" s="3" t="s">
        <v>5011</v>
      </c>
      <c r="K72" s="16">
        <v>33.495348593800003</v>
      </c>
      <c r="L72" s="16">
        <v>10.928847900000001</v>
      </c>
      <c r="M72" s="16">
        <f t="shared" ref="M71:M134" si="3">L72/H72</f>
        <v>1.1733112266640917</v>
      </c>
    </row>
    <row r="73" spans="1:13" x14ac:dyDescent="0.25">
      <c r="A73" s="2">
        <f t="shared" si="2"/>
        <v>68</v>
      </c>
      <c r="B73" s="2">
        <v>507</v>
      </c>
      <c r="C73" s="2" t="s">
        <v>2579</v>
      </c>
      <c r="D73" s="14" t="s">
        <v>69</v>
      </c>
      <c r="E73" s="14">
        <v>3.4598399</v>
      </c>
      <c r="F73" s="14">
        <v>0</v>
      </c>
      <c r="G73" s="14">
        <v>3.4598399</v>
      </c>
      <c r="H73" s="16">
        <v>127.59020539999999</v>
      </c>
      <c r="I73" s="16">
        <v>99.923063299999981</v>
      </c>
      <c r="J73" s="3" t="s">
        <v>5011</v>
      </c>
      <c r="K73" s="16">
        <v>3127.9157783166993</v>
      </c>
      <c r="L73" s="16">
        <v>390.41197979999998</v>
      </c>
      <c r="M73" s="16">
        <f t="shared" si="3"/>
        <v>3.059889891830208</v>
      </c>
    </row>
    <row r="74" spans="1:13" x14ac:dyDescent="0.25">
      <c r="A74" s="2">
        <f t="shared" si="2"/>
        <v>69</v>
      </c>
      <c r="B74" s="2">
        <v>592</v>
      </c>
      <c r="C74" s="2" t="s">
        <v>2580</v>
      </c>
      <c r="D74" s="14" t="s">
        <v>70</v>
      </c>
      <c r="E74" s="14">
        <v>9.1268043000000016</v>
      </c>
      <c r="F74" s="14">
        <v>0</v>
      </c>
      <c r="G74" s="14">
        <v>9.1268043000000016</v>
      </c>
      <c r="H74" s="16">
        <v>355.05665659999994</v>
      </c>
      <c r="I74" s="16">
        <v>265.61733419999996</v>
      </c>
      <c r="J74" s="3" t="s">
        <v>5011</v>
      </c>
      <c r="K74" s="16">
        <v>8323.3205649196989</v>
      </c>
      <c r="L74" s="16">
        <v>1015.3725389</v>
      </c>
      <c r="M74" s="16">
        <f t="shared" si="3"/>
        <v>2.8597479304377593</v>
      </c>
    </row>
    <row r="75" spans="1:13" x14ac:dyDescent="0.25">
      <c r="A75" s="2">
        <f t="shared" si="2"/>
        <v>70</v>
      </c>
      <c r="B75" s="2">
        <v>601</v>
      </c>
      <c r="C75" s="2" t="s">
        <v>2581</v>
      </c>
      <c r="D75" s="14" t="s">
        <v>71</v>
      </c>
      <c r="E75" s="14">
        <v>0</v>
      </c>
      <c r="F75" s="14">
        <v>0</v>
      </c>
      <c r="G75" s="14">
        <v>0</v>
      </c>
      <c r="H75" s="16">
        <v>0</v>
      </c>
      <c r="I75" s="16">
        <v>0</v>
      </c>
      <c r="J75" s="3" t="s">
        <v>5011</v>
      </c>
      <c r="K75" s="16">
        <v>0</v>
      </c>
      <c r="L75" s="16">
        <v>0</v>
      </c>
      <c r="M75" s="16">
        <v>0</v>
      </c>
    </row>
    <row r="76" spans="1:13" x14ac:dyDescent="0.25">
      <c r="A76" s="2">
        <f t="shared" si="2"/>
        <v>71</v>
      </c>
      <c r="B76" s="2">
        <v>633</v>
      </c>
      <c r="C76" s="2" t="s">
        <v>2582</v>
      </c>
      <c r="D76" s="14" t="s">
        <v>72</v>
      </c>
      <c r="E76" s="14">
        <v>0.19503860000000001</v>
      </c>
      <c r="F76" s="14">
        <v>0</v>
      </c>
      <c r="G76" s="14">
        <v>0.19503860000000001</v>
      </c>
      <c r="H76" s="16">
        <v>1.499925</v>
      </c>
      <c r="I76" s="16">
        <v>-0.22085209999999991</v>
      </c>
      <c r="J76" s="3" t="s">
        <v>5011</v>
      </c>
      <c r="K76" s="16">
        <v>277.98709686249998</v>
      </c>
      <c r="L76" s="16">
        <v>28.810765499999999</v>
      </c>
      <c r="M76" s="16">
        <f t="shared" si="3"/>
        <v>19.208137406870343</v>
      </c>
    </row>
    <row r="77" spans="1:13" x14ac:dyDescent="0.25">
      <c r="A77" s="2">
        <f t="shared" si="2"/>
        <v>72</v>
      </c>
      <c r="B77" s="2">
        <v>635</v>
      </c>
      <c r="C77" s="2" t="s">
        <v>2583</v>
      </c>
      <c r="D77" s="14" t="s">
        <v>73</v>
      </c>
      <c r="E77" s="14">
        <v>4.9300361999999991</v>
      </c>
      <c r="F77" s="14">
        <v>0</v>
      </c>
      <c r="G77" s="14">
        <v>4.9300361999999991</v>
      </c>
      <c r="H77" s="16">
        <v>605.01476300000002</v>
      </c>
      <c r="I77" s="16">
        <v>567.73801149999997</v>
      </c>
      <c r="J77" s="3" t="s">
        <v>5011</v>
      </c>
      <c r="K77" s="16">
        <v>4470.4919642490013</v>
      </c>
      <c r="L77" s="16">
        <v>857.66136069999993</v>
      </c>
      <c r="M77" s="16">
        <f t="shared" si="3"/>
        <v>1.4175874923237202</v>
      </c>
    </row>
    <row r="78" spans="1:13" x14ac:dyDescent="0.25">
      <c r="A78" s="2">
        <f t="shared" si="2"/>
        <v>73</v>
      </c>
      <c r="B78" s="2">
        <v>654</v>
      </c>
      <c r="C78" s="2" t="s">
        <v>2584</v>
      </c>
      <c r="D78" s="14" t="s">
        <v>74</v>
      </c>
      <c r="E78" s="14">
        <v>0</v>
      </c>
      <c r="F78" s="14">
        <v>0</v>
      </c>
      <c r="G78" s="14">
        <v>0</v>
      </c>
      <c r="H78" s="16">
        <v>0</v>
      </c>
      <c r="I78" s="16">
        <v>0</v>
      </c>
      <c r="J78" s="3" t="s">
        <v>5011</v>
      </c>
      <c r="K78" s="16">
        <v>0</v>
      </c>
      <c r="L78" s="16">
        <v>0</v>
      </c>
      <c r="M78" s="16">
        <v>0</v>
      </c>
    </row>
    <row r="79" spans="1:13" x14ac:dyDescent="0.25">
      <c r="A79" s="2">
        <f t="shared" si="2"/>
        <v>74</v>
      </c>
      <c r="B79" s="2">
        <v>655</v>
      </c>
      <c r="C79" s="2" t="s">
        <v>2585</v>
      </c>
      <c r="D79" s="14" t="s">
        <v>75</v>
      </c>
      <c r="E79" s="14">
        <v>60.794570800000002</v>
      </c>
      <c r="F79" s="14">
        <v>0</v>
      </c>
      <c r="G79" s="14">
        <v>60.794570800000002</v>
      </c>
      <c r="H79" s="16">
        <v>809.55557930000009</v>
      </c>
      <c r="I79" s="16">
        <v>287.74303370000007</v>
      </c>
      <c r="J79" s="3" t="s">
        <v>5011</v>
      </c>
      <c r="K79" s="16">
        <v>55486.769313602184</v>
      </c>
      <c r="L79" s="16">
        <v>5830.1900083999999</v>
      </c>
      <c r="M79" s="16">
        <f t="shared" si="3"/>
        <v>7.2017167906386375</v>
      </c>
    </row>
    <row r="80" spans="1:13" x14ac:dyDescent="0.25">
      <c r="A80" s="2">
        <f t="shared" si="2"/>
        <v>75</v>
      </c>
      <c r="B80" s="2">
        <v>657</v>
      </c>
      <c r="C80" s="2" t="s">
        <v>2586</v>
      </c>
      <c r="D80" s="14" t="s">
        <v>76</v>
      </c>
      <c r="E80" s="14">
        <v>0</v>
      </c>
      <c r="F80" s="14">
        <v>0</v>
      </c>
      <c r="G80" s="14">
        <v>0</v>
      </c>
      <c r="H80" s="16">
        <v>0</v>
      </c>
      <c r="I80" s="16">
        <v>0</v>
      </c>
      <c r="J80" s="3" t="s">
        <v>5011</v>
      </c>
      <c r="K80" s="16">
        <v>0</v>
      </c>
      <c r="L80" s="16">
        <v>0</v>
      </c>
      <c r="M80" s="16">
        <v>0</v>
      </c>
    </row>
    <row r="81" spans="1:13" x14ac:dyDescent="0.25">
      <c r="A81" s="2">
        <f t="shared" si="2"/>
        <v>76</v>
      </c>
      <c r="B81" s="2">
        <v>678</v>
      </c>
      <c r="C81" s="2" t="s">
        <v>2587</v>
      </c>
      <c r="D81" s="14" t="s">
        <v>77</v>
      </c>
      <c r="E81" s="14">
        <v>0</v>
      </c>
      <c r="F81" s="14">
        <v>0</v>
      </c>
      <c r="G81" s="14">
        <v>0</v>
      </c>
      <c r="H81" s="16">
        <v>0</v>
      </c>
      <c r="I81" s="16">
        <v>0</v>
      </c>
      <c r="J81" s="3" t="s">
        <v>5011</v>
      </c>
      <c r="K81" s="16">
        <v>0</v>
      </c>
      <c r="L81" s="16">
        <v>0</v>
      </c>
      <c r="M81" s="16">
        <v>0</v>
      </c>
    </row>
    <row r="82" spans="1:13" x14ac:dyDescent="0.25">
      <c r="A82" s="2">
        <f t="shared" si="2"/>
        <v>77</v>
      </c>
      <c r="B82" s="2">
        <v>690</v>
      </c>
      <c r="C82" s="2" t="s">
        <v>2588</v>
      </c>
      <c r="D82" s="14" t="s">
        <v>78</v>
      </c>
      <c r="E82" s="14">
        <v>0.25677149999999993</v>
      </c>
      <c r="F82" s="14">
        <v>0</v>
      </c>
      <c r="G82" s="14">
        <v>0.25677149999999993</v>
      </c>
      <c r="H82" s="16">
        <v>20.0104048</v>
      </c>
      <c r="I82" s="16">
        <v>19.397958299999999</v>
      </c>
      <c r="J82" s="3" t="s">
        <v>5011</v>
      </c>
      <c r="K82" s="16">
        <v>327.11684249590002</v>
      </c>
      <c r="L82" s="16">
        <v>46.446637300000006</v>
      </c>
      <c r="M82" s="16">
        <f t="shared" si="3"/>
        <v>2.321124323282056</v>
      </c>
    </row>
    <row r="83" spans="1:13" x14ac:dyDescent="0.25">
      <c r="A83" s="2">
        <f t="shared" si="2"/>
        <v>78</v>
      </c>
      <c r="B83" s="2">
        <v>693</v>
      </c>
      <c r="C83" s="2" t="s">
        <v>2589</v>
      </c>
      <c r="D83" s="14" t="s">
        <v>79</v>
      </c>
      <c r="E83" s="14">
        <v>0.53158570000000005</v>
      </c>
      <c r="F83" s="14">
        <v>0</v>
      </c>
      <c r="G83" s="14">
        <v>0.53158570000000005</v>
      </c>
      <c r="H83" s="16">
        <v>5.7497131000000001</v>
      </c>
      <c r="I83" s="16">
        <v>-1.2391119999999995</v>
      </c>
      <c r="J83" s="3" t="s">
        <v>5011</v>
      </c>
      <c r="K83" s="16">
        <v>457.01962616980001</v>
      </c>
      <c r="L83" s="16">
        <v>47.044235800000003</v>
      </c>
      <c r="M83" s="16">
        <f t="shared" si="3"/>
        <v>8.1820144730351849</v>
      </c>
    </row>
    <row r="84" spans="1:13" x14ac:dyDescent="0.25">
      <c r="A84" s="2">
        <f t="shared" si="2"/>
        <v>79</v>
      </c>
      <c r="B84" s="2">
        <v>703</v>
      </c>
      <c r="C84" s="2" t="s">
        <v>2590</v>
      </c>
      <c r="D84" s="14" t="s">
        <v>80</v>
      </c>
      <c r="E84" s="14">
        <v>5.6985000000000004E-3</v>
      </c>
      <c r="F84" s="14">
        <v>0</v>
      </c>
      <c r="G84" s="14">
        <v>5.6985000000000004E-3</v>
      </c>
      <c r="H84" s="16">
        <v>7.0496474999999998</v>
      </c>
      <c r="I84" s="16">
        <v>7.0496474999999998</v>
      </c>
      <c r="J84" s="3" t="s">
        <v>5011</v>
      </c>
      <c r="K84" s="16">
        <v>39.530223428200003</v>
      </c>
      <c r="L84" s="16">
        <v>9.7812947999999995</v>
      </c>
      <c r="M84" s="16">
        <f t="shared" si="3"/>
        <v>1.3874870764814835</v>
      </c>
    </row>
    <row r="85" spans="1:13" x14ac:dyDescent="0.25">
      <c r="A85" s="2">
        <f t="shared" si="2"/>
        <v>80</v>
      </c>
      <c r="B85" s="2">
        <v>712</v>
      </c>
      <c r="C85" s="2" t="s">
        <v>2591</v>
      </c>
      <c r="D85" s="14" t="s">
        <v>81</v>
      </c>
      <c r="E85" s="14">
        <v>32.480524600000003</v>
      </c>
      <c r="F85" s="14">
        <v>0</v>
      </c>
      <c r="G85" s="14">
        <v>32.480524600000003</v>
      </c>
      <c r="H85" s="16">
        <v>1017.0572656000001</v>
      </c>
      <c r="I85" s="16">
        <v>899.81640460000006</v>
      </c>
      <c r="J85" s="3" t="s">
        <v>5011</v>
      </c>
      <c r="K85" s="16">
        <v>25979.041591395617</v>
      </c>
      <c r="L85" s="16">
        <v>3308.3851237999997</v>
      </c>
      <c r="M85" s="16">
        <f t="shared" si="3"/>
        <v>3.2528995521685395</v>
      </c>
    </row>
    <row r="86" spans="1:13" x14ac:dyDescent="0.25">
      <c r="A86" s="2">
        <f t="shared" si="2"/>
        <v>81</v>
      </c>
      <c r="B86" s="2">
        <v>726</v>
      </c>
      <c r="C86" s="2" t="s">
        <v>2592</v>
      </c>
      <c r="D86" s="14" t="s">
        <v>82</v>
      </c>
      <c r="E86" s="14">
        <v>0.90025770000000005</v>
      </c>
      <c r="F86" s="14">
        <v>0</v>
      </c>
      <c r="G86" s="14">
        <v>0.90025770000000005</v>
      </c>
      <c r="H86" s="16">
        <v>63.9968</v>
      </c>
      <c r="I86" s="16">
        <v>63.9968</v>
      </c>
      <c r="J86" s="3" t="s">
        <v>5011</v>
      </c>
      <c r="K86" s="16">
        <v>727.55155185719991</v>
      </c>
      <c r="L86" s="16">
        <v>111.399119</v>
      </c>
      <c r="M86" s="16">
        <f t="shared" si="3"/>
        <v>1.7406982692884645</v>
      </c>
    </row>
    <row r="87" spans="1:13" x14ac:dyDescent="0.25">
      <c r="A87" s="2">
        <f t="shared" si="2"/>
        <v>82</v>
      </c>
      <c r="B87" s="2">
        <v>727</v>
      </c>
      <c r="C87" s="2" t="s">
        <v>2593</v>
      </c>
      <c r="D87" s="14" t="s">
        <v>83</v>
      </c>
      <c r="E87" s="14">
        <v>0</v>
      </c>
      <c r="F87" s="14">
        <v>0</v>
      </c>
      <c r="G87" s="14">
        <v>0</v>
      </c>
      <c r="H87" s="16">
        <v>0</v>
      </c>
      <c r="I87" s="16">
        <v>0</v>
      </c>
      <c r="J87" s="3" t="s">
        <v>5011</v>
      </c>
      <c r="K87" s="16">
        <v>0</v>
      </c>
      <c r="L87" s="16">
        <v>0</v>
      </c>
      <c r="M87" s="16">
        <v>0</v>
      </c>
    </row>
    <row r="88" spans="1:13" x14ac:dyDescent="0.25">
      <c r="A88" s="2">
        <f t="shared" si="2"/>
        <v>83</v>
      </c>
      <c r="B88" s="2">
        <v>749</v>
      </c>
      <c r="C88" s="2" t="s">
        <v>2594</v>
      </c>
      <c r="D88" s="14" t="s">
        <v>84</v>
      </c>
      <c r="E88" s="14">
        <v>1.1519E-3</v>
      </c>
      <c r="F88" s="14">
        <v>0</v>
      </c>
      <c r="G88" s="14">
        <v>1.1519E-3</v>
      </c>
      <c r="H88" s="16">
        <v>5.9996999999999998</v>
      </c>
      <c r="I88" s="16">
        <v>5.9996999999999998</v>
      </c>
      <c r="J88" s="3" t="s">
        <v>5011</v>
      </c>
      <c r="K88" s="16">
        <v>7.3492651780999996</v>
      </c>
      <c r="L88" s="16">
        <v>6.2309995999999996</v>
      </c>
      <c r="M88" s="16">
        <f t="shared" si="3"/>
        <v>1.0385518609263795</v>
      </c>
    </row>
    <row r="89" spans="1:13" x14ac:dyDescent="0.25">
      <c r="A89" s="2">
        <f t="shared" si="2"/>
        <v>84</v>
      </c>
      <c r="B89" s="2">
        <v>784</v>
      </c>
      <c r="C89" s="2" t="s">
        <v>2595</v>
      </c>
      <c r="D89" s="14" t="s">
        <v>85</v>
      </c>
      <c r="E89" s="14">
        <v>0.20477759999999998</v>
      </c>
      <c r="F89" s="14">
        <v>0</v>
      </c>
      <c r="G89" s="14">
        <v>0.20477759999999998</v>
      </c>
      <c r="H89" s="16">
        <v>90.374570399999996</v>
      </c>
      <c r="I89" s="16">
        <v>60.28048119999999</v>
      </c>
      <c r="J89" s="3" t="s">
        <v>5011</v>
      </c>
      <c r="K89" s="16">
        <v>366.84932724379996</v>
      </c>
      <c r="L89" s="16">
        <v>70.270547500000006</v>
      </c>
      <c r="M89" s="16">
        <f t="shared" si="3"/>
        <v>0.77754779014695052</v>
      </c>
    </row>
    <row r="90" spans="1:13" x14ac:dyDescent="0.25">
      <c r="A90" s="2">
        <f t="shared" si="2"/>
        <v>85</v>
      </c>
      <c r="B90" s="2">
        <v>785</v>
      </c>
      <c r="C90" s="2" t="s">
        <v>2596</v>
      </c>
      <c r="D90" s="14" t="s">
        <v>86</v>
      </c>
      <c r="E90" s="14">
        <v>0</v>
      </c>
      <c r="F90" s="14">
        <v>0</v>
      </c>
      <c r="G90" s="14">
        <v>0</v>
      </c>
      <c r="H90" s="16">
        <v>4.99975E-2</v>
      </c>
      <c r="I90" s="16">
        <v>-2.2592299999999996E-2</v>
      </c>
      <c r="J90" s="3" t="s">
        <v>5011</v>
      </c>
      <c r="K90" s="16">
        <v>0.48375112889999999</v>
      </c>
      <c r="L90" s="16">
        <v>0</v>
      </c>
      <c r="M90" s="16">
        <f>L90/H90</f>
        <v>0</v>
      </c>
    </row>
    <row r="91" spans="1:13" x14ac:dyDescent="0.25">
      <c r="A91" s="2">
        <f t="shared" si="2"/>
        <v>86</v>
      </c>
      <c r="B91" s="2">
        <v>796</v>
      </c>
      <c r="C91" s="2" t="s">
        <v>2597</v>
      </c>
      <c r="D91" s="14" t="s">
        <v>87</v>
      </c>
      <c r="E91" s="14">
        <v>7.1526914999999986</v>
      </c>
      <c r="F91" s="14">
        <v>0</v>
      </c>
      <c r="G91" s="14">
        <v>7.1526914999999986</v>
      </c>
      <c r="H91" s="16">
        <v>695.10590279999997</v>
      </c>
      <c r="I91" s="16">
        <v>411.57745570000003</v>
      </c>
      <c r="J91" s="3" t="s">
        <v>5011</v>
      </c>
      <c r="K91" s="16">
        <v>9598.254290883202</v>
      </c>
      <c r="L91" s="16">
        <v>1153.1033179999999</v>
      </c>
      <c r="M91" s="16">
        <f t="shared" si="3"/>
        <v>1.658888686393126</v>
      </c>
    </row>
    <row r="92" spans="1:13" x14ac:dyDescent="0.25">
      <c r="A92" s="2">
        <f t="shared" si="2"/>
        <v>87</v>
      </c>
      <c r="B92" s="2">
        <v>797</v>
      </c>
      <c r="C92" s="2" t="s">
        <v>2598</v>
      </c>
      <c r="D92" s="14" t="s">
        <v>88</v>
      </c>
      <c r="E92" s="14">
        <v>3.0192199999999999E-2</v>
      </c>
      <c r="F92" s="14">
        <v>0</v>
      </c>
      <c r="G92" s="14">
        <v>3.0192199999999999E-2</v>
      </c>
      <c r="H92" s="16">
        <v>6.3046788999999999</v>
      </c>
      <c r="I92" s="16">
        <v>3.499682</v>
      </c>
      <c r="J92" s="3" t="s">
        <v>5011</v>
      </c>
      <c r="K92" s="16">
        <v>36.532460159099998</v>
      </c>
      <c r="L92" s="16">
        <v>5.6795836</v>
      </c>
      <c r="M92" s="16">
        <f t="shared" si="3"/>
        <v>0.90085215917974826</v>
      </c>
    </row>
    <row r="93" spans="1:13" x14ac:dyDescent="0.25">
      <c r="A93" s="2">
        <f t="shared" si="2"/>
        <v>88</v>
      </c>
      <c r="B93" s="2">
        <v>810</v>
      </c>
      <c r="C93" s="2" t="s">
        <v>2599</v>
      </c>
      <c r="D93" s="14" t="s">
        <v>89</v>
      </c>
      <c r="E93" s="14">
        <v>0</v>
      </c>
      <c r="F93" s="14">
        <v>0</v>
      </c>
      <c r="G93" s="14">
        <v>0</v>
      </c>
      <c r="H93" s="16">
        <v>0</v>
      </c>
      <c r="I93" s="16">
        <v>0</v>
      </c>
      <c r="J93" s="3" t="s">
        <v>5011</v>
      </c>
      <c r="K93" s="16">
        <v>0</v>
      </c>
      <c r="L93" s="16">
        <v>0</v>
      </c>
      <c r="M93" s="16">
        <v>0</v>
      </c>
    </row>
    <row r="94" spans="1:13" x14ac:dyDescent="0.25">
      <c r="A94" s="2">
        <f t="shared" si="2"/>
        <v>89</v>
      </c>
      <c r="B94" s="2">
        <v>811</v>
      </c>
      <c r="C94" s="2" t="s">
        <v>2600</v>
      </c>
      <c r="D94" s="14" t="s">
        <v>90</v>
      </c>
      <c r="E94" s="14">
        <v>0</v>
      </c>
      <c r="F94" s="14">
        <v>0</v>
      </c>
      <c r="G94" s="14">
        <v>0</v>
      </c>
      <c r="H94" s="16">
        <v>0</v>
      </c>
      <c r="I94" s="16">
        <v>0</v>
      </c>
      <c r="J94" s="3" t="s">
        <v>5011</v>
      </c>
      <c r="K94" s="16">
        <v>0</v>
      </c>
      <c r="L94" s="16">
        <v>0</v>
      </c>
      <c r="M94" s="16">
        <v>0</v>
      </c>
    </row>
    <row r="95" spans="1:13" x14ac:dyDescent="0.25">
      <c r="A95" s="2">
        <f t="shared" si="2"/>
        <v>90</v>
      </c>
      <c r="B95" s="2">
        <v>821</v>
      </c>
      <c r="C95" s="2" t="s">
        <v>2601</v>
      </c>
      <c r="D95" s="14" t="s">
        <v>91</v>
      </c>
      <c r="E95" s="14">
        <v>1.1166255999999999</v>
      </c>
      <c r="F95" s="14">
        <v>0</v>
      </c>
      <c r="G95" s="14">
        <v>1.1166255999999999</v>
      </c>
      <c r="H95" s="16">
        <v>273.7950601</v>
      </c>
      <c r="I95" s="16">
        <v>234.93089120000002</v>
      </c>
      <c r="J95" s="3" t="s">
        <v>5011</v>
      </c>
      <c r="K95" s="16">
        <v>1374.7075390745999</v>
      </c>
      <c r="L95" s="16">
        <v>329.10405780000002</v>
      </c>
      <c r="M95" s="16">
        <f t="shared" si="3"/>
        <v>1.2020087494631904</v>
      </c>
    </row>
    <row r="96" spans="1:13" x14ac:dyDescent="0.25">
      <c r="A96" s="2">
        <f t="shared" si="2"/>
        <v>91</v>
      </c>
      <c r="B96" s="2">
        <v>839</v>
      </c>
      <c r="C96" s="2" t="s">
        <v>2602</v>
      </c>
      <c r="D96" s="14" t="s">
        <v>92</v>
      </c>
      <c r="E96" s="14">
        <v>4.4647958000000001</v>
      </c>
      <c r="F96" s="14">
        <v>0</v>
      </c>
      <c r="G96" s="14">
        <v>4.4647958000000001</v>
      </c>
      <c r="H96" s="16">
        <v>140.9592107</v>
      </c>
      <c r="I96" s="16">
        <v>120.9796264</v>
      </c>
      <c r="J96" s="3" t="s">
        <v>5011</v>
      </c>
      <c r="K96" s="16">
        <v>3724.9494563676008</v>
      </c>
      <c r="L96" s="16">
        <v>445.39623799999998</v>
      </c>
      <c r="M96" s="16">
        <f t="shared" si="3"/>
        <v>3.1597526389951613</v>
      </c>
    </row>
    <row r="97" spans="1:13" x14ac:dyDescent="0.25">
      <c r="A97" s="2">
        <f t="shared" si="2"/>
        <v>92</v>
      </c>
      <c r="B97" s="2">
        <v>845</v>
      </c>
      <c r="C97" s="2" t="s">
        <v>2603</v>
      </c>
      <c r="D97" s="14" t="s">
        <v>93</v>
      </c>
      <c r="E97" s="14">
        <v>807.07487309999999</v>
      </c>
      <c r="F97" s="14">
        <v>0</v>
      </c>
      <c r="G97" s="14">
        <v>807.07487309999999</v>
      </c>
      <c r="H97" s="16">
        <v>71971.266732100004</v>
      </c>
      <c r="I97" s="16">
        <v>50131.120012200001</v>
      </c>
      <c r="J97" s="3" t="s">
        <v>5011</v>
      </c>
      <c r="K97" s="16">
        <v>775537.63990117237</v>
      </c>
      <c r="L97" s="16">
        <v>112754.4586352</v>
      </c>
      <c r="M97" s="16">
        <f t="shared" si="3"/>
        <v>1.5666593594205871</v>
      </c>
    </row>
    <row r="98" spans="1:13" x14ac:dyDescent="0.25">
      <c r="A98" s="2">
        <f t="shared" si="2"/>
        <v>93</v>
      </c>
      <c r="B98" s="2">
        <v>866</v>
      </c>
      <c r="C98" s="2" t="s">
        <v>2604</v>
      </c>
      <c r="D98" s="14" t="s">
        <v>94</v>
      </c>
      <c r="E98" s="14">
        <v>0.13075149999999996</v>
      </c>
      <c r="F98" s="14">
        <v>0</v>
      </c>
      <c r="G98" s="14">
        <v>0.13075149999999996</v>
      </c>
      <c r="H98" s="16">
        <v>0</v>
      </c>
      <c r="I98" s="16">
        <v>0</v>
      </c>
      <c r="J98" s="3" t="s">
        <v>5011</v>
      </c>
      <c r="K98" s="16">
        <v>141.98295463509999</v>
      </c>
      <c r="L98" s="16">
        <v>14.660612</v>
      </c>
      <c r="M98" s="16">
        <v>0</v>
      </c>
    </row>
    <row r="99" spans="1:13" x14ac:dyDescent="0.25">
      <c r="A99" s="2">
        <f t="shared" si="2"/>
        <v>94</v>
      </c>
      <c r="B99" s="2">
        <v>868</v>
      </c>
      <c r="C99" s="2" t="s">
        <v>2605</v>
      </c>
      <c r="D99" s="14" t="s">
        <v>95</v>
      </c>
      <c r="E99" s="14">
        <v>0</v>
      </c>
      <c r="F99" s="14">
        <v>0</v>
      </c>
      <c r="G99" s="14">
        <v>0</v>
      </c>
      <c r="H99" s="16">
        <v>0</v>
      </c>
      <c r="I99" s="16">
        <v>0</v>
      </c>
      <c r="J99" s="3" t="s">
        <v>5011</v>
      </c>
      <c r="K99" s="16">
        <v>0</v>
      </c>
      <c r="L99" s="16">
        <v>0</v>
      </c>
      <c r="M99" s="16">
        <v>0</v>
      </c>
    </row>
    <row r="100" spans="1:13" x14ac:dyDescent="0.25">
      <c r="A100" s="2">
        <f t="shared" si="2"/>
        <v>95</v>
      </c>
      <c r="B100" s="2">
        <v>872</v>
      </c>
      <c r="C100" s="2" t="s">
        <v>2606</v>
      </c>
      <c r="D100" s="14" t="s">
        <v>96</v>
      </c>
      <c r="E100" s="14">
        <v>0</v>
      </c>
      <c r="F100" s="14">
        <v>0</v>
      </c>
      <c r="G100" s="14">
        <v>0</v>
      </c>
      <c r="H100" s="16">
        <v>0</v>
      </c>
      <c r="I100" s="16">
        <v>0</v>
      </c>
      <c r="J100" s="3" t="s">
        <v>5011</v>
      </c>
      <c r="K100" s="16">
        <v>0</v>
      </c>
      <c r="L100" s="16">
        <v>0</v>
      </c>
      <c r="M100" s="16">
        <v>0</v>
      </c>
    </row>
    <row r="101" spans="1:13" x14ac:dyDescent="0.25">
      <c r="A101" s="2">
        <f t="shared" si="2"/>
        <v>96</v>
      </c>
      <c r="B101" s="2">
        <v>877</v>
      </c>
      <c r="C101" s="2" t="s">
        <v>2607</v>
      </c>
      <c r="D101" s="14" t="s">
        <v>97</v>
      </c>
      <c r="E101" s="14">
        <v>5.7474130999999993</v>
      </c>
      <c r="F101" s="14">
        <v>0</v>
      </c>
      <c r="G101" s="14">
        <v>5.7474130999999993</v>
      </c>
      <c r="H101" s="16">
        <v>190.3068389</v>
      </c>
      <c r="I101" s="16">
        <v>82.481785700000003</v>
      </c>
      <c r="J101" s="3" t="s">
        <v>5011</v>
      </c>
      <c r="K101" s="16">
        <v>5083.2228317623994</v>
      </c>
      <c r="L101" s="16">
        <v>545.52214950000007</v>
      </c>
      <c r="M101" s="16">
        <f t="shared" si="3"/>
        <v>2.866539913400874</v>
      </c>
    </row>
    <row r="102" spans="1:13" x14ac:dyDescent="0.25">
      <c r="A102" s="2">
        <f t="shared" si="2"/>
        <v>97</v>
      </c>
      <c r="B102" s="2">
        <v>893</v>
      </c>
      <c r="C102" s="2" t="s">
        <v>2608</v>
      </c>
      <c r="D102" s="14" t="s">
        <v>98</v>
      </c>
      <c r="E102" s="14">
        <v>3.1480516999999999</v>
      </c>
      <c r="F102" s="14">
        <v>0</v>
      </c>
      <c r="G102" s="14">
        <v>3.1480516999999999</v>
      </c>
      <c r="H102" s="16">
        <v>382.33343500000001</v>
      </c>
      <c r="I102" s="16">
        <v>379.7931797</v>
      </c>
      <c r="J102" s="3" t="s">
        <v>5011</v>
      </c>
      <c r="K102" s="16">
        <v>2982.6365650947005</v>
      </c>
      <c r="L102" s="16">
        <v>536.09695450000004</v>
      </c>
      <c r="M102" s="16">
        <f t="shared" si="3"/>
        <v>1.4021712605385925</v>
      </c>
    </row>
    <row r="103" spans="1:13" x14ac:dyDescent="0.25">
      <c r="A103" s="2">
        <f t="shared" si="2"/>
        <v>98</v>
      </c>
      <c r="B103" s="2">
        <v>894</v>
      </c>
      <c r="C103" s="2" t="s">
        <v>2609</v>
      </c>
      <c r="D103" s="14" t="s">
        <v>99</v>
      </c>
      <c r="E103" s="14">
        <v>0</v>
      </c>
      <c r="F103" s="14">
        <v>0</v>
      </c>
      <c r="G103" s="14">
        <v>0</v>
      </c>
      <c r="H103" s="16">
        <v>0</v>
      </c>
      <c r="I103" s="16">
        <v>0</v>
      </c>
      <c r="J103" s="3" t="s">
        <v>5011</v>
      </c>
      <c r="K103" s="16">
        <v>0</v>
      </c>
      <c r="L103" s="16">
        <v>0</v>
      </c>
      <c r="M103" s="16">
        <v>0</v>
      </c>
    </row>
    <row r="104" spans="1:13" x14ac:dyDescent="0.25">
      <c r="A104" s="2">
        <f t="shared" si="2"/>
        <v>99</v>
      </c>
      <c r="B104" s="2">
        <v>906</v>
      </c>
      <c r="C104" s="2" t="s">
        <v>2610</v>
      </c>
      <c r="D104" s="14" t="s">
        <v>100</v>
      </c>
      <c r="E104" s="14">
        <v>1.9834532</v>
      </c>
      <c r="F104" s="14">
        <v>0</v>
      </c>
      <c r="G104" s="14">
        <v>1.9834532</v>
      </c>
      <c r="H104" s="16">
        <v>42.792042800000004</v>
      </c>
      <c r="I104" s="16">
        <v>26.352088000000002</v>
      </c>
      <c r="J104" s="3" t="s">
        <v>5011</v>
      </c>
      <c r="K104" s="16">
        <v>1775.9359532905</v>
      </c>
      <c r="L104" s="16">
        <v>206.32896940000001</v>
      </c>
      <c r="M104" s="16">
        <f t="shared" si="3"/>
        <v>4.8216667375365398</v>
      </c>
    </row>
    <row r="105" spans="1:13" x14ac:dyDescent="0.25">
      <c r="A105" s="2">
        <f t="shared" si="2"/>
        <v>100</v>
      </c>
      <c r="B105" s="2">
        <v>910</v>
      </c>
      <c r="C105" s="2" t="s">
        <v>2611</v>
      </c>
      <c r="D105" s="14" t="s">
        <v>101</v>
      </c>
      <c r="E105" s="14">
        <v>3.6464999999999996E-3</v>
      </c>
      <c r="F105" s="14">
        <v>0</v>
      </c>
      <c r="G105" s="14">
        <v>3.6464999999999996E-3</v>
      </c>
      <c r="H105" s="16">
        <v>1.0399480000000001</v>
      </c>
      <c r="I105" s="16">
        <v>1.0399480000000001</v>
      </c>
      <c r="J105" s="3" t="s">
        <v>5011</v>
      </c>
      <c r="K105" s="16">
        <v>7.0347146206</v>
      </c>
      <c r="L105" s="16">
        <v>1.3870651000000001</v>
      </c>
      <c r="M105" s="16">
        <f t="shared" si="3"/>
        <v>1.3337831314642654</v>
      </c>
    </row>
    <row r="106" spans="1:13" x14ac:dyDescent="0.25">
      <c r="A106" s="2">
        <f t="shared" si="2"/>
        <v>101</v>
      </c>
      <c r="B106" s="2">
        <v>912</v>
      </c>
      <c r="C106" s="2" t="s">
        <v>2612</v>
      </c>
      <c r="D106" s="14" t="s">
        <v>102</v>
      </c>
      <c r="E106" s="14">
        <v>0</v>
      </c>
      <c r="F106" s="14">
        <v>0</v>
      </c>
      <c r="G106" s="14">
        <v>0</v>
      </c>
      <c r="H106" s="16">
        <v>0</v>
      </c>
      <c r="I106" s="16">
        <v>0</v>
      </c>
      <c r="J106" s="3" t="s">
        <v>5011</v>
      </c>
      <c r="K106" s="16">
        <v>0</v>
      </c>
      <c r="L106" s="16">
        <v>0</v>
      </c>
      <c r="M106" s="16">
        <v>0</v>
      </c>
    </row>
    <row r="107" spans="1:13" x14ac:dyDescent="0.25">
      <c r="A107" s="2">
        <f t="shared" si="2"/>
        <v>102</v>
      </c>
      <c r="B107" s="2">
        <v>930</v>
      </c>
      <c r="C107" s="2" t="s">
        <v>2613</v>
      </c>
      <c r="D107" s="14" t="s">
        <v>103</v>
      </c>
      <c r="E107" s="14">
        <v>0.59559480000000009</v>
      </c>
      <c r="F107" s="14">
        <v>0</v>
      </c>
      <c r="G107" s="14">
        <v>0.59559480000000009</v>
      </c>
      <c r="H107" s="16">
        <v>56.299349999999997</v>
      </c>
      <c r="I107" s="16">
        <v>26.837177799999999</v>
      </c>
      <c r="J107" s="3" t="s">
        <v>5011</v>
      </c>
      <c r="K107" s="16">
        <v>663.00767280299999</v>
      </c>
      <c r="L107" s="16">
        <v>92.572005199999992</v>
      </c>
      <c r="M107" s="16">
        <f t="shared" si="3"/>
        <v>1.6442819535216657</v>
      </c>
    </row>
    <row r="108" spans="1:13" x14ac:dyDescent="0.25">
      <c r="A108" s="2">
        <f t="shared" si="2"/>
        <v>103</v>
      </c>
      <c r="B108" s="2">
        <v>938</v>
      </c>
      <c r="C108" s="2" t="s">
        <v>2614</v>
      </c>
      <c r="D108" s="14" t="s">
        <v>104</v>
      </c>
      <c r="E108" s="14">
        <v>22.896947900000001</v>
      </c>
      <c r="F108" s="14">
        <v>0</v>
      </c>
      <c r="G108" s="14">
        <v>22.896947900000001</v>
      </c>
      <c r="H108" s="16">
        <v>601.15241349999997</v>
      </c>
      <c r="I108" s="16">
        <v>307.75170910000003</v>
      </c>
      <c r="J108" s="3" t="s">
        <v>5011</v>
      </c>
      <c r="K108" s="16">
        <v>20255.191809881795</v>
      </c>
      <c r="L108" s="16">
        <v>2237.4599103</v>
      </c>
      <c r="M108" s="16">
        <f t="shared" si="3"/>
        <v>3.7219511392679459</v>
      </c>
    </row>
    <row r="109" spans="1:13" x14ac:dyDescent="0.25">
      <c r="A109" s="2">
        <f t="shared" si="2"/>
        <v>104</v>
      </c>
      <c r="B109" s="2">
        <v>940</v>
      </c>
      <c r="C109" s="2" t="s">
        <v>2615</v>
      </c>
      <c r="D109" s="14" t="s">
        <v>105</v>
      </c>
      <c r="E109" s="14">
        <v>4.1113920999999998</v>
      </c>
      <c r="F109" s="14">
        <v>0</v>
      </c>
      <c r="G109" s="14">
        <v>4.1113920999999998</v>
      </c>
      <c r="H109" s="16">
        <v>698.10328340000001</v>
      </c>
      <c r="I109" s="16">
        <v>655.36352150000005</v>
      </c>
      <c r="J109" s="3" t="s">
        <v>5011</v>
      </c>
      <c r="K109" s="16">
        <v>4502.0793025077</v>
      </c>
      <c r="L109" s="16">
        <v>854.96650939999995</v>
      </c>
      <c r="M109" s="16">
        <f t="shared" si="3"/>
        <v>1.224699166627641</v>
      </c>
    </row>
    <row r="110" spans="1:13" x14ac:dyDescent="0.25">
      <c r="A110" s="2">
        <f t="shared" si="2"/>
        <v>105</v>
      </c>
      <c r="B110" s="2">
        <v>941</v>
      </c>
      <c r="C110" s="2" t="s">
        <v>2616</v>
      </c>
      <c r="D110" s="14" t="s">
        <v>106</v>
      </c>
      <c r="E110" s="14">
        <v>0.79630469999999998</v>
      </c>
      <c r="F110" s="14">
        <v>0</v>
      </c>
      <c r="G110" s="14">
        <v>0.79630469999999998</v>
      </c>
      <c r="H110" s="16">
        <v>52.6213604</v>
      </c>
      <c r="I110" s="16">
        <v>52.067369000000006</v>
      </c>
      <c r="J110" s="3" t="s">
        <v>5011</v>
      </c>
      <c r="K110" s="16">
        <v>700.93191270739999</v>
      </c>
      <c r="L110" s="16">
        <v>112.5505204</v>
      </c>
      <c r="M110" s="16">
        <f t="shared" si="3"/>
        <v>2.1388751553447105</v>
      </c>
    </row>
    <row r="111" spans="1:13" x14ac:dyDescent="0.25">
      <c r="A111" s="2">
        <f t="shared" si="2"/>
        <v>106</v>
      </c>
      <c r="B111" s="2">
        <v>950</v>
      </c>
      <c r="C111" s="2" t="s">
        <v>2617</v>
      </c>
      <c r="D111" s="14" t="s">
        <v>107</v>
      </c>
      <c r="E111" s="14">
        <v>0</v>
      </c>
      <c r="F111" s="14">
        <v>0</v>
      </c>
      <c r="G111" s="14">
        <v>0</v>
      </c>
      <c r="H111" s="16">
        <v>0</v>
      </c>
      <c r="I111" s="16">
        <v>0</v>
      </c>
      <c r="J111" s="3" t="s">
        <v>5011</v>
      </c>
      <c r="K111" s="16">
        <v>0</v>
      </c>
      <c r="L111" s="16">
        <v>0</v>
      </c>
      <c r="M111" s="16">
        <v>0</v>
      </c>
    </row>
    <row r="112" spans="1:13" x14ac:dyDescent="0.25">
      <c r="A112" s="2">
        <f t="shared" si="2"/>
        <v>107</v>
      </c>
      <c r="B112" s="2">
        <v>952</v>
      </c>
      <c r="C112" s="2" t="s">
        <v>2618</v>
      </c>
      <c r="D112" s="14" t="s">
        <v>108</v>
      </c>
      <c r="E112" s="14">
        <v>2.5158699999999999E-2</v>
      </c>
      <c r="F112" s="14">
        <v>0</v>
      </c>
      <c r="G112" s="14">
        <v>2.5158699999999999E-2</v>
      </c>
      <c r="H112" s="16">
        <v>7.4196290000000005</v>
      </c>
      <c r="I112" s="16">
        <v>7.4196290000000005</v>
      </c>
      <c r="J112" s="3" t="s">
        <v>5011</v>
      </c>
      <c r="K112" s="16">
        <v>40.663905835899996</v>
      </c>
      <c r="L112" s="16">
        <v>10.494211299999998</v>
      </c>
      <c r="M112" s="16">
        <f t="shared" si="3"/>
        <v>1.4143849106201938</v>
      </c>
    </row>
    <row r="113" spans="1:13" x14ac:dyDescent="0.25">
      <c r="A113" s="2">
        <f t="shared" si="2"/>
        <v>108</v>
      </c>
      <c r="B113" s="2">
        <v>959</v>
      </c>
      <c r="C113" s="2" t="s">
        <v>2619</v>
      </c>
      <c r="D113" s="14" t="s">
        <v>109</v>
      </c>
      <c r="E113" s="14">
        <v>12.056804099999999</v>
      </c>
      <c r="F113" s="14">
        <v>0</v>
      </c>
      <c r="G113" s="14">
        <v>12.056804099999999</v>
      </c>
      <c r="H113" s="16">
        <v>540.13298950000001</v>
      </c>
      <c r="I113" s="16">
        <v>367.40095969999999</v>
      </c>
      <c r="J113" s="3" t="s">
        <v>5011</v>
      </c>
      <c r="K113" s="16">
        <v>10462.701253339801</v>
      </c>
      <c r="L113" s="16">
        <v>1255.0879276000001</v>
      </c>
      <c r="M113" s="16">
        <f t="shared" si="3"/>
        <v>2.3236646381511199</v>
      </c>
    </row>
    <row r="114" spans="1:13" x14ac:dyDescent="0.25">
      <c r="A114" s="2">
        <f t="shared" si="2"/>
        <v>109</v>
      </c>
      <c r="B114" s="2">
        <v>962</v>
      </c>
      <c r="C114" s="2" t="s">
        <v>2620</v>
      </c>
      <c r="D114" s="14" t="s">
        <v>110</v>
      </c>
      <c r="E114" s="14">
        <v>12.078496499999998</v>
      </c>
      <c r="F114" s="14">
        <v>0</v>
      </c>
      <c r="G114" s="14">
        <v>12.078496499999998</v>
      </c>
      <c r="H114" s="16">
        <v>1631.5927983000001</v>
      </c>
      <c r="I114" s="16">
        <v>1396.2895682000003</v>
      </c>
      <c r="J114" s="3" t="s">
        <v>5011</v>
      </c>
      <c r="K114" s="16">
        <v>13160.158445764609</v>
      </c>
      <c r="L114" s="16">
        <v>2352.2564772000001</v>
      </c>
      <c r="M114" s="16">
        <f t="shared" si="3"/>
        <v>1.4416933438605997</v>
      </c>
    </row>
    <row r="115" spans="1:13" x14ac:dyDescent="0.25">
      <c r="A115" s="2">
        <f t="shared" si="2"/>
        <v>110</v>
      </c>
      <c r="B115" s="2">
        <v>972</v>
      </c>
      <c r="C115" s="2" t="s">
        <v>2621</v>
      </c>
      <c r="D115" s="14" t="s">
        <v>111</v>
      </c>
      <c r="E115" s="14">
        <v>0</v>
      </c>
      <c r="F115" s="14">
        <v>0</v>
      </c>
      <c r="G115" s="14">
        <v>0</v>
      </c>
      <c r="H115" s="16">
        <v>0</v>
      </c>
      <c r="I115" s="16">
        <v>0</v>
      </c>
      <c r="J115" s="3" t="s">
        <v>5011</v>
      </c>
      <c r="K115" s="16">
        <v>0</v>
      </c>
      <c r="L115" s="16">
        <v>0</v>
      </c>
      <c r="M115" s="16">
        <v>0</v>
      </c>
    </row>
    <row r="116" spans="1:13" x14ac:dyDescent="0.25">
      <c r="A116" s="2">
        <f t="shared" si="2"/>
        <v>111</v>
      </c>
      <c r="B116" s="2">
        <v>988</v>
      </c>
      <c r="C116" s="2" t="s">
        <v>2622</v>
      </c>
      <c r="D116" s="14" t="s">
        <v>112</v>
      </c>
      <c r="E116" s="14">
        <v>2.3690566</v>
      </c>
      <c r="F116" s="14">
        <v>0</v>
      </c>
      <c r="G116" s="14">
        <v>2.3690566</v>
      </c>
      <c r="H116" s="16">
        <v>446.55964409999996</v>
      </c>
      <c r="I116" s="16">
        <v>255.97226789999996</v>
      </c>
      <c r="J116" s="3" t="s">
        <v>5011</v>
      </c>
      <c r="K116" s="16">
        <v>3056.5438704317003</v>
      </c>
      <c r="L116" s="16">
        <v>481.80795689999997</v>
      </c>
      <c r="M116" s="16">
        <f t="shared" si="3"/>
        <v>1.0789330457100299</v>
      </c>
    </row>
    <row r="117" spans="1:13" x14ac:dyDescent="0.25">
      <c r="A117" s="2">
        <f t="shared" si="2"/>
        <v>112</v>
      </c>
      <c r="B117" s="2">
        <v>1006</v>
      </c>
      <c r="C117" s="2" t="s">
        <v>2623</v>
      </c>
      <c r="D117" s="14" t="s">
        <v>113</v>
      </c>
      <c r="E117" s="14">
        <v>0</v>
      </c>
      <c r="F117" s="14">
        <v>0</v>
      </c>
      <c r="G117" s="14">
        <v>0</v>
      </c>
      <c r="H117" s="16">
        <v>0</v>
      </c>
      <c r="I117" s="16">
        <v>0</v>
      </c>
      <c r="J117" s="3" t="s">
        <v>5011</v>
      </c>
      <c r="K117" s="16">
        <v>0</v>
      </c>
      <c r="L117" s="16">
        <v>0</v>
      </c>
      <c r="M117" s="16">
        <v>0</v>
      </c>
    </row>
    <row r="118" spans="1:13" x14ac:dyDescent="0.25">
      <c r="A118" s="2">
        <f t="shared" si="2"/>
        <v>113</v>
      </c>
      <c r="B118" s="2">
        <v>1012</v>
      </c>
      <c r="C118" s="2" t="s">
        <v>2624</v>
      </c>
      <c r="D118" s="14" t="s">
        <v>114</v>
      </c>
      <c r="E118" s="14">
        <v>2.8342579999999997</v>
      </c>
      <c r="F118" s="14">
        <v>0</v>
      </c>
      <c r="G118" s="14">
        <v>2.8342579999999997</v>
      </c>
      <c r="H118" s="16">
        <v>158.5585954</v>
      </c>
      <c r="I118" s="16">
        <v>-77.213090899999997</v>
      </c>
      <c r="J118" s="3" t="s">
        <v>5011</v>
      </c>
      <c r="K118" s="16">
        <v>2190.0559233157001</v>
      </c>
      <c r="L118" s="16">
        <v>162.85810220000002</v>
      </c>
      <c r="M118" s="16">
        <f t="shared" si="3"/>
        <v>1.0271162013585799</v>
      </c>
    </row>
    <row r="119" spans="1:13" x14ac:dyDescent="0.25">
      <c r="A119" s="2">
        <f t="shared" si="2"/>
        <v>114</v>
      </c>
      <c r="B119" s="2">
        <v>1017</v>
      </c>
      <c r="C119" s="2" t="s">
        <v>2625</v>
      </c>
      <c r="D119" s="14" t="s">
        <v>115</v>
      </c>
      <c r="E119" s="14">
        <v>2.1158999999999996E-3</v>
      </c>
      <c r="F119" s="14">
        <v>0</v>
      </c>
      <c r="G119" s="14">
        <v>2.1158999999999996E-3</v>
      </c>
      <c r="H119" s="16">
        <v>0.16999159999999999</v>
      </c>
      <c r="I119" s="16">
        <v>0.16999159999999999</v>
      </c>
      <c r="J119" s="3" t="s">
        <v>5011</v>
      </c>
      <c r="K119" s="16">
        <v>2.6918778121</v>
      </c>
      <c r="L119" s="16">
        <v>0.37381169999999997</v>
      </c>
      <c r="M119" s="16">
        <f t="shared" si="3"/>
        <v>2.1990010094616439</v>
      </c>
    </row>
    <row r="120" spans="1:13" x14ac:dyDescent="0.25">
      <c r="A120" s="2">
        <f t="shared" si="2"/>
        <v>115</v>
      </c>
      <c r="B120" s="2">
        <v>1022</v>
      </c>
      <c r="C120" s="2" t="s">
        <v>2626</v>
      </c>
      <c r="D120" s="14" t="s">
        <v>116</v>
      </c>
      <c r="E120" s="14">
        <v>0</v>
      </c>
      <c r="F120" s="14">
        <v>0</v>
      </c>
      <c r="G120" s="14">
        <v>0</v>
      </c>
      <c r="H120" s="16">
        <v>0</v>
      </c>
      <c r="I120" s="16">
        <v>0</v>
      </c>
      <c r="J120" s="3" t="s">
        <v>5011</v>
      </c>
      <c r="K120" s="16">
        <v>0</v>
      </c>
      <c r="L120" s="16">
        <v>0</v>
      </c>
      <c r="M120" s="16">
        <v>0</v>
      </c>
    </row>
    <row r="121" spans="1:13" x14ac:dyDescent="0.25">
      <c r="A121" s="2">
        <f t="shared" si="2"/>
        <v>116</v>
      </c>
      <c r="B121" s="2">
        <v>1027</v>
      </c>
      <c r="C121" s="2" t="s">
        <v>2627</v>
      </c>
      <c r="D121" s="14" t="s">
        <v>117</v>
      </c>
      <c r="E121" s="14">
        <v>0</v>
      </c>
      <c r="F121" s="14">
        <v>0</v>
      </c>
      <c r="G121" s="14">
        <v>0</v>
      </c>
      <c r="H121" s="16">
        <v>0</v>
      </c>
      <c r="I121" s="16">
        <v>0</v>
      </c>
      <c r="J121" s="3" t="s">
        <v>5011</v>
      </c>
      <c r="K121" s="16">
        <v>0</v>
      </c>
      <c r="L121" s="16">
        <v>0</v>
      </c>
      <c r="M121" s="16">
        <v>0</v>
      </c>
    </row>
    <row r="122" spans="1:13" x14ac:dyDescent="0.25">
      <c r="A122" s="2">
        <f t="shared" si="2"/>
        <v>117</v>
      </c>
      <c r="B122" s="2">
        <v>1031</v>
      </c>
      <c r="C122" s="2" t="s">
        <v>2628</v>
      </c>
      <c r="D122" s="14" t="s">
        <v>118</v>
      </c>
      <c r="E122" s="14">
        <v>0</v>
      </c>
      <c r="F122" s="14">
        <v>0</v>
      </c>
      <c r="G122" s="14">
        <v>0</v>
      </c>
      <c r="H122" s="16">
        <v>0</v>
      </c>
      <c r="I122" s="16">
        <v>0</v>
      </c>
      <c r="J122" s="3" t="s">
        <v>5011</v>
      </c>
      <c r="K122" s="16">
        <v>0</v>
      </c>
      <c r="L122" s="16">
        <v>0</v>
      </c>
      <c r="M122" s="16">
        <v>0</v>
      </c>
    </row>
    <row r="123" spans="1:13" x14ac:dyDescent="0.25">
      <c r="A123" s="2">
        <f t="shared" si="2"/>
        <v>118</v>
      </c>
      <c r="B123" s="2">
        <v>1037</v>
      </c>
      <c r="C123" s="2" t="s">
        <v>2629</v>
      </c>
      <c r="D123" s="14" t="s">
        <v>119</v>
      </c>
      <c r="E123" s="14">
        <v>4.5708760000000002</v>
      </c>
      <c r="F123" s="14">
        <v>0</v>
      </c>
      <c r="G123" s="14">
        <v>4.5708760000000002</v>
      </c>
      <c r="H123" s="16">
        <v>64.45678190000001</v>
      </c>
      <c r="I123" s="16">
        <v>46.7749278</v>
      </c>
      <c r="J123" s="3" t="s">
        <v>5011</v>
      </c>
      <c r="K123" s="16">
        <v>3515.4331607866006</v>
      </c>
      <c r="L123" s="16">
        <v>392.45697419999999</v>
      </c>
      <c r="M123" s="16">
        <f t="shared" si="3"/>
        <v>6.0886839620517872</v>
      </c>
    </row>
    <row r="124" spans="1:13" x14ac:dyDescent="0.25">
      <c r="A124" s="2">
        <f t="shared" si="2"/>
        <v>119</v>
      </c>
      <c r="B124" s="2">
        <v>1084</v>
      </c>
      <c r="C124" s="2" t="s">
        <v>2630</v>
      </c>
      <c r="D124" s="14" t="s">
        <v>120</v>
      </c>
      <c r="E124" s="14">
        <v>4.5952699999999992E-2</v>
      </c>
      <c r="F124" s="14">
        <v>0</v>
      </c>
      <c r="G124" s="14">
        <v>4.5952699999999992E-2</v>
      </c>
      <c r="H124" s="16">
        <v>3.0898455</v>
      </c>
      <c r="I124" s="16">
        <v>2.6555141999999998</v>
      </c>
      <c r="J124" s="3" t="s">
        <v>5011</v>
      </c>
      <c r="K124" s="16">
        <v>56.070515192600006</v>
      </c>
      <c r="L124" s="16">
        <v>7.7993852000000006</v>
      </c>
      <c r="M124" s="16">
        <f t="shared" si="3"/>
        <v>2.5241990902134104</v>
      </c>
    </row>
    <row r="125" spans="1:13" x14ac:dyDescent="0.25">
      <c r="A125" s="2">
        <f t="shared" si="2"/>
        <v>120</v>
      </c>
      <c r="B125" s="2">
        <v>1098</v>
      </c>
      <c r="C125" s="2" t="s">
        <v>2631</v>
      </c>
      <c r="D125" s="14" t="s">
        <v>121</v>
      </c>
      <c r="E125" s="14">
        <v>0</v>
      </c>
      <c r="F125" s="14">
        <v>0</v>
      </c>
      <c r="G125" s="14">
        <v>0</v>
      </c>
      <c r="H125" s="16">
        <v>0</v>
      </c>
      <c r="I125" s="16">
        <v>0</v>
      </c>
      <c r="J125" s="3" t="s">
        <v>5011</v>
      </c>
      <c r="K125" s="16">
        <v>0</v>
      </c>
      <c r="L125" s="16">
        <v>0</v>
      </c>
      <c r="M125" s="16">
        <v>0</v>
      </c>
    </row>
    <row r="126" spans="1:13" x14ac:dyDescent="0.25">
      <c r="A126" s="2">
        <f t="shared" si="2"/>
        <v>121</v>
      </c>
      <c r="B126" s="2">
        <v>1101</v>
      </c>
      <c r="C126" s="2" t="s">
        <v>2632</v>
      </c>
      <c r="D126" s="14" t="s">
        <v>122</v>
      </c>
      <c r="E126" s="14">
        <v>0</v>
      </c>
      <c r="F126" s="14">
        <v>0</v>
      </c>
      <c r="G126" s="14">
        <v>0</v>
      </c>
      <c r="H126" s="16">
        <v>0</v>
      </c>
      <c r="I126" s="16">
        <v>0</v>
      </c>
      <c r="J126" s="3" t="s">
        <v>5011</v>
      </c>
      <c r="K126" s="16">
        <v>0</v>
      </c>
      <c r="L126" s="16">
        <v>0</v>
      </c>
      <c r="M126" s="16">
        <v>0</v>
      </c>
    </row>
    <row r="127" spans="1:13" x14ac:dyDescent="0.25">
      <c r="A127" s="2">
        <f t="shared" si="2"/>
        <v>122</v>
      </c>
      <c r="B127" s="2">
        <v>1106</v>
      </c>
      <c r="C127" s="2" t="s">
        <v>2633</v>
      </c>
      <c r="D127" s="14" t="s">
        <v>123</v>
      </c>
      <c r="E127" s="14">
        <v>0</v>
      </c>
      <c r="F127" s="14">
        <v>0</v>
      </c>
      <c r="G127" s="14">
        <v>0</v>
      </c>
      <c r="H127" s="16">
        <v>0</v>
      </c>
      <c r="I127" s="16">
        <v>0</v>
      </c>
      <c r="J127" s="3" t="s">
        <v>5011</v>
      </c>
      <c r="K127" s="16">
        <v>0</v>
      </c>
      <c r="L127" s="16">
        <v>0</v>
      </c>
      <c r="M127" s="16">
        <v>0</v>
      </c>
    </row>
    <row r="128" spans="1:13" x14ac:dyDescent="0.25">
      <c r="A128" s="2">
        <f t="shared" si="2"/>
        <v>123</v>
      </c>
      <c r="B128" s="2">
        <v>1132</v>
      </c>
      <c r="C128" s="2" t="s">
        <v>2634</v>
      </c>
      <c r="D128" s="14" t="s">
        <v>124</v>
      </c>
      <c r="E128" s="14">
        <v>7.9694618999999998</v>
      </c>
      <c r="F128" s="14">
        <v>0</v>
      </c>
      <c r="G128" s="14">
        <v>7.9694618999999998</v>
      </c>
      <c r="H128" s="16">
        <v>693.29719599999999</v>
      </c>
      <c r="I128" s="16">
        <v>681.8819547999999</v>
      </c>
      <c r="J128" s="3" t="s">
        <v>5011</v>
      </c>
      <c r="K128" s="16">
        <v>7600.9796872715997</v>
      </c>
      <c r="L128" s="16">
        <v>1234.3147024</v>
      </c>
      <c r="M128" s="16">
        <f t="shared" si="3"/>
        <v>1.7803543841247556</v>
      </c>
    </row>
    <row r="129" spans="1:13" x14ac:dyDescent="0.25">
      <c r="A129" s="2">
        <f t="shared" si="2"/>
        <v>124</v>
      </c>
      <c r="B129" s="2">
        <v>1133</v>
      </c>
      <c r="C129" s="2" t="s">
        <v>2635</v>
      </c>
      <c r="D129" s="14" t="s">
        <v>125</v>
      </c>
      <c r="E129" s="14">
        <v>0.79789140000000014</v>
      </c>
      <c r="F129" s="14">
        <v>0</v>
      </c>
      <c r="G129" s="14">
        <v>0.79789140000000014</v>
      </c>
      <c r="H129" s="16">
        <v>105.0310832</v>
      </c>
      <c r="I129" s="16">
        <v>79.66771</v>
      </c>
      <c r="J129" s="3" t="s">
        <v>5011</v>
      </c>
      <c r="K129" s="16">
        <v>1016.5285584515998</v>
      </c>
      <c r="L129" s="16">
        <v>155.04773169999999</v>
      </c>
      <c r="M129" s="16">
        <f t="shared" si="3"/>
        <v>1.4762080612342003</v>
      </c>
    </row>
    <row r="130" spans="1:13" x14ac:dyDescent="0.25">
      <c r="A130" s="2">
        <f t="shared" si="2"/>
        <v>125</v>
      </c>
      <c r="B130" s="2">
        <v>1134</v>
      </c>
      <c r="C130" s="2" t="s">
        <v>2636</v>
      </c>
      <c r="D130" s="14" t="s">
        <v>126</v>
      </c>
      <c r="E130" s="14">
        <v>0</v>
      </c>
      <c r="F130" s="14">
        <v>0</v>
      </c>
      <c r="G130" s="14">
        <v>0</v>
      </c>
      <c r="H130" s="16">
        <v>0</v>
      </c>
      <c r="I130" s="16">
        <v>0</v>
      </c>
      <c r="J130" s="3" t="s">
        <v>5011</v>
      </c>
      <c r="K130" s="16">
        <v>0</v>
      </c>
      <c r="L130" s="16">
        <v>0</v>
      </c>
      <c r="M130" s="16">
        <v>0</v>
      </c>
    </row>
    <row r="131" spans="1:13" x14ac:dyDescent="0.25">
      <c r="A131" s="2">
        <f t="shared" si="2"/>
        <v>126</v>
      </c>
      <c r="B131" s="2">
        <v>1142</v>
      </c>
      <c r="C131" s="2" t="s">
        <v>2637</v>
      </c>
      <c r="D131" s="14" t="s">
        <v>127</v>
      </c>
      <c r="E131" s="14">
        <v>162.60483269999997</v>
      </c>
      <c r="F131" s="14">
        <v>0</v>
      </c>
      <c r="G131" s="14">
        <v>162.60483269999997</v>
      </c>
      <c r="H131" s="16">
        <v>8168.4746961999999</v>
      </c>
      <c r="I131" s="16">
        <v>2449.0235902999998</v>
      </c>
      <c r="J131" s="3" t="s">
        <v>5011</v>
      </c>
      <c r="K131" s="16">
        <v>137947.47817880692</v>
      </c>
      <c r="L131" s="16">
        <v>15986.313313900002</v>
      </c>
      <c r="M131" s="16">
        <f t="shared" si="3"/>
        <v>1.957074473320813</v>
      </c>
    </row>
    <row r="132" spans="1:13" x14ac:dyDescent="0.25">
      <c r="A132" s="2">
        <f t="shared" si="2"/>
        <v>127</v>
      </c>
      <c r="B132" s="2">
        <v>1146</v>
      </c>
      <c r="C132" s="2" t="s">
        <v>2638</v>
      </c>
      <c r="D132" s="14" t="s">
        <v>128</v>
      </c>
      <c r="E132" s="14">
        <v>3.0024107</v>
      </c>
      <c r="F132" s="14">
        <v>0</v>
      </c>
      <c r="G132" s="14">
        <v>3.0024107</v>
      </c>
      <c r="H132" s="16">
        <v>138.53615820000002</v>
      </c>
      <c r="I132" s="16">
        <v>124.7890992</v>
      </c>
      <c r="J132" s="3" t="s">
        <v>5011</v>
      </c>
      <c r="K132" s="16">
        <v>3301.1607458435997</v>
      </c>
      <c r="L132" s="16">
        <v>414.30816950000002</v>
      </c>
      <c r="M132" s="16">
        <f t="shared" si="3"/>
        <v>2.9906139659357174</v>
      </c>
    </row>
    <row r="133" spans="1:13" x14ac:dyDescent="0.25">
      <c r="A133" s="2">
        <f t="shared" si="2"/>
        <v>128</v>
      </c>
      <c r="B133" s="2">
        <v>1160</v>
      </c>
      <c r="C133" s="2" t="s">
        <v>2639</v>
      </c>
      <c r="D133" s="14" t="s">
        <v>129</v>
      </c>
      <c r="E133" s="14">
        <v>12.685278399999998</v>
      </c>
      <c r="F133" s="14">
        <v>0</v>
      </c>
      <c r="G133" s="14">
        <v>12.685278399999998</v>
      </c>
      <c r="H133" s="16">
        <v>597.67052339999998</v>
      </c>
      <c r="I133" s="16">
        <v>377.78210600000011</v>
      </c>
      <c r="J133" s="3" t="s">
        <v>5011</v>
      </c>
      <c r="K133" s="16">
        <v>10555.991585582397</v>
      </c>
      <c r="L133" s="16">
        <v>1370.6964419000001</v>
      </c>
      <c r="M133" s="16">
        <f t="shared" si="3"/>
        <v>2.2933980985082663</v>
      </c>
    </row>
    <row r="134" spans="1:13" x14ac:dyDescent="0.25">
      <c r="A134" s="2">
        <f t="shared" si="2"/>
        <v>129</v>
      </c>
      <c r="B134" s="2">
        <v>1164</v>
      </c>
      <c r="C134" s="2" t="s">
        <v>2640</v>
      </c>
      <c r="D134" s="14" t="s">
        <v>130</v>
      </c>
      <c r="E134" s="14">
        <v>0.33935190000000004</v>
      </c>
      <c r="F134" s="14">
        <v>0</v>
      </c>
      <c r="G134" s="14">
        <v>0.33935190000000004</v>
      </c>
      <c r="H134" s="16">
        <v>30.748464100000003</v>
      </c>
      <c r="I134" s="16">
        <v>17.550927500000004</v>
      </c>
      <c r="J134" s="3" t="s">
        <v>5011</v>
      </c>
      <c r="K134" s="16">
        <v>457.15883770949995</v>
      </c>
      <c r="L134" s="16">
        <v>60.371013499999997</v>
      </c>
      <c r="M134" s="16">
        <f t="shared" si="3"/>
        <v>1.9633830588630927</v>
      </c>
    </row>
    <row r="135" spans="1:13" x14ac:dyDescent="0.25">
      <c r="A135" s="2">
        <f t="shared" si="2"/>
        <v>130</v>
      </c>
      <c r="B135" s="2">
        <v>1173</v>
      </c>
      <c r="C135" s="2" t="s">
        <v>2641</v>
      </c>
      <c r="D135" s="14" t="s">
        <v>131</v>
      </c>
      <c r="E135" s="14">
        <v>1.4414725999999998</v>
      </c>
      <c r="F135" s="14">
        <v>0</v>
      </c>
      <c r="G135" s="14">
        <v>1.4414725999999998</v>
      </c>
      <c r="H135" s="16">
        <v>81.803044400000005</v>
      </c>
      <c r="I135" s="16">
        <v>69.695909600000007</v>
      </c>
      <c r="J135" s="3" t="s">
        <v>5011</v>
      </c>
      <c r="K135" s="16">
        <v>1338.1788782745002</v>
      </c>
      <c r="L135" s="16">
        <v>169.12030559999999</v>
      </c>
      <c r="M135" s="16">
        <f t="shared" ref="M135:M198" si="4">L135/H135</f>
        <v>2.0674084545440214</v>
      </c>
    </row>
    <row r="136" spans="1:13" x14ac:dyDescent="0.25">
      <c r="A136" s="2">
        <f t="shared" ref="A136:A199" si="5">A135+1</f>
        <v>131</v>
      </c>
      <c r="B136" s="2">
        <v>1174</v>
      </c>
      <c r="C136" s="2" t="s">
        <v>2642</v>
      </c>
      <c r="D136" s="14" t="s">
        <v>132</v>
      </c>
      <c r="E136" s="14">
        <v>1.48865E-2</v>
      </c>
      <c r="F136" s="14">
        <v>0</v>
      </c>
      <c r="G136" s="14">
        <v>1.48865E-2</v>
      </c>
      <c r="H136" s="16">
        <v>5.6847161000000002</v>
      </c>
      <c r="I136" s="16">
        <v>5.6847161000000002</v>
      </c>
      <c r="J136" s="3" t="s">
        <v>5011</v>
      </c>
      <c r="K136" s="16">
        <v>24.905525758300001</v>
      </c>
      <c r="L136" s="16">
        <v>6.7054628000000003</v>
      </c>
      <c r="M136" s="16">
        <f t="shared" si="4"/>
        <v>1.1795598376495882</v>
      </c>
    </row>
    <row r="137" spans="1:13" x14ac:dyDescent="0.25">
      <c r="A137" s="2">
        <f t="shared" si="5"/>
        <v>132</v>
      </c>
      <c r="B137" s="2">
        <v>1186</v>
      </c>
      <c r="C137" s="2" t="s">
        <v>2643</v>
      </c>
      <c r="D137" s="14" t="s">
        <v>133</v>
      </c>
      <c r="E137" s="14">
        <v>4.4089995999999996</v>
      </c>
      <c r="F137" s="14">
        <v>0</v>
      </c>
      <c r="G137" s="14">
        <v>4.4089995999999996</v>
      </c>
      <c r="H137" s="16">
        <v>310.7294665</v>
      </c>
      <c r="I137" s="16">
        <v>279.65427669999997</v>
      </c>
      <c r="J137" s="3" t="s">
        <v>5011</v>
      </c>
      <c r="K137" s="16">
        <v>4563.3435707051012</v>
      </c>
      <c r="L137" s="16">
        <v>667.74159439999994</v>
      </c>
      <c r="M137" s="16">
        <f t="shared" si="4"/>
        <v>2.1489484145849422</v>
      </c>
    </row>
    <row r="138" spans="1:13" x14ac:dyDescent="0.25">
      <c r="A138" s="2">
        <f t="shared" si="5"/>
        <v>133</v>
      </c>
      <c r="B138" s="2">
        <v>1209</v>
      </c>
      <c r="C138" s="2" t="s">
        <v>2644</v>
      </c>
      <c r="D138" s="14" t="s">
        <v>134</v>
      </c>
      <c r="E138" s="14">
        <v>0</v>
      </c>
      <c r="F138" s="14">
        <v>0</v>
      </c>
      <c r="G138" s="14">
        <v>0</v>
      </c>
      <c r="H138" s="16">
        <v>87.38696019999999</v>
      </c>
      <c r="I138" s="16">
        <v>34.8968992</v>
      </c>
      <c r="J138" s="3" t="s">
        <v>5011</v>
      </c>
      <c r="K138" s="16">
        <v>793.36423716320019</v>
      </c>
      <c r="L138" s="16">
        <v>177.8089348</v>
      </c>
      <c r="M138" s="16">
        <f t="shared" si="4"/>
        <v>2.0347307469335685</v>
      </c>
    </row>
    <row r="139" spans="1:13" x14ac:dyDescent="0.25">
      <c r="A139" s="2">
        <f t="shared" si="5"/>
        <v>134</v>
      </c>
      <c r="B139" s="2">
        <v>1219</v>
      </c>
      <c r="C139" s="2" t="s">
        <v>2645</v>
      </c>
      <c r="D139" s="14" t="s">
        <v>135</v>
      </c>
      <c r="E139" s="14">
        <v>14.253897400000001</v>
      </c>
      <c r="F139" s="14">
        <v>0</v>
      </c>
      <c r="G139" s="14">
        <v>14.253897400000001</v>
      </c>
      <c r="H139" s="16">
        <v>102.0798963</v>
      </c>
      <c r="I139" s="16">
        <v>102.0798963</v>
      </c>
      <c r="J139" s="3" t="s">
        <v>5011</v>
      </c>
      <c r="K139" s="16">
        <v>11867.1398831072</v>
      </c>
      <c r="L139" s="16">
        <v>1259.0150523</v>
      </c>
      <c r="M139" s="16">
        <f t="shared" si="4"/>
        <v>12.333623935117576</v>
      </c>
    </row>
    <row r="140" spans="1:13" x14ac:dyDescent="0.25">
      <c r="A140" s="2">
        <f t="shared" si="5"/>
        <v>135</v>
      </c>
      <c r="B140" s="2">
        <v>1226</v>
      </c>
      <c r="C140" s="2" t="s">
        <v>2646</v>
      </c>
      <c r="D140" s="14" t="s">
        <v>136</v>
      </c>
      <c r="E140" s="14">
        <v>0.14458429999999997</v>
      </c>
      <c r="F140" s="14">
        <v>0</v>
      </c>
      <c r="G140" s="14">
        <v>0.14458429999999997</v>
      </c>
      <c r="H140" s="16">
        <v>46.347967400000002</v>
      </c>
      <c r="I140" s="16">
        <v>41.257682500000001</v>
      </c>
      <c r="J140" s="3" t="s">
        <v>5011</v>
      </c>
      <c r="K140" s="16">
        <v>235.33487474630002</v>
      </c>
      <c r="L140" s="16">
        <v>50.226028300000003</v>
      </c>
      <c r="M140" s="16">
        <f t="shared" si="4"/>
        <v>1.083672728655626</v>
      </c>
    </row>
    <row r="141" spans="1:13" x14ac:dyDescent="0.25">
      <c r="A141" s="2">
        <f t="shared" si="5"/>
        <v>136</v>
      </c>
      <c r="B141" s="2">
        <v>1235</v>
      </c>
      <c r="C141" s="2" t="s">
        <v>2647</v>
      </c>
      <c r="D141" s="14" t="s">
        <v>137</v>
      </c>
      <c r="E141" s="14">
        <v>0</v>
      </c>
      <c r="F141" s="14">
        <v>0</v>
      </c>
      <c r="G141" s="14">
        <v>0</v>
      </c>
      <c r="H141" s="16">
        <v>0</v>
      </c>
      <c r="I141" s="16">
        <v>0</v>
      </c>
      <c r="J141" s="3" t="s">
        <v>5011</v>
      </c>
      <c r="K141" s="16">
        <v>0</v>
      </c>
      <c r="L141" s="16">
        <v>0</v>
      </c>
      <c r="M141" s="16">
        <v>0</v>
      </c>
    </row>
    <row r="142" spans="1:13" x14ac:dyDescent="0.25">
      <c r="A142" s="2">
        <f t="shared" si="5"/>
        <v>137</v>
      </c>
      <c r="B142" s="2">
        <v>1238</v>
      </c>
      <c r="C142" s="2" t="s">
        <v>2648</v>
      </c>
      <c r="D142" s="14" t="s">
        <v>138</v>
      </c>
      <c r="E142" s="14">
        <v>5.0748334999999996</v>
      </c>
      <c r="F142" s="14">
        <v>0</v>
      </c>
      <c r="G142" s="14">
        <v>5.0748334999999996</v>
      </c>
      <c r="H142" s="16">
        <v>2062.7568627999999</v>
      </c>
      <c r="I142" s="16">
        <v>2062.7568627999999</v>
      </c>
      <c r="J142" s="3" t="s">
        <v>5011</v>
      </c>
      <c r="K142" s="16">
        <v>6168.1203427904002</v>
      </c>
      <c r="L142" s="16">
        <v>2273.2697472999998</v>
      </c>
      <c r="M142" s="16">
        <f t="shared" si="4"/>
        <v>1.1020541433149074</v>
      </c>
    </row>
    <row r="143" spans="1:13" x14ac:dyDescent="0.25">
      <c r="A143" s="2">
        <f t="shared" si="5"/>
        <v>138</v>
      </c>
      <c r="B143" s="2">
        <v>1239</v>
      </c>
      <c r="C143" s="2" t="s">
        <v>2649</v>
      </c>
      <c r="D143" s="14" t="s">
        <v>139</v>
      </c>
      <c r="E143" s="14">
        <v>0</v>
      </c>
      <c r="F143" s="14">
        <v>0</v>
      </c>
      <c r="G143" s="14">
        <v>0</v>
      </c>
      <c r="H143" s="16">
        <v>0</v>
      </c>
      <c r="I143" s="16">
        <v>0</v>
      </c>
      <c r="J143" s="3" t="s">
        <v>5011</v>
      </c>
      <c r="K143" s="16">
        <v>0</v>
      </c>
      <c r="L143" s="16">
        <v>0</v>
      </c>
      <c r="M143" s="16">
        <v>0</v>
      </c>
    </row>
    <row r="144" spans="1:13" x14ac:dyDescent="0.25">
      <c r="A144" s="2">
        <f t="shared" si="5"/>
        <v>139</v>
      </c>
      <c r="B144" s="2">
        <v>1240</v>
      </c>
      <c r="C144" s="2" t="s">
        <v>2650</v>
      </c>
      <c r="D144" s="14" t="s">
        <v>140</v>
      </c>
      <c r="E144" s="14">
        <v>0.78921089999999994</v>
      </c>
      <c r="F144" s="14">
        <v>0</v>
      </c>
      <c r="G144" s="14">
        <v>0.78921089999999994</v>
      </c>
      <c r="H144" s="16">
        <v>247.28872469999999</v>
      </c>
      <c r="I144" s="16">
        <v>207.25713779999998</v>
      </c>
      <c r="J144" s="3" t="s">
        <v>5011</v>
      </c>
      <c r="K144" s="16">
        <v>1091.3484764071</v>
      </c>
      <c r="L144" s="16">
        <v>253.07127699999998</v>
      </c>
      <c r="M144" s="16">
        <f t="shared" si="4"/>
        <v>1.0233838089747729</v>
      </c>
    </row>
    <row r="145" spans="1:13" x14ac:dyDescent="0.25">
      <c r="A145" s="2">
        <f t="shared" si="5"/>
        <v>140</v>
      </c>
      <c r="B145" s="2">
        <v>1300</v>
      </c>
      <c r="C145" s="2" t="s">
        <v>2651</v>
      </c>
      <c r="D145" s="14" t="s">
        <v>141</v>
      </c>
      <c r="E145" s="14">
        <v>0.22466969999999997</v>
      </c>
      <c r="F145" s="14">
        <v>0</v>
      </c>
      <c r="G145" s="14">
        <v>0.22466969999999997</v>
      </c>
      <c r="H145" s="16">
        <v>6.9196540000000004</v>
      </c>
      <c r="I145" s="16">
        <v>-2.3057892999999994</v>
      </c>
      <c r="J145" s="3" t="s">
        <v>5011</v>
      </c>
      <c r="K145" s="16">
        <v>220.81880567269999</v>
      </c>
      <c r="L145" s="16">
        <v>26.046785699999997</v>
      </c>
      <c r="M145" s="16">
        <f t="shared" si="4"/>
        <v>3.7641745815614476</v>
      </c>
    </row>
    <row r="146" spans="1:13" x14ac:dyDescent="0.25">
      <c r="A146" s="2">
        <f t="shared" si="5"/>
        <v>141</v>
      </c>
      <c r="B146" s="2">
        <v>1308</v>
      </c>
      <c r="C146" s="2" t="s">
        <v>2652</v>
      </c>
      <c r="D146" s="14" t="s">
        <v>142</v>
      </c>
      <c r="E146" s="14">
        <v>0.99470919999999996</v>
      </c>
      <c r="F146" s="14">
        <v>0</v>
      </c>
      <c r="G146" s="14">
        <v>0.99470919999999996</v>
      </c>
      <c r="H146" s="16">
        <v>156.88390770000001</v>
      </c>
      <c r="I146" s="16">
        <v>144.7548611</v>
      </c>
      <c r="J146" s="3" t="s">
        <v>5011</v>
      </c>
      <c r="K146" s="16">
        <v>1083.3402182744996</v>
      </c>
      <c r="L146" s="16">
        <v>222.86257170000002</v>
      </c>
      <c r="M146" s="16">
        <f t="shared" si="4"/>
        <v>1.4205572449544486</v>
      </c>
    </row>
    <row r="147" spans="1:13" x14ac:dyDescent="0.25">
      <c r="A147" s="2">
        <f t="shared" si="5"/>
        <v>142</v>
      </c>
      <c r="B147" s="2">
        <v>1319</v>
      </c>
      <c r="C147" s="2" t="s">
        <v>2653</v>
      </c>
      <c r="D147" s="14" t="s">
        <v>143</v>
      </c>
      <c r="E147" s="14">
        <v>2.8316820000000003</v>
      </c>
      <c r="F147" s="14">
        <v>0</v>
      </c>
      <c r="G147" s="14">
        <v>2.8316820000000003</v>
      </c>
      <c r="H147" s="16">
        <v>16.042663999999998</v>
      </c>
      <c r="I147" s="16">
        <v>-12.147295500000002</v>
      </c>
      <c r="J147" s="3" t="s">
        <v>5011</v>
      </c>
      <c r="K147" s="16">
        <v>2545.8530184426004</v>
      </c>
      <c r="L147" s="16">
        <v>254.20866230000001</v>
      </c>
      <c r="M147" s="16">
        <f t="shared" si="4"/>
        <v>15.845788598452229</v>
      </c>
    </row>
    <row r="148" spans="1:13" x14ac:dyDescent="0.25">
      <c r="A148" s="2">
        <f t="shared" si="5"/>
        <v>143</v>
      </c>
      <c r="B148" s="2">
        <v>1335</v>
      </c>
      <c r="C148" s="2" t="s">
        <v>2654</v>
      </c>
      <c r="D148" s="14" t="s">
        <v>144</v>
      </c>
      <c r="E148" s="14">
        <v>0</v>
      </c>
      <c r="F148" s="14">
        <v>0</v>
      </c>
      <c r="G148" s="14">
        <v>0</v>
      </c>
      <c r="H148" s="16">
        <v>0</v>
      </c>
      <c r="I148" s="16">
        <v>0</v>
      </c>
      <c r="J148" s="3" t="s">
        <v>5011</v>
      </c>
      <c r="K148" s="16">
        <v>0</v>
      </c>
      <c r="L148" s="16">
        <v>0</v>
      </c>
      <c r="M148" s="16">
        <v>0</v>
      </c>
    </row>
    <row r="149" spans="1:13" x14ac:dyDescent="0.25">
      <c r="A149" s="2">
        <f t="shared" si="5"/>
        <v>144</v>
      </c>
      <c r="B149" s="2">
        <v>1343</v>
      </c>
      <c r="C149" s="2" t="s">
        <v>2655</v>
      </c>
      <c r="D149" s="14" t="s">
        <v>145</v>
      </c>
      <c r="E149" s="14">
        <v>0</v>
      </c>
      <c r="F149" s="14">
        <v>0</v>
      </c>
      <c r="G149" s="14">
        <v>0</v>
      </c>
      <c r="H149" s="16">
        <v>0</v>
      </c>
      <c r="I149" s="16">
        <v>0</v>
      </c>
      <c r="J149" s="3" t="s">
        <v>5011</v>
      </c>
      <c r="K149" s="16">
        <v>0</v>
      </c>
      <c r="L149" s="16">
        <v>0</v>
      </c>
      <c r="M149" s="16">
        <v>0</v>
      </c>
    </row>
    <row r="150" spans="1:13" x14ac:dyDescent="0.25">
      <c r="A150" s="2">
        <f t="shared" si="5"/>
        <v>145</v>
      </c>
      <c r="B150" s="2">
        <v>1350</v>
      </c>
      <c r="C150" s="2" t="s">
        <v>2656</v>
      </c>
      <c r="D150" s="14" t="s">
        <v>146</v>
      </c>
      <c r="E150" s="14">
        <v>1.1666302</v>
      </c>
      <c r="F150" s="14">
        <v>0</v>
      </c>
      <c r="G150" s="14">
        <v>1.1666302</v>
      </c>
      <c r="H150" s="16">
        <v>172.45981940000001</v>
      </c>
      <c r="I150" s="16">
        <v>145.53707680000002</v>
      </c>
      <c r="J150" s="3" t="s">
        <v>5011</v>
      </c>
      <c r="K150" s="16">
        <v>1317.5566415640001</v>
      </c>
      <c r="L150" s="16">
        <v>227.727768</v>
      </c>
      <c r="M150" s="16">
        <f t="shared" si="4"/>
        <v>1.3204685519924648</v>
      </c>
    </row>
    <row r="151" spans="1:13" x14ac:dyDescent="0.25">
      <c r="A151" s="2">
        <f t="shared" si="5"/>
        <v>146</v>
      </c>
      <c r="B151" s="2">
        <v>1379</v>
      </c>
      <c r="C151" s="2" t="s">
        <v>2657</v>
      </c>
      <c r="D151" s="14" t="s">
        <v>147</v>
      </c>
      <c r="E151" s="14">
        <v>0</v>
      </c>
      <c r="F151" s="14">
        <v>0</v>
      </c>
      <c r="G151" s="14">
        <v>0</v>
      </c>
      <c r="H151" s="16">
        <v>0</v>
      </c>
      <c r="I151" s="16">
        <v>0</v>
      </c>
      <c r="J151" s="3" t="s">
        <v>5011</v>
      </c>
      <c r="K151" s="16">
        <v>0</v>
      </c>
      <c r="L151" s="16">
        <v>0</v>
      </c>
      <c r="M151" s="16">
        <v>0</v>
      </c>
    </row>
    <row r="152" spans="1:13" x14ac:dyDescent="0.25">
      <c r="A152" s="2">
        <f t="shared" si="5"/>
        <v>147</v>
      </c>
      <c r="B152" s="2">
        <v>1386</v>
      </c>
      <c r="C152" s="2" t="s">
        <v>2658</v>
      </c>
      <c r="D152" s="14" t="s">
        <v>148</v>
      </c>
      <c r="E152" s="14">
        <v>0.10784779999999999</v>
      </c>
      <c r="F152" s="14">
        <v>0</v>
      </c>
      <c r="G152" s="14">
        <v>0.10784779999999999</v>
      </c>
      <c r="H152" s="16">
        <v>63.988801100000003</v>
      </c>
      <c r="I152" s="16">
        <v>61.386615200000001</v>
      </c>
      <c r="J152" s="3" t="s">
        <v>5011</v>
      </c>
      <c r="K152" s="16">
        <v>491.67722901819997</v>
      </c>
      <c r="L152" s="16">
        <v>92.168753100000004</v>
      </c>
      <c r="M152" s="16">
        <f t="shared" si="4"/>
        <v>1.4403888104726501</v>
      </c>
    </row>
    <row r="153" spans="1:13" x14ac:dyDescent="0.25">
      <c r="A153" s="2">
        <f t="shared" si="5"/>
        <v>148</v>
      </c>
      <c r="B153" s="2">
        <v>1390</v>
      </c>
      <c r="C153" s="2" t="s">
        <v>2659</v>
      </c>
      <c r="D153" s="14" t="s">
        <v>149</v>
      </c>
      <c r="E153" s="14">
        <v>13.202794299999999</v>
      </c>
      <c r="F153" s="14">
        <v>0</v>
      </c>
      <c r="G153" s="14">
        <v>13.202794299999999</v>
      </c>
      <c r="H153" s="16">
        <v>3881.9128606999998</v>
      </c>
      <c r="I153" s="16">
        <v>3489.6728598</v>
      </c>
      <c r="J153" s="3" t="s">
        <v>5011</v>
      </c>
      <c r="K153" s="16">
        <v>15665.584732837984</v>
      </c>
      <c r="L153" s="16">
        <v>4277.4304407</v>
      </c>
      <c r="M153" s="16">
        <f t="shared" si="4"/>
        <v>1.1018872896411898</v>
      </c>
    </row>
    <row r="154" spans="1:13" x14ac:dyDescent="0.25">
      <c r="A154" s="2">
        <f t="shared" si="5"/>
        <v>149</v>
      </c>
      <c r="B154" s="2">
        <v>1406</v>
      </c>
      <c r="C154" s="2" t="s">
        <v>2660</v>
      </c>
      <c r="D154" s="14" t="s">
        <v>150</v>
      </c>
      <c r="E154" s="14">
        <v>0.19742379999999998</v>
      </c>
      <c r="F154" s="14">
        <v>0</v>
      </c>
      <c r="G154" s="14">
        <v>0.19742379999999998</v>
      </c>
      <c r="H154" s="16">
        <v>84.160525000000007</v>
      </c>
      <c r="I154" s="16">
        <v>74.400790600000008</v>
      </c>
      <c r="J154" s="3" t="s">
        <v>5011</v>
      </c>
      <c r="K154" s="16">
        <v>341.69760592579996</v>
      </c>
      <c r="L154" s="16">
        <v>94.403625600000012</v>
      </c>
      <c r="M154" s="16">
        <f t="shared" si="4"/>
        <v>1.1217090862966932</v>
      </c>
    </row>
    <row r="155" spans="1:13" x14ac:dyDescent="0.25">
      <c r="A155" s="2">
        <f t="shared" si="5"/>
        <v>150</v>
      </c>
      <c r="B155" s="2">
        <v>1409</v>
      </c>
      <c r="C155" s="2" t="s">
        <v>2661</v>
      </c>
      <c r="D155" s="14" t="s">
        <v>151</v>
      </c>
      <c r="E155" s="14">
        <v>0</v>
      </c>
      <c r="F155" s="14">
        <v>0</v>
      </c>
      <c r="G155" s="14">
        <v>0</v>
      </c>
      <c r="H155" s="16">
        <v>0</v>
      </c>
      <c r="I155" s="16">
        <v>0</v>
      </c>
      <c r="J155" s="3" t="s">
        <v>5011</v>
      </c>
      <c r="K155" s="16">
        <v>0</v>
      </c>
      <c r="L155" s="16">
        <v>0</v>
      </c>
      <c r="M155" s="16">
        <v>0</v>
      </c>
    </row>
    <row r="156" spans="1:13" x14ac:dyDescent="0.25">
      <c r="A156" s="2">
        <f t="shared" si="5"/>
        <v>151</v>
      </c>
      <c r="B156" s="2">
        <v>1428</v>
      </c>
      <c r="C156" s="2" t="s">
        <v>2662</v>
      </c>
      <c r="D156" s="14" t="s">
        <v>152</v>
      </c>
      <c r="E156" s="14">
        <v>6.3862044000000004</v>
      </c>
      <c r="F156" s="14">
        <v>0</v>
      </c>
      <c r="G156" s="14">
        <v>6.3862044000000004</v>
      </c>
      <c r="H156" s="16">
        <v>667.33020340000007</v>
      </c>
      <c r="I156" s="16">
        <v>554.51968180000006</v>
      </c>
      <c r="J156" s="3" t="s">
        <v>5011</v>
      </c>
      <c r="K156" s="16">
        <v>6706.2278598527992</v>
      </c>
      <c r="L156" s="16">
        <v>1015.3847624</v>
      </c>
      <c r="M156" s="16">
        <f t="shared" si="4"/>
        <v>1.5215627244603744</v>
      </c>
    </row>
    <row r="157" spans="1:13" x14ac:dyDescent="0.25">
      <c r="A157" s="2">
        <f t="shared" si="5"/>
        <v>152</v>
      </c>
      <c r="B157" s="2">
        <v>1435</v>
      </c>
      <c r="C157" s="2" t="s">
        <v>2663</v>
      </c>
      <c r="D157" s="14" t="s">
        <v>153</v>
      </c>
      <c r="E157" s="14">
        <v>2.0463947999999998</v>
      </c>
      <c r="F157" s="14">
        <v>0</v>
      </c>
      <c r="G157" s="14">
        <v>2.0463947999999998</v>
      </c>
      <c r="H157" s="16">
        <v>227.1599387</v>
      </c>
      <c r="I157" s="16">
        <v>153.17701880000001</v>
      </c>
      <c r="J157" s="3" t="s">
        <v>5011</v>
      </c>
      <c r="K157" s="16">
        <v>2960.9384977014001</v>
      </c>
      <c r="L157" s="16">
        <v>406.1025831</v>
      </c>
      <c r="M157" s="16">
        <f t="shared" si="4"/>
        <v>1.7877385661576604</v>
      </c>
    </row>
    <row r="158" spans="1:13" x14ac:dyDescent="0.25">
      <c r="A158" s="2">
        <f t="shared" si="5"/>
        <v>153</v>
      </c>
      <c r="B158" s="2">
        <v>1480</v>
      </c>
      <c r="C158" s="2" t="s">
        <v>2664</v>
      </c>
      <c r="D158" s="14" t="s">
        <v>154</v>
      </c>
      <c r="E158" s="14">
        <v>6.5322024000000001</v>
      </c>
      <c r="F158" s="14">
        <v>0</v>
      </c>
      <c r="G158" s="14">
        <v>6.5322024000000001</v>
      </c>
      <c r="H158" s="16">
        <v>293.28101570000001</v>
      </c>
      <c r="I158" s="16">
        <v>130.598726</v>
      </c>
      <c r="J158" s="3" t="s">
        <v>5011</v>
      </c>
      <c r="K158" s="16">
        <v>5397.261564212301</v>
      </c>
      <c r="L158" s="16">
        <v>673.93752590000008</v>
      </c>
      <c r="M158" s="16">
        <f t="shared" si="4"/>
        <v>2.2979241404066104</v>
      </c>
    </row>
    <row r="159" spans="1:13" x14ac:dyDescent="0.25">
      <c r="A159" s="2">
        <f t="shared" si="5"/>
        <v>154</v>
      </c>
      <c r="B159" s="2">
        <v>1487</v>
      </c>
      <c r="C159" s="2" t="s">
        <v>2665</v>
      </c>
      <c r="D159" s="14" t="s">
        <v>155</v>
      </c>
      <c r="E159" s="14">
        <v>10.601188099999998</v>
      </c>
      <c r="F159" s="14">
        <v>0</v>
      </c>
      <c r="G159" s="14">
        <v>10.601188099999998</v>
      </c>
      <c r="H159" s="16">
        <v>237.26475820000002</v>
      </c>
      <c r="I159" s="16">
        <v>34.998119400000014</v>
      </c>
      <c r="J159" s="3" t="s">
        <v>5011</v>
      </c>
      <c r="K159" s="16">
        <v>9045.6365760256977</v>
      </c>
      <c r="L159" s="16">
        <v>938.03574300000002</v>
      </c>
      <c r="M159" s="16">
        <f t="shared" si="4"/>
        <v>3.953540130090841</v>
      </c>
    </row>
    <row r="160" spans="1:13" x14ac:dyDescent="0.25">
      <c r="A160" s="2">
        <f t="shared" si="5"/>
        <v>155</v>
      </c>
      <c r="B160" s="2">
        <v>1488</v>
      </c>
      <c r="C160" s="2" t="s">
        <v>2666</v>
      </c>
      <c r="D160" s="14" t="s">
        <v>156</v>
      </c>
      <c r="E160" s="14">
        <v>21.9360529</v>
      </c>
      <c r="F160" s="14">
        <v>0</v>
      </c>
      <c r="G160" s="14">
        <v>21.9360529</v>
      </c>
      <c r="H160" s="16">
        <v>1777.1408074000001</v>
      </c>
      <c r="I160" s="16">
        <v>962.76009490000013</v>
      </c>
      <c r="J160" s="3" t="s">
        <v>5011</v>
      </c>
      <c r="K160" s="16">
        <v>20190.395948899008</v>
      </c>
      <c r="L160" s="16">
        <v>2622.2262338</v>
      </c>
      <c r="M160" s="16">
        <f t="shared" si="4"/>
        <v>1.4755309331039337</v>
      </c>
    </row>
    <row r="161" spans="1:13" x14ac:dyDescent="0.25">
      <c r="A161" s="2">
        <f t="shared" si="5"/>
        <v>156</v>
      </c>
      <c r="B161" s="2">
        <v>1493</v>
      </c>
      <c r="C161" s="2" t="s">
        <v>2667</v>
      </c>
      <c r="D161" s="14" t="s">
        <v>157</v>
      </c>
      <c r="E161" s="14">
        <v>2.8855599999999999E-2</v>
      </c>
      <c r="F161" s="14">
        <v>0</v>
      </c>
      <c r="G161" s="14">
        <v>2.8855599999999999E-2</v>
      </c>
      <c r="H161" s="16">
        <v>6.4496775</v>
      </c>
      <c r="I161" s="16">
        <v>6.4496775</v>
      </c>
      <c r="J161" s="3" t="s">
        <v>5011</v>
      </c>
      <c r="K161" s="16">
        <v>44.111642285900004</v>
      </c>
      <c r="L161" s="16">
        <v>8.6381835000000002</v>
      </c>
      <c r="M161" s="16">
        <f t="shared" si="4"/>
        <v>1.3393202218250448</v>
      </c>
    </row>
    <row r="162" spans="1:13" x14ac:dyDescent="0.25">
      <c r="A162" s="2">
        <f t="shared" si="5"/>
        <v>157</v>
      </c>
      <c r="B162" s="2">
        <v>1503</v>
      </c>
      <c r="C162" s="2" t="s">
        <v>2668</v>
      </c>
      <c r="D162" s="14" t="s">
        <v>158</v>
      </c>
      <c r="E162" s="14">
        <v>0</v>
      </c>
      <c r="F162" s="14">
        <v>0</v>
      </c>
      <c r="G162" s="14">
        <v>0</v>
      </c>
      <c r="H162" s="16">
        <v>0</v>
      </c>
      <c r="I162" s="16">
        <v>0</v>
      </c>
      <c r="J162" s="3" t="s">
        <v>5011</v>
      </c>
      <c r="K162" s="16">
        <v>0</v>
      </c>
      <c r="L162" s="16">
        <v>0</v>
      </c>
      <c r="M162" s="16">
        <v>0</v>
      </c>
    </row>
    <row r="163" spans="1:13" x14ac:dyDescent="0.25">
      <c r="A163" s="2">
        <f t="shared" si="5"/>
        <v>158</v>
      </c>
      <c r="B163" s="2">
        <v>1513</v>
      </c>
      <c r="C163" s="2" t="s">
        <v>2669</v>
      </c>
      <c r="D163" s="14" t="s">
        <v>159</v>
      </c>
      <c r="E163" s="14">
        <v>0</v>
      </c>
      <c r="F163" s="14">
        <v>0</v>
      </c>
      <c r="G163" s="14">
        <v>0</v>
      </c>
      <c r="H163" s="16">
        <v>0</v>
      </c>
      <c r="I163" s="16">
        <v>0</v>
      </c>
      <c r="J163" s="3" t="s">
        <v>5011</v>
      </c>
      <c r="K163" s="16">
        <v>0</v>
      </c>
      <c r="L163" s="16">
        <v>0</v>
      </c>
      <c r="M163" s="16">
        <v>0</v>
      </c>
    </row>
    <row r="164" spans="1:13" x14ac:dyDescent="0.25">
      <c r="A164" s="2">
        <f t="shared" si="5"/>
        <v>159</v>
      </c>
      <c r="B164" s="2">
        <v>1520</v>
      </c>
      <c r="C164" s="2" t="s">
        <v>2670</v>
      </c>
      <c r="D164" s="14" t="s">
        <v>160</v>
      </c>
      <c r="E164" s="14">
        <v>9.3589900000000004E-2</v>
      </c>
      <c r="F164" s="14">
        <v>0</v>
      </c>
      <c r="G164" s="14">
        <v>9.3589900000000004E-2</v>
      </c>
      <c r="H164" s="16">
        <v>25.948341600000003</v>
      </c>
      <c r="I164" s="16">
        <v>21.298702800000001</v>
      </c>
      <c r="J164" s="3" t="s">
        <v>5011</v>
      </c>
      <c r="K164" s="16">
        <v>163.86554102219998</v>
      </c>
      <c r="L164" s="16">
        <v>27.704267999999999</v>
      </c>
      <c r="M164" s="16">
        <f t="shared" si="4"/>
        <v>1.0676700818521672</v>
      </c>
    </row>
    <row r="165" spans="1:13" x14ac:dyDescent="0.25">
      <c r="A165" s="2">
        <f t="shared" si="5"/>
        <v>160</v>
      </c>
      <c r="B165" s="2">
        <v>1560</v>
      </c>
      <c r="C165" s="2" t="s">
        <v>2671</v>
      </c>
      <c r="D165" s="14" t="s">
        <v>161</v>
      </c>
      <c r="E165" s="14">
        <v>3.2893885999999997</v>
      </c>
      <c r="F165" s="14">
        <v>0</v>
      </c>
      <c r="G165" s="14">
        <v>3.2893885999999997</v>
      </c>
      <c r="H165" s="16">
        <v>1408.8195459999999</v>
      </c>
      <c r="I165" s="16">
        <v>428.71244649999988</v>
      </c>
      <c r="J165" s="3" t="s">
        <v>5011</v>
      </c>
      <c r="K165" s="16">
        <v>3463.3878328425999</v>
      </c>
      <c r="L165" s="16">
        <v>708.55498370000009</v>
      </c>
      <c r="M165" s="16">
        <f t="shared" si="4"/>
        <v>0.50294232906674918</v>
      </c>
    </row>
    <row r="166" spans="1:13" x14ac:dyDescent="0.25">
      <c r="A166" s="2">
        <f t="shared" si="5"/>
        <v>161</v>
      </c>
      <c r="B166" s="2">
        <v>1563</v>
      </c>
      <c r="C166" s="2" t="s">
        <v>2672</v>
      </c>
      <c r="D166" s="14" t="s">
        <v>162</v>
      </c>
      <c r="E166" s="14">
        <v>62.521384399999995</v>
      </c>
      <c r="F166" s="14">
        <v>0</v>
      </c>
      <c r="G166" s="14">
        <v>62.521384399999995</v>
      </c>
      <c r="H166" s="16">
        <v>3663.9942667999999</v>
      </c>
      <c r="I166" s="16">
        <v>2225.3980526</v>
      </c>
      <c r="J166" s="3" t="s">
        <v>5011</v>
      </c>
      <c r="K166" s="16">
        <v>55929.922587998735</v>
      </c>
      <c r="L166" s="16">
        <v>7250.9516423000005</v>
      </c>
      <c r="M166" s="16">
        <f t="shared" si="4"/>
        <v>1.9789746146717417</v>
      </c>
    </row>
    <row r="167" spans="1:13" x14ac:dyDescent="0.25">
      <c r="A167" s="2">
        <f t="shared" si="5"/>
        <v>162</v>
      </c>
      <c r="B167" s="2">
        <v>1566</v>
      </c>
      <c r="C167" s="2" t="s">
        <v>2673</v>
      </c>
      <c r="D167" s="14" t="s">
        <v>163</v>
      </c>
      <c r="E167" s="14">
        <v>2.8444799999999999E-2</v>
      </c>
      <c r="F167" s="14">
        <v>0</v>
      </c>
      <c r="G167" s="14">
        <v>2.8444799999999999E-2</v>
      </c>
      <c r="H167" s="16">
        <v>4.3712615000000001</v>
      </c>
      <c r="I167" s="16">
        <v>4.3712615000000001</v>
      </c>
      <c r="J167" s="3" t="s">
        <v>5011</v>
      </c>
      <c r="K167" s="16">
        <v>34.243098129799996</v>
      </c>
      <c r="L167" s="16">
        <v>5.8341656000000004</v>
      </c>
      <c r="M167" s="16">
        <f t="shared" si="4"/>
        <v>1.3346640552160973</v>
      </c>
    </row>
    <row r="168" spans="1:13" x14ac:dyDescent="0.25">
      <c r="A168" s="2">
        <f t="shared" si="5"/>
        <v>163</v>
      </c>
      <c r="B168" s="2">
        <v>1567</v>
      </c>
      <c r="C168" s="2" t="s">
        <v>2674</v>
      </c>
      <c r="D168" s="14" t="s">
        <v>164</v>
      </c>
      <c r="E168" s="14">
        <v>0.93520870000000011</v>
      </c>
      <c r="F168" s="14">
        <v>0</v>
      </c>
      <c r="G168" s="14">
        <v>0.93520870000000011</v>
      </c>
      <c r="H168" s="16">
        <v>233.22143929999999</v>
      </c>
      <c r="I168" s="16">
        <v>225.4214393</v>
      </c>
      <c r="J168" s="3" t="s">
        <v>5011</v>
      </c>
      <c r="K168" s="16">
        <v>1426.2169955785002</v>
      </c>
      <c r="L168" s="16">
        <v>295.18482160000002</v>
      </c>
      <c r="M168" s="16">
        <f t="shared" si="4"/>
        <v>1.265684760740605</v>
      </c>
    </row>
    <row r="169" spans="1:13" x14ac:dyDescent="0.25">
      <c r="A169" s="2">
        <f t="shared" si="5"/>
        <v>164</v>
      </c>
      <c r="B169" s="2">
        <v>1590</v>
      </c>
      <c r="C169" s="2" t="s">
        <v>2675</v>
      </c>
      <c r="D169" s="14" t="s">
        <v>165</v>
      </c>
      <c r="E169" s="14">
        <v>7.3712307000000017</v>
      </c>
      <c r="F169" s="14">
        <v>0</v>
      </c>
      <c r="G169" s="14">
        <v>7.3712307000000017</v>
      </c>
      <c r="H169" s="16">
        <v>614.70659999999998</v>
      </c>
      <c r="I169" s="16">
        <v>511.87185149999999</v>
      </c>
      <c r="J169" s="3" t="s">
        <v>5011</v>
      </c>
      <c r="K169" s="16">
        <v>7674.4609126039977</v>
      </c>
      <c r="L169" s="16">
        <v>1108.2362478</v>
      </c>
      <c r="M169" s="16">
        <f t="shared" si="4"/>
        <v>1.8028702600557731</v>
      </c>
    </row>
    <row r="170" spans="1:13" x14ac:dyDescent="0.25">
      <c r="A170" s="2">
        <f t="shared" si="5"/>
        <v>165</v>
      </c>
      <c r="B170" s="2">
        <v>1598</v>
      </c>
      <c r="C170" s="2" t="s">
        <v>2676</v>
      </c>
      <c r="D170" s="14" t="s">
        <v>166</v>
      </c>
      <c r="E170" s="14">
        <v>0</v>
      </c>
      <c r="F170" s="14">
        <v>0</v>
      </c>
      <c r="G170" s="14">
        <v>0</v>
      </c>
      <c r="H170" s="16">
        <v>0</v>
      </c>
      <c r="I170" s="16">
        <v>0</v>
      </c>
      <c r="J170" s="3" t="s">
        <v>5011</v>
      </c>
      <c r="K170" s="16">
        <v>0</v>
      </c>
      <c r="L170" s="16">
        <v>0</v>
      </c>
      <c r="M170" s="16">
        <v>0</v>
      </c>
    </row>
    <row r="171" spans="1:13" x14ac:dyDescent="0.25">
      <c r="A171" s="2">
        <f t="shared" si="5"/>
        <v>166</v>
      </c>
      <c r="B171" s="2">
        <v>1622</v>
      </c>
      <c r="C171" s="2" t="s">
        <v>2677</v>
      </c>
      <c r="D171" s="14" t="s">
        <v>167</v>
      </c>
      <c r="E171" s="14">
        <v>0</v>
      </c>
      <c r="F171" s="14">
        <v>0</v>
      </c>
      <c r="G171" s="14">
        <v>0</v>
      </c>
      <c r="H171" s="16">
        <v>0</v>
      </c>
      <c r="I171" s="16">
        <v>0</v>
      </c>
      <c r="J171" s="3" t="s">
        <v>5011</v>
      </c>
      <c r="K171" s="16">
        <v>0</v>
      </c>
      <c r="L171" s="16">
        <v>0</v>
      </c>
      <c r="M171" s="16">
        <v>0</v>
      </c>
    </row>
    <row r="172" spans="1:13" x14ac:dyDescent="0.25">
      <c r="A172" s="2">
        <f t="shared" si="5"/>
        <v>167</v>
      </c>
      <c r="B172" s="2">
        <v>1630</v>
      </c>
      <c r="C172" s="2" t="s">
        <v>2678</v>
      </c>
      <c r="D172" s="14" t="s">
        <v>168</v>
      </c>
      <c r="E172" s="14">
        <v>0</v>
      </c>
      <c r="F172" s="14">
        <v>0</v>
      </c>
      <c r="G172" s="14">
        <v>0</v>
      </c>
      <c r="H172" s="16">
        <v>0</v>
      </c>
      <c r="I172" s="16">
        <v>0</v>
      </c>
      <c r="J172" s="3" t="s">
        <v>5011</v>
      </c>
      <c r="K172" s="16">
        <v>0</v>
      </c>
      <c r="L172" s="16">
        <v>0</v>
      </c>
      <c r="M172" s="16">
        <v>0</v>
      </c>
    </row>
    <row r="173" spans="1:13" x14ac:dyDescent="0.25">
      <c r="A173" s="2">
        <f t="shared" si="5"/>
        <v>168</v>
      </c>
      <c r="B173" s="2">
        <v>1632</v>
      </c>
      <c r="C173" s="2" t="s">
        <v>2679</v>
      </c>
      <c r="D173" s="14" t="s">
        <v>169</v>
      </c>
      <c r="E173" s="14">
        <v>0.96418559999999986</v>
      </c>
      <c r="F173" s="14">
        <v>0</v>
      </c>
      <c r="G173" s="14">
        <v>0.96418559999999986</v>
      </c>
      <c r="H173" s="16">
        <v>199.22704160000001</v>
      </c>
      <c r="I173" s="16">
        <v>129.1026521</v>
      </c>
      <c r="J173" s="3" t="s">
        <v>5011</v>
      </c>
      <c r="K173" s="16">
        <v>1350.8718834450999</v>
      </c>
      <c r="L173" s="16">
        <v>213.451685</v>
      </c>
      <c r="M173" s="16">
        <f t="shared" si="4"/>
        <v>1.0713991599019959</v>
      </c>
    </row>
    <row r="174" spans="1:13" x14ac:dyDescent="0.25">
      <c r="A174" s="2">
        <f t="shared" si="5"/>
        <v>169</v>
      </c>
      <c r="B174" s="2">
        <v>1634</v>
      </c>
      <c r="C174" s="2" t="s">
        <v>2680</v>
      </c>
      <c r="D174" s="14" t="s">
        <v>170</v>
      </c>
      <c r="E174" s="14">
        <v>4.3677029999999997</v>
      </c>
      <c r="F174" s="14">
        <v>0</v>
      </c>
      <c r="G174" s="14">
        <v>4.3677029999999997</v>
      </c>
      <c r="H174" s="16">
        <v>56.297336700000002</v>
      </c>
      <c r="I174" s="16">
        <v>-0.41629480000000446</v>
      </c>
      <c r="J174" s="3" t="s">
        <v>5011</v>
      </c>
      <c r="K174" s="16">
        <v>4220.6626517129998</v>
      </c>
      <c r="L174" s="16">
        <v>364.48467270000003</v>
      </c>
      <c r="M174" s="16">
        <f t="shared" si="4"/>
        <v>6.4742791411658382</v>
      </c>
    </row>
    <row r="175" spans="1:13" x14ac:dyDescent="0.25">
      <c r="A175" s="2">
        <f t="shared" si="5"/>
        <v>170</v>
      </c>
      <c r="B175" s="2">
        <v>1662</v>
      </c>
      <c r="C175" s="2" t="s">
        <v>2681</v>
      </c>
      <c r="D175" s="14" t="s">
        <v>171</v>
      </c>
      <c r="E175" s="14">
        <v>2.4732999999999999E-3</v>
      </c>
      <c r="F175" s="14">
        <v>0</v>
      </c>
      <c r="G175" s="14">
        <v>2.4732999999999999E-3</v>
      </c>
      <c r="H175" s="16">
        <v>2.9698515000000003</v>
      </c>
      <c r="I175" s="16">
        <v>2.9698515000000003</v>
      </c>
      <c r="J175" s="3" t="s">
        <v>5011</v>
      </c>
      <c r="K175" s="16">
        <v>7.0151204488999994</v>
      </c>
      <c r="L175" s="16">
        <v>3.1472309999999997</v>
      </c>
      <c r="M175" s="16">
        <f t="shared" si="4"/>
        <v>1.0597267237099226</v>
      </c>
    </row>
    <row r="176" spans="1:13" x14ac:dyDescent="0.25">
      <c r="A176" s="2">
        <f t="shared" si="5"/>
        <v>171</v>
      </c>
      <c r="B176" s="2">
        <v>1666</v>
      </c>
      <c r="C176" s="2" t="s">
        <v>2682</v>
      </c>
      <c r="D176" s="14" t="s">
        <v>172</v>
      </c>
      <c r="E176" s="14">
        <v>4.1079200000000003E-2</v>
      </c>
      <c r="F176" s="14">
        <v>0</v>
      </c>
      <c r="G176" s="14">
        <v>4.1079200000000003E-2</v>
      </c>
      <c r="H176" s="16">
        <v>9.7695115000000001</v>
      </c>
      <c r="I176" s="16">
        <v>9.7695115000000001</v>
      </c>
      <c r="J176" s="3" t="s">
        <v>5011</v>
      </c>
      <c r="K176" s="16">
        <v>68.98829620250001</v>
      </c>
      <c r="L176" s="16">
        <v>17.511427399999999</v>
      </c>
      <c r="M176" s="16">
        <f t="shared" si="4"/>
        <v>1.7924568081014081</v>
      </c>
    </row>
    <row r="177" spans="1:13" x14ac:dyDescent="0.25">
      <c r="A177" s="2">
        <f t="shared" si="5"/>
        <v>172</v>
      </c>
      <c r="B177" s="2">
        <v>1668</v>
      </c>
      <c r="C177" s="2" t="s">
        <v>2683</v>
      </c>
      <c r="D177" s="14" t="s">
        <v>173</v>
      </c>
      <c r="E177" s="14">
        <v>3.5637688000000001</v>
      </c>
      <c r="F177" s="14">
        <v>0</v>
      </c>
      <c r="G177" s="14">
        <v>3.5637688000000001</v>
      </c>
      <c r="H177" s="16">
        <v>204.35753</v>
      </c>
      <c r="I177" s="16">
        <v>148.72389559999999</v>
      </c>
      <c r="J177" s="3" t="s">
        <v>5011</v>
      </c>
      <c r="K177" s="16">
        <v>3624.5737336526008</v>
      </c>
      <c r="L177" s="16">
        <v>452.2614006</v>
      </c>
      <c r="M177" s="16">
        <f t="shared" si="4"/>
        <v>2.2130889945675114</v>
      </c>
    </row>
    <row r="178" spans="1:13" x14ac:dyDescent="0.25">
      <c r="A178" s="2">
        <f t="shared" si="5"/>
        <v>173</v>
      </c>
      <c r="B178" s="2">
        <v>1669</v>
      </c>
      <c r="C178" s="2" t="s">
        <v>2684</v>
      </c>
      <c r="D178" s="14" t="s">
        <v>174</v>
      </c>
      <c r="E178" s="14">
        <v>1.9925843999999999</v>
      </c>
      <c r="F178" s="14">
        <v>0</v>
      </c>
      <c r="G178" s="14">
        <v>1.9925843999999999</v>
      </c>
      <c r="H178" s="16">
        <v>63.698430899999998</v>
      </c>
      <c r="I178" s="16">
        <v>6.7856512999999987</v>
      </c>
      <c r="J178" s="3" t="s">
        <v>5011</v>
      </c>
      <c r="K178" s="16">
        <v>1992.0097061950003</v>
      </c>
      <c r="L178" s="16">
        <v>203.6155397</v>
      </c>
      <c r="M178" s="16">
        <f t="shared" si="4"/>
        <v>3.1965550300549084</v>
      </c>
    </row>
    <row r="179" spans="1:13" x14ac:dyDescent="0.25">
      <c r="A179" s="2">
        <f t="shared" si="5"/>
        <v>174</v>
      </c>
      <c r="B179" s="2">
        <v>1674</v>
      </c>
      <c r="C179" s="2" t="s">
        <v>2685</v>
      </c>
      <c r="D179" s="14" t="s">
        <v>175</v>
      </c>
      <c r="E179" s="14">
        <v>0</v>
      </c>
      <c r="F179" s="14">
        <v>0</v>
      </c>
      <c r="G179" s="14">
        <v>0</v>
      </c>
      <c r="H179" s="16">
        <v>0</v>
      </c>
      <c r="I179" s="16">
        <v>0</v>
      </c>
      <c r="J179" s="3" t="s">
        <v>5011</v>
      </c>
      <c r="K179" s="16">
        <v>0</v>
      </c>
      <c r="L179" s="16">
        <v>0</v>
      </c>
      <c r="M179" s="16">
        <v>0</v>
      </c>
    </row>
    <row r="180" spans="1:13" x14ac:dyDescent="0.25">
      <c r="A180" s="2">
        <f t="shared" si="5"/>
        <v>175</v>
      </c>
      <c r="B180" s="2">
        <v>1676</v>
      </c>
      <c r="C180" s="2" t="s">
        <v>2686</v>
      </c>
      <c r="D180" s="14" t="s">
        <v>176</v>
      </c>
      <c r="E180" s="14">
        <v>0</v>
      </c>
      <c r="F180" s="14">
        <v>0</v>
      </c>
      <c r="G180" s="14">
        <v>0</v>
      </c>
      <c r="H180" s="16">
        <v>0</v>
      </c>
      <c r="I180" s="16">
        <v>0</v>
      </c>
      <c r="J180" s="3" t="s">
        <v>5011</v>
      </c>
      <c r="K180" s="16">
        <v>0</v>
      </c>
      <c r="L180" s="16">
        <v>0</v>
      </c>
      <c r="M180" s="16">
        <v>0</v>
      </c>
    </row>
    <row r="181" spans="1:13" x14ac:dyDescent="0.25">
      <c r="A181" s="2">
        <f t="shared" si="5"/>
        <v>176</v>
      </c>
      <c r="B181" s="2">
        <v>1678</v>
      </c>
      <c r="C181" s="2" t="s">
        <v>2687</v>
      </c>
      <c r="D181" s="14" t="s">
        <v>177</v>
      </c>
      <c r="E181" s="14">
        <v>8.7947499999999998E-2</v>
      </c>
      <c r="F181" s="14">
        <v>0</v>
      </c>
      <c r="G181" s="14">
        <v>8.7947499999999998E-2</v>
      </c>
      <c r="H181" s="16">
        <v>4.1480588000000003</v>
      </c>
      <c r="I181" s="16">
        <v>1.3997930999999999</v>
      </c>
      <c r="J181" s="3" t="s">
        <v>5011</v>
      </c>
      <c r="K181" s="16">
        <v>122.62884271989998</v>
      </c>
      <c r="L181" s="16">
        <v>13.322881200000001</v>
      </c>
      <c r="M181" s="16">
        <f t="shared" si="4"/>
        <v>3.2118351842071284</v>
      </c>
    </row>
    <row r="182" spans="1:13" x14ac:dyDescent="0.25">
      <c r="A182" s="2">
        <f t="shared" si="5"/>
        <v>177</v>
      </c>
      <c r="B182" s="2">
        <v>1687</v>
      </c>
      <c r="C182" s="2" t="s">
        <v>2688</v>
      </c>
      <c r="D182" s="14" t="s">
        <v>178</v>
      </c>
      <c r="E182" s="14">
        <v>2.1055000000000002E-3</v>
      </c>
      <c r="F182" s="14">
        <v>0</v>
      </c>
      <c r="G182" s="14">
        <v>2.1055000000000002E-3</v>
      </c>
      <c r="H182" s="16">
        <v>0.2499875</v>
      </c>
      <c r="I182" s="16">
        <v>0.2499875</v>
      </c>
      <c r="J182" s="3" t="s">
        <v>5011</v>
      </c>
      <c r="K182" s="16">
        <v>2.8891832105999997</v>
      </c>
      <c r="L182" s="16">
        <v>0.36209750000000002</v>
      </c>
      <c r="M182" s="16">
        <f t="shared" si="4"/>
        <v>1.448462423121156</v>
      </c>
    </row>
    <row r="183" spans="1:13" x14ac:dyDescent="0.25">
      <c r="A183" s="2">
        <f t="shared" si="5"/>
        <v>178</v>
      </c>
      <c r="B183" s="2">
        <v>1697</v>
      </c>
      <c r="C183" s="2" t="s">
        <v>2689</v>
      </c>
      <c r="D183" s="14" t="s">
        <v>179</v>
      </c>
      <c r="E183" s="14">
        <v>0</v>
      </c>
      <c r="F183" s="14">
        <v>0</v>
      </c>
      <c r="G183" s="14">
        <v>0</v>
      </c>
      <c r="H183" s="16">
        <v>0</v>
      </c>
      <c r="I183" s="16">
        <v>0</v>
      </c>
      <c r="J183" s="3" t="s">
        <v>5011</v>
      </c>
      <c r="K183" s="16">
        <v>0</v>
      </c>
      <c r="L183" s="16">
        <v>0</v>
      </c>
      <c r="M183" s="16">
        <v>0</v>
      </c>
    </row>
    <row r="184" spans="1:13" x14ac:dyDescent="0.25">
      <c r="A184" s="2">
        <f t="shared" si="5"/>
        <v>179</v>
      </c>
      <c r="B184" s="2">
        <v>1721</v>
      </c>
      <c r="C184" s="2" t="s">
        <v>2690</v>
      </c>
      <c r="D184" s="14" t="s">
        <v>180</v>
      </c>
      <c r="E184" s="14">
        <v>0</v>
      </c>
      <c r="F184" s="14">
        <v>0</v>
      </c>
      <c r="G184" s="14">
        <v>0</v>
      </c>
      <c r="H184" s="16">
        <v>0</v>
      </c>
      <c r="I184" s="16">
        <v>0</v>
      </c>
      <c r="J184" s="3" t="s">
        <v>5011</v>
      </c>
      <c r="K184" s="16">
        <v>0</v>
      </c>
      <c r="L184" s="16">
        <v>0</v>
      </c>
      <c r="M184" s="16">
        <v>0</v>
      </c>
    </row>
    <row r="185" spans="1:13" x14ac:dyDescent="0.25">
      <c r="A185" s="2">
        <f t="shared" si="5"/>
        <v>180</v>
      </c>
      <c r="B185" s="2">
        <v>1734</v>
      </c>
      <c r="C185" s="2" t="s">
        <v>2691</v>
      </c>
      <c r="D185" s="14" t="s">
        <v>181</v>
      </c>
      <c r="E185" s="14">
        <v>0</v>
      </c>
      <c r="F185" s="14">
        <v>0</v>
      </c>
      <c r="G185" s="14">
        <v>0</v>
      </c>
      <c r="H185" s="16">
        <v>0.299985</v>
      </c>
      <c r="I185" s="16">
        <v>0.299985</v>
      </c>
      <c r="J185" s="3" t="s">
        <v>5011</v>
      </c>
      <c r="K185" s="16">
        <v>0.22209180319999999</v>
      </c>
      <c r="L185" s="16">
        <v>0.29058860000000003</v>
      </c>
      <c r="M185" s="16">
        <f t="shared" si="4"/>
        <v>0.96867710052169287</v>
      </c>
    </row>
    <row r="186" spans="1:13" x14ac:dyDescent="0.25">
      <c r="A186" s="2">
        <f t="shared" si="5"/>
        <v>181</v>
      </c>
      <c r="B186" s="2">
        <v>1739</v>
      </c>
      <c r="C186" s="2" t="s">
        <v>2692</v>
      </c>
      <c r="D186" s="14" t="s">
        <v>182</v>
      </c>
      <c r="E186" s="14">
        <v>4.0759900000000002E-2</v>
      </c>
      <c r="F186" s="14">
        <v>0</v>
      </c>
      <c r="G186" s="14">
        <v>4.0759900000000002E-2</v>
      </c>
      <c r="H186" s="16">
        <v>6.0196990000000001</v>
      </c>
      <c r="I186" s="16">
        <v>6.0196990000000001</v>
      </c>
      <c r="J186" s="3" t="s">
        <v>5011</v>
      </c>
      <c r="K186" s="16">
        <v>62.880236375999999</v>
      </c>
      <c r="L186" s="16">
        <v>10.598229399999999</v>
      </c>
      <c r="M186" s="16">
        <f t="shared" si="4"/>
        <v>1.7605912521539697</v>
      </c>
    </row>
    <row r="187" spans="1:13" x14ac:dyDescent="0.25">
      <c r="A187" s="2">
        <f t="shared" si="5"/>
        <v>182</v>
      </c>
      <c r="B187" s="2">
        <v>1756</v>
      </c>
      <c r="C187" s="2" t="s">
        <v>2693</v>
      </c>
      <c r="D187" s="14" t="s">
        <v>183</v>
      </c>
      <c r="E187" s="14">
        <v>6.1490000000000004E-4</v>
      </c>
      <c r="F187" s="14">
        <v>0</v>
      </c>
      <c r="G187" s="14">
        <v>6.1490000000000004E-4</v>
      </c>
      <c r="H187" s="16">
        <v>0</v>
      </c>
      <c r="I187" s="16">
        <v>0</v>
      </c>
      <c r="J187" s="3" t="s">
        <v>5011</v>
      </c>
      <c r="K187" s="16">
        <v>5.5313619113000003</v>
      </c>
      <c r="L187" s="16">
        <v>4.8395765000000006</v>
      </c>
      <c r="M187" s="16">
        <v>0</v>
      </c>
    </row>
    <row r="188" spans="1:13" x14ac:dyDescent="0.25">
      <c r="A188" s="2">
        <f t="shared" si="5"/>
        <v>183</v>
      </c>
      <c r="B188" s="2">
        <v>1757</v>
      </c>
      <c r="C188" s="2" t="s">
        <v>2694</v>
      </c>
      <c r="D188" s="14" t="s">
        <v>184</v>
      </c>
      <c r="E188" s="14">
        <v>0</v>
      </c>
      <c r="F188" s="14">
        <v>0</v>
      </c>
      <c r="G188" s="14">
        <v>0</v>
      </c>
      <c r="H188" s="16">
        <v>0</v>
      </c>
      <c r="I188" s="16">
        <v>0</v>
      </c>
      <c r="J188" s="3" t="s">
        <v>5011</v>
      </c>
      <c r="K188" s="16">
        <v>0</v>
      </c>
      <c r="L188" s="16">
        <v>0</v>
      </c>
      <c r="M188" s="16">
        <v>0</v>
      </c>
    </row>
    <row r="189" spans="1:13" x14ac:dyDescent="0.25">
      <c r="A189" s="2">
        <f t="shared" si="5"/>
        <v>184</v>
      </c>
      <c r="B189" s="2">
        <v>1773</v>
      </c>
      <c r="C189" s="2" t="s">
        <v>2695</v>
      </c>
      <c r="D189" s="14" t="s">
        <v>185</v>
      </c>
      <c r="E189" s="14">
        <v>2.7787869000000001</v>
      </c>
      <c r="F189" s="14">
        <v>0</v>
      </c>
      <c r="G189" s="14">
        <v>2.7787869000000001</v>
      </c>
      <c r="H189" s="16">
        <v>110.4134418</v>
      </c>
      <c r="I189" s="16">
        <v>63.308425100000001</v>
      </c>
      <c r="J189" s="3" t="s">
        <v>5011</v>
      </c>
      <c r="K189" s="16">
        <v>2250.8936104203003</v>
      </c>
      <c r="L189" s="16">
        <v>287.05495960000002</v>
      </c>
      <c r="M189" s="16">
        <f t="shared" si="4"/>
        <v>2.5998189615351706</v>
      </c>
    </row>
    <row r="190" spans="1:13" x14ac:dyDescent="0.25">
      <c r="A190" s="2">
        <f t="shared" si="5"/>
        <v>185</v>
      </c>
      <c r="B190" s="2">
        <v>1777</v>
      </c>
      <c r="C190" s="2" t="s">
        <v>2696</v>
      </c>
      <c r="D190" s="14" t="s">
        <v>186</v>
      </c>
      <c r="E190" s="14">
        <v>17.564771800000003</v>
      </c>
      <c r="F190" s="14">
        <v>0</v>
      </c>
      <c r="G190" s="14">
        <v>17.564771800000003</v>
      </c>
      <c r="H190" s="16">
        <v>528.37665159999995</v>
      </c>
      <c r="I190" s="16">
        <v>337.10296449999993</v>
      </c>
      <c r="J190" s="3" t="s">
        <v>5011</v>
      </c>
      <c r="K190" s="16">
        <v>14598.159313276003</v>
      </c>
      <c r="L190" s="16">
        <v>1702.8706396</v>
      </c>
      <c r="M190" s="16">
        <f t="shared" si="4"/>
        <v>3.2228347608537669</v>
      </c>
    </row>
    <row r="191" spans="1:13" x14ac:dyDescent="0.25">
      <c r="A191" s="2">
        <f t="shared" si="5"/>
        <v>186</v>
      </c>
      <c r="B191" s="2">
        <v>1786</v>
      </c>
      <c r="C191" s="2" t="s">
        <v>2697</v>
      </c>
      <c r="D191" s="14" t="s">
        <v>187</v>
      </c>
      <c r="E191" s="14">
        <v>7.5225688000000002</v>
      </c>
      <c r="F191" s="14">
        <v>0</v>
      </c>
      <c r="G191" s="14">
        <v>7.5225688000000002</v>
      </c>
      <c r="H191" s="16">
        <v>261.73557299999999</v>
      </c>
      <c r="I191" s="16">
        <v>188.36554820000001</v>
      </c>
      <c r="J191" s="3" t="s">
        <v>5011</v>
      </c>
      <c r="K191" s="16">
        <v>6020.4000189266999</v>
      </c>
      <c r="L191" s="16">
        <v>713.99443650000001</v>
      </c>
      <c r="M191" s="16">
        <f t="shared" si="4"/>
        <v>2.7279227974869125</v>
      </c>
    </row>
    <row r="192" spans="1:13" x14ac:dyDescent="0.25">
      <c r="A192" s="2">
        <f t="shared" si="5"/>
        <v>187</v>
      </c>
      <c r="B192" s="2">
        <v>1819</v>
      </c>
      <c r="C192" s="2" t="s">
        <v>2698</v>
      </c>
      <c r="D192" s="14" t="s">
        <v>188</v>
      </c>
      <c r="E192" s="14">
        <v>0.1127763</v>
      </c>
      <c r="F192" s="14">
        <v>0</v>
      </c>
      <c r="G192" s="14">
        <v>0.1127763</v>
      </c>
      <c r="H192" s="16">
        <v>0</v>
      </c>
      <c r="I192" s="16">
        <v>0</v>
      </c>
      <c r="J192" s="3" t="s">
        <v>5011</v>
      </c>
      <c r="K192" s="16">
        <v>235.05970608760001</v>
      </c>
      <c r="L192" s="16">
        <v>22.270317799999997</v>
      </c>
      <c r="M192" s="16">
        <v>0</v>
      </c>
    </row>
    <row r="193" spans="1:13" x14ac:dyDescent="0.25">
      <c r="A193" s="2">
        <f t="shared" si="5"/>
        <v>188</v>
      </c>
      <c r="B193" s="2">
        <v>1820</v>
      </c>
      <c r="C193" s="2" t="s">
        <v>2699</v>
      </c>
      <c r="D193" s="14" t="s">
        <v>189</v>
      </c>
      <c r="E193" s="14">
        <v>0</v>
      </c>
      <c r="F193" s="14">
        <v>0</v>
      </c>
      <c r="G193" s="14">
        <v>0</v>
      </c>
      <c r="H193" s="16">
        <v>0</v>
      </c>
      <c r="I193" s="16">
        <v>0</v>
      </c>
      <c r="J193" s="3" t="s">
        <v>5011</v>
      </c>
      <c r="K193" s="16">
        <v>0</v>
      </c>
      <c r="L193" s="16">
        <v>0</v>
      </c>
      <c r="M193" s="16">
        <v>0</v>
      </c>
    </row>
    <row r="194" spans="1:13" x14ac:dyDescent="0.25">
      <c r="A194" s="2">
        <f t="shared" si="5"/>
        <v>189</v>
      </c>
      <c r="B194" s="2">
        <v>1821</v>
      </c>
      <c r="C194" s="2" t="s">
        <v>2700</v>
      </c>
      <c r="D194" s="14" t="s">
        <v>190</v>
      </c>
      <c r="E194" s="14">
        <v>0.7087287000000001</v>
      </c>
      <c r="F194" s="14">
        <v>0</v>
      </c>
      <c r="G194" s="14">
        <v>0.7087287000000001</v>
      </c>
      <c r="H194" s="16">
        <v>167.75891710000002</v>
      </c>
      <c r="I194" s="16">
        <v>112.3850652</v>
      </c>
      <c r="J194" s="3" t="s">
        <v>5011</v>
      </c>
      <c r="K194" s="16">
        <v>1008.4309902300001</v>
      </c>
      <c r="L194" s="16">
        <v>168.1366318</v>
      </c>
      <c r="M194" s="16">
        <f t="shared" si="4"/>
        <v>1.0022515327741108</v>
      </c>
    </row>
    <row r="195" spans="1:13" x14ac:dyDescent="0.25">
      <c r="A195" s="2">
        <f t="shared" si="5"/>
        <v>190</v>
      </c>
      <c r="B195" s="2">
        <v>1824</v>
      </c>
      <c r="C195" s="2" t="s">
        <v>2701</v>
      </c>
      <c r="D195" s="14" t="s">
        <v>191</v>
      </c>
      <c r="E195" s="14">
        <v>0</v>
      </c>
      <c r="F195" s="14">
        <v>0</v>
      </c>
      <c r="G195" s="14">
        <v>0</v>
      </c>
      <c r="H195" s="16">
        <v>0</v>
      </c>
      <c r="I195" s="16">
        <v>0</v>
      </c>
      <c r="J195" s="3" t="s">
        <v>5011</v>
      </c>
      <c r="K195" s="16">
        <v>0</v>
      </c>
      <c r="L195" s="16">
        <v>0</v>
      </c>
      <c r="M195" s="16">
        <v>0</v>
      </c>
    </row>
    <row r="196" spans="1:13" x14ac:dyDescent="0.25">
      <c r="A196" s="2">
        <f t="shared" si="5"/>
        <v>191</v>
      </c>
      <c r="B196" s="2">
        <v>1849</v>
      </c>
      <c r="C196" s="2" t="s">
        <v>2702</v>
      </c>
      <c r="D196" s="14" t="s">
        <v>192</v>
      </c>
      <c r="E196" s="14">
        <v>0</v>
      </c>
      <c r="F196" s="14">
        <v>0</v>
      </c>
      <c r="G196" s="14">
        <v>0</v>
      </c>
      <c r="H196" s="16">
        <v>0</v>
      </c>
      <c r="I196" s="16">
        <v>0</v>
      </c>
      <c r="J196" s="3" t="s">
        <v>5011</v>
      </c>
      <c r="K196" s="16">
        <v>0</v>
      </c>
      <c r="L196" s="16">
        <v>0</v>
      </c>
      <c r="M196" s="16">
        <v>0</v>
      </c>
    </row>
    <row r="197" spans="1:13" x14ac:dyDescent="0.25">
      <c r="A197" s="2">
        <f t="shared" si="5"/>
        <v>192</v>
      </c>
      <c r="B197" s="2">
        <v>1851</v>
      </c>
      <c r="C197" s="2" t="s">
        <v>2703</v>
      </c>
      <c r="D197" s="14" t="s">
        <v>193</v>
      </c>
      <c r="E197" s="14">
        <v>4.3435302</v>
      </c>
      <c r="F197" s="14">
        <v>0</v>
      </c>
      <c r="G197" s="14">
        <v>4.3435302</v>
      </c>
      <c r="H197" s="16">
        <v>770.0164992</v>
      </c>
      <c r="I197" s="16">
        <v>766.55266460000007</v>
      </c>
      <c r="J197" s="3" t="s">
        <v>5011</v>
      </c>
      <c r="K197" s="16">
        <v>5184.2282750383993</v>
      </c>
      <c r="L197" s="16">
        <v>1037.4912333</v>
      </c>
      <c r="M197" s="16">
        <f t="shared" si="4"/>
        <v>1.3473623414276055</v>
      </c>
    </row>
    <row r="198" spans="1:13" x14ac:dyDescent="0.25">
      <c r="A198" s="2">
        <f t="shared" si="5"/>
        <v>193</v>
      </c>
      <c r="B198" s="2">
        <v>1854</v>
      </c>
      <c r="C198" s="2" t="s">
        <v>2704</v>
      </c>
      <c r="D198" s="14" t="s">
        <v>194</v>
      </c>
      <c r="E198" s="14">
        <v>0</v>
      </c>
      <c r="F198" s="14">
        <v>0</v>
      </c>
      <c r="G198" s="14">
        <v>0</v>
      </c>
      <c r="H198" s="16">
        <v>0</v>
      </c>
      <c r="I198" s="16">
        <v>0</v>
      </c>
      <c r="J198" s="3" t="s">
        <v>5011</v>
      </c>
      <c r="K198" s="16">
        <v>0</v>
      </c>
      <c r="L198" s="16">
        <v>0</v>
      </c>
      <c r="M198" s="16">
        <v>0</v>
      </c>
    </row>
    <row r="199" spans="1:13" x14ac:dyDescent="0.25">
      <c r="A199" s="2">
        <f t="shared" si="5"/>
        <v>194</v>
      </c>
      <c r="B199" s="2">
        <v>1909</v>
      </c>
      <c r="C199" s="2" t="s">
        <v>2705</v>
      </c>
      <c r="D199" s="14" t="s">
        <v>195</v>
      </c>
      <c r="E199" s="14">
        <v>0.47937059999999998</v>
      </c>
      <c r="F199" s="14">
        <v>0</v>
      </c>
      <c r="G199" s="14">
        <v>0.47937059999999998</v>
      </c>
      <c r="H199" s="16">
        <v>88.357583000000005</v>
      </c>
      <c r="I199" s="16">
        <v>70.717403099999999</v>
      </c>
      <c r="J199" s="3" t="s">
        <v>5011</v>
      </c>
      <c r="K199" s="16">
        <v>573.64777548330017</v>
      </c>
      <c r="L199" s="16">
        <v>110.6531075</v>
      </c>
      <c r="M199" s="16">
        <f t="shared" ref="M199:M262" si="6">L199/H199</f>
        <v>1.252332892582632</v>
      </c>
    </row>
    <row r="200" spans="1:13" x14ac:dyDescent="0.25">
      <c r="A200" s="2">
        <f t="shared" ref="A200:A263" si="7">A199+1</f>
        <v>195</v>
      </c>
      <c r="B200" s="2">
        <v>1912</v>
      </c>
      <c r="C200" s="2" t="s">
        <v>2706</v>
      </c>
      <c r="D200" s="14" t="s">
        <v>196</v>
      </c>
      <c r="E200" s="14">
        <v>4.6820376000000001</v>
      </c>
      <c r="F200" s="14">
        <v>0</v>
      </c>
      <c r="G200" s="14">
        <v>4.6820376000000001</v>
      </c>
      <c r="H200" s="16">
        <v>273.41120920000003</v>
      </c>
      <c r="I200" s="16">
        <v>215.7508248</v>
      </c>
      <c r="J200" s="3" t="s">
        <v>5011</v>
      </c>
      <c r="K200" s="16">
        <v>4611.4797811829003</v>
      </c>
      <c r="L200" s="16">
        <v>632.23459930000001</v>
      </c>
      <c r="M200" s="16">
        <f t="shared" si="6"/>
        <v>2.3123945837843136</v>
      </c>
    </row>
    <row r="201" spans="1:13" x14ac:dyDescent="0.25">
      <c r="A201" s="2">
        <f t="shared" si="7"/>
        <v>196</v>
      </c>
      <c r="B201" s="2">
        <v>1920</v>
      </c>
      <c r="C201" s="2" t="s">
        <v>2707</v>
      </c>
      <c r="D201" s="14" t="s">
        <v>197</v>
      </c>
      <c r="E201" s="14">
        <v>0</v>
      </c>
      <c r="F201" s="14">
        <v>0</v>
      </c>
      <c r="G201" s="14">
        <v>0</v>
      </c>
      <c r="H201" s="16">
        <v>0</v>
      </c>
      <c r="I201" s="16">
        <v>0</v>
      </c>
      <c r="J201" s="3" t="s">
        <v>5011</v>
      </c>
      <c r="K201" s="16">
        <v>0</v>
      </c>
      <c r="L201" s="16">
        <v>0</v>
      </c>
      <c r="M201" s="16">
        <v>0</v>
      </c>
    </row>
    <row r="202" spans="1:13" x14ac:dyDescent="0.25">
      <c r="A202" s="2">
        <f t="shared" si="7"/>
        <v>197</v>
      </c>
      <c r="B202" s="2">
        <v>1927</v>
      </c>
      <c r="C202" s="2" t="s">
        <v>2708</v>
      </c>
      <c r="D202" s="14" t="s">
        <v>198</v>
      </c>
      <c r="E202" s="14">
        <v>0</v>
      </c>
      <c r="F202" s="14">
        <v>0</v>
      </c>
      <c r="G202" s="14">
        <v>0</v>
      </c>
      <c r="H202" s="16">
        <v>0</v>
      </c>
      <c r="I202" s="16">
        <v>0</v>
      </c>
      <c r="J202" s="3" t="s">
        <v>5011</v>
      </c>
      <c r="K202" s="16">
        <v>0</v>
      </c>
      <c r="L202" s="16">
        <v>0</v>
      </c>
      <c r="M202" s="16">
        <v>0</v>
      </c>
    </row>
    <row r="203" spans="1:13" x14ac:dyDescent="0.25">
      <c r="A203" s="2">
        <f t="shared" si="7"/>
        <v>198</v>
      </c>
      <c r="B203" s="2">
        <v>1930</v>
      </c>
      <c r="C203" s="2" t="s">
        <v>2709</v>
      </c>
      <c r="D203" s="14" t="s">
        <v>199</v>
      </c>
      <c r="E203" s="14">
        <v>0.36630700000000005</v>
      </c>
      <c r="F203" s="14">
        <v>0</v>
      </c>
      <c r="G203" s="14">
        <v>0.36630700000000005</v>
      </c>
      <c r="H203" s="16">
        <v>48.955715099999999</v>
      </c>
      <c r="I203" s="16">
        <v>30.867554599999998</v>
      </c>
      <c r="J203" s="3" t="s">
        <v>5011</v>
      </c>
      <c r="K203" s="16">
        <v>546.73674585870003</v>
      </c>
      <c r="L203" s="16">
        <v>81.242235700000009</v>
      </c>
      <c r="M203" s="16">
        <f t="shared" si="6"/>
        <v>1.6595046264578006</v>
      </c>
    </row>
    <row r="204" spans="1:13" x14ac:dyDescent="0.25">
      <c r="A204" s="2">
        <f t="shared" si="7"/>
        <v>199</v>
      </c>
      <c r="B204" s="2">
        <v>1964</v>
      </c>
      <c r="C204" s="2" t="s">
        <v>2710</v>
      </c>
      <c r="D204" s="14" t="s">
        <v>200</v>
      </c>
      <c r="E204" s="14">
        <v>4.4190856999999992</v>
      </c>
      <c r="F204" s="14">
        <v>0</v>
      </c>
      <c r="G204" s="14">
        <v>4.4190856999999992</v>
      </c>
      <c r="H204" s="16">
        <v>332.63785569999999</v>
      </c>
      <c r="I204" s="16">
        <v>27.412659699999988</v>
      </c>
      <c r="J204" s="3" t="s">
        <v>5011</v>
      </c>
      <c r="K204" s="16">
        <v>4037.2239513987997</v>
      </c>
      <c r="L204" s="16">
        <v>492.89941579999999</v>
      </c>
      <c r="M204" s="16">
        <f t="shared" si="6"/>
        <v>1.48178990260368</v>
      </c>
    </row>
    <row r="205" spans="1:13" x14ac:dyDescent="0.25">
      <c r="A205" s="2">
        <f t="shared" si="7"/>
        <v>200</v>
      </c>
      <c r="B205" s="2">
        <v>1976</v>
      </c>
      <c r="C205" s="2" t="s">
        <v>2711</v>
      </c>
      <c r="D205" s="14" t="s">
        <v>201</v>
      </c>
      <c r="E205" s="14">
        <v>2.0745215000000004</v>
      </c>
      <c r="F205" s="14">
        <v>0</v>
      </c>
      <c r="G205" s="14">
        <v>2.0745215000000004</v>
      </c>
      <c r="H205" s="16">
        <v>64.6067714</v>
      </c>
      <c r="I205" s="16">
        <v>63.786763199999996</v>
      </c>
      <c r="J205" s="3" t="s">
        <v>5011</v>
      </c>
      <c r="K205" s="16">
        <v>1633.0484082798998</v>
      </c>
      <c r="L205" s="16">
        <v>205.34705049999999</v>
      </c>
      <c r="M205" s="16">
        <f t="shared" si="6"/>
        <v>3.178413749057889</v>
      </c>
    </row>
    <row r="206" spans="1:13" x14ac:dyDescent="0.25">
      <c r="A206" s="2">
        <f t="shared" si="7"/>
        <v>201</v>
      </c>
      <c r="B206" s="2">
        <v>1977</v>
      </c>
      <c r="C206" s="2" t="s">
        <v>2712</v>
      </c>
      <c r="D206" s="14" t="s">
        <v>202</v>
      </c>
      <c r="E206" s="14">
        <v>0</v>
      </c>
      <c r="F206" s="14">
        <v>0</v>
      </c>
      <c r="G206" s="14">
        <v>0</v>
      </c>
      <c r="H206" s="16">
        <v>0</v>
      </c>
      <c r="I206" s="16">
        <v>0</v>
      </c>
      <c r="J206" s="3" t="s">
        <v>5011</v>
      </c>
      <c r="K206" s="16">
        <v>0</v>
      </c>
      <c r="L206" s="16">
        <v>0</v>
      </c>
      <c r="M206" s="16">
        <v>0</v>
      </c>
    </row>
    <row r="207" spans="1:13" x14ac:dyDescent="0.25">
      <c r="A207" s="2">
        <f t="shared" si="7"/>
        <v>202</v>
      </c>
      <c r="B207" s="2">
        <v>1991</v>
      </c>
      <c r="C207" s="2" t="s">
        <v>2713</v>
      </c>
      <c r="D207" s="14" t="s">
        <v>203</v>
      </c>
      <c r="E207" s="14">
        <v>0</v>
      </c>
      <c r="F207" s="14">
        <v>0</v>
      </c>
      <c r="G207" s="14">
        <v>0</v>
      </c>
      <c r="H207" s="16">
        <v>0</v>
      </c>
      <c r="I207" s="16">
        <v>0</v>
      </c>
      <c r="J207" s="3" t="s">
        <v>5011</v>
      </c>
      <c r="K207" s="16">
        <v>0</v>
      </c>
      <c r="L207" s="16">
        <v>0</v>
      </c>
      <c r="M207" s="16">
        <v>0</v>
      </c>
    </row>
    <row r="208" spans="1:13" x14ac:dyDescent="0.25">
      <c r="A208" s="2">
        <f t="shared" si="7"/>
        <v>203</v>
      </c>
      <c r="B208" s="2">
        <v>2023</v>
      </c>
      <c r="C208" s="2" t="s">
        <v>2714</v>
      </c>
      <c r="D208" s="14" t="s">
        <v>204</v>
      </c>
      <c r="E208" s="14">
        <v>3.9487690000000004</v>
      </c>
      <c r="F208" s="14">
        <v>0</v>
      </c>
      <c r="G208" s="14">
        <v>3.9487690000000004</v>
      </c>
      <c r="H208" s="16">
        <v>451.88121020000006</v>
      </c>
      <c r="I208" s="16">
        <v>384.22236820000001</v>
      </c>
      <c r="J208" s="3" t="s">
        <v>5011</v>
      </c>
      <c r="K208" s="16">
        <v>4210.4579740952995</v>
      </c>
      <c r="L208" s="16">
        <v>742.33650999999998</v>
      </c>
      <c r="M208" s="16">
        <f t="shared" si="6"/>
        <v>1.6427691465007941</v>
      </c>
    </row>
    <row r="209" spans="1:13" x14ac:dyDescent="0.25">
      <c r="A209" s="2">
        <f t="shared" si="7"/>
        <v>204</v>
      </c>
      <c r="B209" s="2">
        <v>2025</v>
      </c>
      <c r="C209" s="2" t="s">
        <v>2715</v>
      </c>
      <c r="D209" s="14" t="s">
        <v>205</v>
      </c>
      <c r="E209" s="14">
        <v>0.4106824</v>
      </c>
      <c r="F209" s="14">
        <v>0</v>
      </c>
      <c r="G209" s="14">
        <v>0.4106824</v>
      </c>
      <c r="H209" s="16">
        <v>197.9227904</v>
      </c>
      <c r="I209" s="16">
        <v>176.63010349999999</v>
      </c>
      <c r="J209" s="3" t="s">
        <v>5011</v>
      </c>
      <c r="K209" s="16">
        <v>616.74348898840003</v>
      </c>
      <c r="L209" s="16">
        <v>217.71414370000002</v>
      </c>
      <c r="M209" s="16">
        <f t="shared" si="6"/>
        <v>1.0999953227215618</v>
      </c>
    </row>
    <row r="210" spans="1:13" x14ac:dyDescent="0.25">
      <c r="A210" s="2">
        <f t="shared" si="7"/>
        <v>205</v>
      </c>
      <c r="B210" s="2">
        <v>2066</v>
      </c>
      <c r="C210" s="2" t="s">
        <v>2716</v>
      </c>
      <c r="D210" s="14" t="s">
        <v>206</v>
      </c>
      <c r="E210" s="14">
        <v>6.0315200000000006E-2</v>
      </c>
      <c r="F210" s="14">
        <v>0</v>
      </c>
      <c r="G210" s="14">
        <v>6.0315200000000006E-2</v>
      </c>
      <c r="H210" s="16">
        <v>0</v>
      </c>
      <c r="I210" s="16">
        <v>0</v>
      </c>
      <c r="J210" s="3" t="s">
        <v>5011</v>
      </c>
      <c r="K210" s="16">
        <v>224.14750212669998</v>
      </c>
      <c r="L210" s="16">
        <v>23.716408900000001</v>
      </c>
      <c r="M210" s="16">
        <v>0</v>
      </c>
    </row>
    <row r="211" spans="1:13" x14ac:dyDescent="0.25">
      <c r="A211" s="2">
        <f t="shared" si="7"/>
        <v>206</v>
      </c>
      <c r="B211" s="2">
        <v>2076</v>
      </c>
      <c r="C211" s="2" t="s">
        <v>2717</v>
      </c>
      <c r="D211" s="14" t="s">
        <v>207</v>
      </c>
      <c r="E211" s="14">
        <v>5.7544330000000006</v>
      </c>
      <c r="F211" s="14">
        <v>0</v>
      </c>
      <c r="G211" s="14">
        <v>5.7544330000000006</v>
      </c>
      <c r="H211" s="16">
        <v>446.86301450000002</v>
      </c>
      <c r="I211" s="16">
        <v>338.00686990000003</v>
      </c>
      <c r="J211" s="3" t="s">
        <v>5011</v>
      </c>
      <c r="K211" s="16">
        <v>5291.3484011279006</v>
      </c>
      <c r="L211" s="16">
        <v>744.82144849999997</v>
      </c>
      <c r="M211" s="16">
        <f t="shared" si="6"/>
        <v>1.6667780154806253</v>
      </c>
    </row>
    <row r="212" spans="1:13" x14ac:dyDescent="0.25">
      <c r="A212" s="2">
        <f t="shared" si="7"/>
        <v>207</v>
      </c>
      <c r="B212" s="2">
        <v>2093</v>
      </c>
      <c r="C212" s="2" t="s">
        <v>2718</v>
      </c>
      <c r="D212" s="14" t="s">
        <v>208</v>
      </c>
      <c r="E212" s="14">
        <v>0</v>
      </c>
      <c r="F212" s="14">
        <v>0</v>
      </c>
      <c r="G212" s="14">
        <v>0</v>
      </c>
      <c r="H212" s="16">
        <v>0</v>
      </c>
      <c r="I212" s="16">
        <v>0</v>
      </c>
      <c r="J212" s="3" t="s">
        <v>5011</v>
      </c>
      <c r="K212" s="16">
        <v>5.8198773543</v>
      </c>
      <c r="L212" s="16">
        <v>0</v>
      </c>
      <c r="M212" s="16">
        <v>0</v>
      </c>
    </row>
    <row r="213" spans="1:13" x14ac:dyDescent="0.25">
      <c r="A213" s="2">
        <f t="shared" si="7"/>
        <v>208</v>
      </c>
      <c r="B213" s="2">
        <v>2096</v>
      </c>
      <c r="C213" s="2" t="s">
        <v>2719</v>
      </c>
      <c r="D213" s="14" t="s">
        <v>209</v>
      </c>
      <c r="E213" s="14">
        <v>10.2729316</v>
      </c>
      <c r="F213" s="14">
        <v>0</v>
      </c>
      <c r="G213" s="14">
        <v>10.2729316</v>
      </c>
      <c r="H213" s="16">
        <v>1784.0085896999999</v>
      </c>
      <c r="I213" s="16">
        <v>465.98976269999997</v>
      </c>
      <c r="J213" s="3" t="s">
        <v>5011</v>
      </c>
      <c r="K213" s="16">
        <v>9387.3886366455008</v>
      </c>
      <c r="L213" s="16">
        <v>1346.8127519</v>
      </c>
      <c r="M213" s="16">
        <f t="shared" si="6"/>
        <v>0.75493624844400609</v>
      </c>
    </row>
    <row r="214" spans="1:13" x14ac:dyDescent="0.25">
      <c r="A214" s="2">
        <f t="shared" si="7"/>
        <v>209</v>
      </c>
      <c r="B214" s="2">
        <v>2120</v>
      </c>
      <c r="C214" s="2" t="s">
        <v>2720</v>
      </c>
      <c r="D214" s="14" t="s">
        <v>210</v>
      </c>
      <c r="E214" s="14">
        <v>2.7083999999999997E-3</v>
      </c>
      <c r="F214" s="14">
        <v>0</v>
      </c>
      <c r="G214" s="14">
        <v>2.7083999999999997E-3</v>
      </c>
      <c r="H214" s="16">
        <v>0.94995249999999998</v>
      </c>
      <c r="I214" s="16">
        <v>0.56459139999999997</v>
      </c>
      <c r="J214" s="3" t="s">
        <v>5011</v>
      </c>
      <c r="K214" s="16">
        <v>4.8205294889000001</v>
      </c>
      <c r="L214" s="16">
        <v>0.75144389999999994</v>
      </c>
      <c r="M214" s="16">
        <f t="shared" si="6"/>
        <v>0.79103313060389857</v>
      </c>
    </row>
    <row r="215" spans="1:13" x14ac:dyDescent="0.25">
      <c r="A215" s="2">
        <f t="shared" si="7"/>
        <v>210</v>
      </c>
      <c r="B215" s="2">
        <v>2130</v>
      </c>
      <c r="C215" s="2" t="s">
        <v>2721</v>
      </c>
      <c r="D215" s="14" t="s">
        <v>211</v>
      </c>
      <c r="E215" s="14">
        <v>4.581954500000001</v>
      </c>
      <c r="F215" s="14">
        <v>0</v>
      </c>
      <c r="G215" s="14">
        <v>4.581954500000001</v>
      </c>
      <c r="H215" s="16">
        <v>357.47123060000001</v>
      </c>
      <c r="I215" s="16">
        <v>228.61268900000002</v>
      </c>
      <c r="J215" s="3" t="s">
        <v>5011</v>
      </c>
      <c r="K215" s="16">
        <v>4512.6321327487994</v>
      </c>
      <c r="L215" s="16">
        <v>583.23827919999997</v>
      </c>
      <c r="M215" s="16">
        <f t="shared" si="6"/>
        <v>1.6315670444893138</v>
      </c>
    </row>
    <row r="216" spans="1:13" x14ac:dyDescent="0.25">
      <c r="A216" s="2">
        <f t="shared" si="7"/>
        <v>211</v>
      </c>
      <c r="B216" s="2">
        <v>2131</v>
      </c>
      <c r="C216" s="2" t="s">
        <v>2722</v>
      </c>
      <c r="D216" s="14" t="s">
        <v>212</v>
      </c>
      <c r="E216" s="14">
        <v>0</v>
      </c>
      <c r="F216" s="14">
        <v>0</v>
      </c>
      <c r="G216" s="14">
        <v>0</v>
      </c>
      <c r="H216" s="16">
        <v>0</v>
      </c>
      <c r="I216" s="16">
        <v>0</v>
      </c>
      <c r="J216" s="3" t="s">
        <v>5011</v>
      </c>
      <c r="K216" s="16">
        <v>0</v>
      </c>
      <c r="L216" s="16">
        <v>0</v>
      </c>
      <c r="M216" s="16">
        <v>0</v>
      </c>
    </row>
    <row r="217" spans="1:13" x14ac:dyDescent="0.25">
      <c r="A217" s="2">
        <f t="shared" si="7"/>
        <v>212</v>
      </c>
      <c r="B217" s="2">
        <v>2138</v>
      </c>
      <c r="C217" s="2" t="s">
        <v>2723</v>
      </c>
      <c r="D217" s="14" t="s">
        <v>213</v>
      </c>
      <c r="E217" s="14">
        <v>4.4636250999999998</v>
      </c>
      <c r="F217" s="14">
        <v>0</v>
      </c>
      <c r="G217" s="14">
        <v>4.4636250999999998</v>
      </c>
      <c r="H217" s="16">
        <v>154.96225189999998</v>
      </c>
      <c r="I217" s="16">
        <v>154.96225189999998</v>
      </c>
      <c r="J217" s="3" t="s">
        <v>5011</v>
      </c>
      <c r="K217" s="16">
        <v>3454.7392049534001</v>
      </c>
      <c r="L217" s="16">
        <v>481.13926369999996</v>
      </c>
      <c r="M217" s="16">
        <f t="shared" si="6"/>
        <v>3.1048804324971222</v>
      </c>
    </row>
    <row r="218" spans="1:13" x14ac:dyDescent="0.25">
      <c r="A218" s="2">
        <f t="shared" si="7"/>
        <v>213</v>
      </c>
      <c r="B218" s="2">
        <v>2180</v>
      </c>
      <c r="C218" s="2" t="s">
        <v>2724</v>
      </c>
      <c r="D218" s="14" t="s">
        <v>214</v>
      </c>
      <c r="E218" s="14">
        <v>0</v>
      </c>
      <c r="F218" s="14">
        <v>0</v>
      </c>
      <c r="G218" s="14">
        <v>0</v>
      </c>
      <c r="H218" s="16">
        <v>0</v>
      </c>
      <c r="I218" s="16">
        <v>0</v>
      </c>
      <c r="J218" s="3" t="s">
        <v>5011</v>
      </c>
      <c r="K218" s="16">
        <v>0</v>
      </c>
      <c r="L218" s="16">
        <v>0</v>
      </c>
      <c r="M218" s="16">
        <v>0</v>
      </c>
    </row>
    <row r="219" spans="1:13" x14ac:dyDescent="0.25">
      <c r="A219" s="2">
        <f t="shared" si="7"/>
        <v>214</v>
      </c>
      <c r="B219" s="2">
        <v>2197</v>
      </c>
      <c r="C219" s="2" t="s">
        <v>2725</v>
      </c>
      <c r="D219" s="14" t="s">
        <v>215</v>
      </c>
      <c r="E219" s="14">
        <v>0</v>
      </c>
      <c r="F219" s="14">
        <v>0</v>
      </c>
      <c r="G219" s="14">
        <v>0</v>
      </c>
      <c r="H219" s="16">
        <v>0</v>
      </c>
      <c r="I219" s="16">
        <v>0</v>
      </c>
      <c r="J219" s="3" t="s">
        <v>5011</v>
      </c>
      <c r="K219" s="16">
        <v>0</v>
      </c>
      <c r="L219" s="16">
        <v>0</v>
      </c>
      <c r="M219" s="16">
        <v>0</v>
      </c>
    </row>
    <row r="220" spans="1:13" x14ac:dyDescent="0.25">
      <c r="A220" s="2">
        <f t="shared" si="7"/>
        <v>215</v>
      </c>
      <c r="B220" s="2">
        <v>2198</v>
      </c>
      <c r="C220" s="2" t="s">
        <v>2726</v>
      </c>
      <c r="D220" s="14" t="s">
        <v>216</v>
      </c>
      <c r="E220" s="14">
        <v>4.2974551999999999</v>
      </c>
      <c r="F220" s="14">
        <v>0</v>
      </c>
      <c r="G220" s="14">
        <v>4.2974551999999999</v>
      </c>
      <c r="H220" s="16">
        <v>585.31498509999994</v>
      </c>
      <c r="I220" s="16">
        <v>290.11640249999994</v>
      </c>
      <c r="J220" s="3" t="s">
        <v>5011</v>
      </c>
      <c r="K220" s="16">
        <v>5676.2037050498011</v>
      </c>
      <c r="L220" s="16">
        <v>735.72007370000006</v>
      </c>
      <c r="M220" s="16">
        <f t="shared" si="6"/>
        <v>1.2569643566776334</v>
      </c>
    </row>
    <row r="221" spans="1:13" x14ac:dyDescent="0.25">
      <c r="A221" s="2">
        <f t="shared" si="7"/>
        <v>216</v>
      </c>
      <c r="B221" s="2">
        <v>2222</v>
      </c>
      <c r="C221" s="2" t="s">
        <v>2727</v>
      </c>
      <c r="D221" s="14" t="s">
        <v>217</v>
      </c>
      <c r="E221" s="14">
        <v>1.4603999999999999E-3</v>
      </c>
      <c r="F221" s="14">
        <v>0</v>
      </c>
      <c r="G221" s="14">
        <v>1.4603999999999999E-3</v>
      </c>
      <c r="H221" s="16">
        <v>0.299985</v>
      </c>
      <c r="I221" s="16">
        <v>0.299985</v>
      </c>
      <c r="J221" s="3" t="s">
        <v>5011</v>
      </c>
      <c r="K221" s="16">
        <v>2.7382032342000002</v>
      </c>
      <c r="L221" s="16">
        <v>0.39550589999999997</v>
      </c>
      <c r="M221" s="16">
        <f t="shared" si="6"/>
        <v>1.3184189209460473</v>
      </c>
    </row>
    <row r="222" spans="1:13" x14ac:dyDescent="0.25">
      <c r="A222" s="2">
        <f t="shared" si="7"/>
        <v>217</v>
      </c>
      <c r="B222" s="2">
        <v>2224</v>
      </c>
      <c r="C222" s="2" t="s">
        <v>2728</v>
      </c>
      <c r="D222" s="14" t="s">
        <v>218</v>
      </c>
      <c r="E222" s="14">
        <v>0</v>
      </c>
      <c r="F222" s="14">
        <v>0</v>
      </c>
      <c r="G222" s="14">
        <v>0</v>
      </c>
      <c r="H222" s="16">
        <v>0</v>
      </c>
      <c r="I222" s="16">
        <v>0</v>
      </c>
      <c r="J222" s="3" t="s">
        <v>5011</v>
      </c>
      <c r="K222" s="16">
        <v>0</v>
      </c>
      <c r="L222" s="16">
        <v>0</v>
      </c>
      <c r="M222" s="16">
        <v>0</v>
      </c>
    </row>
    <row r="223" spans="1:13" x14ac:dyDescent="0.25">
      <c r="A223" s="2">
        <f t="shared" si="7"/>
        <v>218</v>
      </c>
      <c r="B223" s="2">
        <v>2233</v>
      </c>
      <c r="C223" s="2" t="s">
        <v>2729</v>
      </c>
      <c r="D223" s="14" t="s">
        <v>219</v>
      </c>
      <c r="E223" s="14">
        <v>7.3346199999999986E-2</v>
      </c>
      <c r="F223" s="14">
        <v>0</v>
      </c>
      <c r="G223" s="14">
        <v>7.3346199999999986E-2</v>
      </c>
      <c r="H223" s="16">
        <v>0.71996399999999994</v>
      </c>
      <c r="I223" s="16">
        <v>0.46896679999999991</v>
      </c>
      <c r="J223" s="3" t="s">
        <v>5011</v>
      </c>
      <c r="K223" s="16">
        <v>48.801233482299999</v>
      </c>
      <c r="L223" s="16">
        <v>5.5134487999999999</v>
      </c>
      <c r="M223" s="16">
        <f t="shared" si="6"/>
        <v>7.6579506753115441</v>
      </c>
    </row>
    <row r="224" spans="1:13" x14ac:dyDescent="0.25">
      <c r="A224" s="2">
        <f t="shared" si="7"/>
        <v>219</v>
      </c>
      <c r="B224" s="2">
        <v>2238</v>
      </c>
      <c r="C224" s="2" t="s">
        <v>2730</v>
      </c>
      <c r="D224" s="14" t="s">
        <v>220</v>
      </c>
      <c r="E224" s="14">
        <v>0</v>
      </c>
      <c r="F224" s="14">
        <v>0</v>
      </c>
      <c r="G224" s="14">
        <v>0</v>
      </c>
      <c r="H224" s="16">
        <v>0</v>
      </c>
      <c r="I224" s="16">
        <v>0</v>
      </c>
      <c r="J224" s="3" t="s">
        <v>5011</v>
      </c>
      <c r="K224" s="16">
        <v>0</v>
      </c>
      <c r="L224" s="16">
        <v>0</v>
      </c>
      <c r="M224" s="16">
        <v>0</v>
      </c>
    </row>
    <row r="225" spans="1:13" x14ac:dyDescent="0.25">
      <c r="A225" s="2">
        <f t="shared" si="7"/>
        <v>220</v>
      </c>
      <c r="B225" s="2">
        <v>2283</v>
      </c>
      <c r="C225" s="2" t="s">
        <v>2731</v>
      </c>
      <c r="D225" s="14" t="s">
        <v>221</v>
      </c>
      <c r="E225" s="14">
        <v>3.7548898000000004</v>
      </c>
      <c r="F225" s="14">
        <v>0</v>
      </c>
      <c r="G225" s="14">
        <v>3.7548898000000004</v>
      </c>
      <c r="H225" s="16">
        <v>321.57960989999998</v>
      </c>
      <c r="I225" s="16">
        <v>178.32319469999999</v>
      </c>
      <c r="J225" s="3" t="s">
        <v>5011</v>
      </c>
      <c r="K225" s="16">
        <v>4209.1905682449997</v>
      </c>
      <c r="L225" s="16">
        <v>540.39039360000004</v>
      </c>
      <c r="M225" s="16">
        <f t="shared" si="6"/>
        <v>1.6804249304489254</v>
      </c>
    </row>
    <row r="226" spans="1:13" x14ac:dyDescent="0.25">
      <c r="A226" s="2">
        <f t="shared" si="7"/>
        <v>221</v>
      </c>
      <c r="B226" s="2">
        <v>2354</v>
      </c>
      <c r="C226" s="2" t="s">
        <v>2732</v>
      </c>
      <c r="D226" s="14" t="s">
        <v>222</v>
      </c>
      <c r="E226" s="14">
        <v>0</v>
      </c>
      <c r="F226" s="14">
        <v>0</v>
      </c>
      <c r="G226" s="14">
        <v>0</v>
      </c>
      <c r="H226" s="16">
        <v>0</v>
      </c>
      <c r="I226" s="16">
        <v>0</v>
      </c>
      <c r="J226" s="3" t="s">
        <v>5011</v>
      </c>
      <c r="K226" s="16">
        <v>0</v>
      </c>
      <c r="L226" s="16">
        <v>0</v>
      </c>
      <c r="M226" s="16">
        <v>0</v>
      </c>
    </row>
    <row r="227" spans="1:13" x14ac:dyDescent="0.25">
      <c r="A227" s="2">
        <f t="shared" si="7"/>
        <v>222</v>
      </c>
      <c r="B227" s="2">
        <v>2368</v>
      </c>
      <c r="C227" s="2" t="s">
        <v>2733</v>
      </c>
      <c r="D227" s="14" t="s">
        <v>223</v>
      </c>
      <c r="E227" s="14">
        <v>0</v>
      </c>
      <c r="F227" s="14">
        <v>0</v>
      </c>
      <c r="G227" s="14">
        <v>0</v>
      </c>
      <c r="H227" s="16">
        <v>0</v>
      </c>
      <c r="I227" s="16">
        <v>0</v>
      </c>
      <c r="J227" s="3" t="s">
        <v>5011</v>
      </c>
      <c r="K227" s="16">
        <v>0</v>
      </c>
      <c r="L227" s="16">
        <v>0</v>
      </c>
      <c r="M227" s="16">
        <v>0</v>
      </c>
    </row>
    <row r="228" spans="1:13" x14ac:dyDescent="0.25">
      <c r="A228" s="2">
        <f t="shared" si="7"/>
        <v>223</v>
      </c>
      <c r="B228" s="2">
        <v>2373</v>
      </c>
      <c r="C228" s="2" t="s">
        <v>2734</v>
      </c>
      <c r="D228" s="14" t="s">
        <v>224</v>
      </c>
      <c r="E228" s="14">
        <v>7.7504959000000007</v>
      </c>
      <c r="F228" s="14">
        <v>0</v>
      </c>
      <c r="G228" s="14">
        <v>7.7504959000000007</v>
      </c>
      <c r="H228" s="16">
        <v>204.4848423</v>
      </c>
      <c r="I228" s="16">
        <v>19.889361000000015</v>
      </c>
      <c r="J228" s="3" t="s">
        <v>5011</v>
      </c>
      <c r="K228" s="16">
        <v>6713.9491943746016</v>
      </c>
      <c r="L228" s="16">
        <v>693.80998650000004</v>
      </c>
      <c r="M228" s="16">
        <f t="shared" si="6"/>
        <v>3.3929653596627491</v>
      </c>
    </row>
    <row r="229" spans="1:13" x14ac:dyDescent="0.25">
      <c r="A229" s="2">
        <f t="shared" si="7"/>
        <v>224</v>
      </c>
      <c r="B229" s="2">
        <v>2380</v>
      </c>
      <c r="C229" s="2" t="s">
        <v>2735</v>
      </c>
      <c r="D229" s="14" t="s">
        <v>225</v>
      </c>
      <c r="E229" s="14">
        <v>0</v>
      </c>
      <c r="F229" s="14">
        <v>0</v>
      </c>
      <c r="G229" s="14">
        <v>0</v>
      </c>
      <c r="H229" s="16">
        <v>0</v>
      </c>
      <c r="I229" s="16">
        <v>0</v>
      </c>
      <c r="J229" s="3" t="s">
        <v>5011</v>
      </c>
      <c r="K229" s="16">
        <v>0</v>
      </c>
      <c r="L229" s="16">
        <v>0</v>
      </c>
      <c r="M229" s="16">
        <v>0</v>
      </c>
    </row>
    <row r="230" spans="1:13" x14ac:dyDescent="0.25">
      <c r="A230" s="2">
        <f t="shared" si="7"/>
        <v>225</v>
      </c>
      <c r="B230" s="2">
        <v>2387</v>
      </c>
      <c r="C230" s="2" t="s">
        <v>2736</v>
      </c>
      <c r="D230" s="14" t="s">
        <v>226</v>
      </c>
      <c r="E230" s="14">
        <v>1.9408952000000002</v>
      </c>
      <c r="F230" s="14">
        <v>0</v>
      </c>
      <c r="G230" s="14">
        <v>1.9408952000000002</v>
      </c>
      <c r="H230" s="16">
        <v>502.40456259999996</v>
      </c>
      <c r="I230" s="16">
        <v>348.7197415</v>
      </c>
      <c r="J230" s="3" t="s">
        <v>5011</v>
      </c>
      <c r="K230" s="16">
        <v>2942.6143896941003</v>
      </c>
      <c r="L230" s="16">
        <v>516.69420719999994</v>
      </c>
      <c r="M230" s="16">
        <f t="shared" si="6"/>
        <v>1.0284425056294264</v>
      </c>
    </row>
    <row r="231" spans="1:13" x14ac:dyDescent="0.25">
      <c r="A231" s="2">
        <f t="shared" si="7"/>
        <v>226</v>
      </c>
      <c r="B231" s="2">
        <v>2389</v>
      </c>
      <c r="C231" s="2" t="s">
        <v>2737</v>
      </c>
      <c r="D231" s="14" t="s">
        <v>227</v>
      </c>
      <c r="E231" s="14">
        <v>0</v>
      </c>
      <c r="F231" s="14">
        <v>0</v>
      </c>
      <c r="G231" s="14">
        <v>0</v>
      </c>
      <c r="H231" s="16">
        <v>0</v>
      </c>
      <c r="I231" s="16">
        <v>0</v>
      </c>
      <c r="J231" s="3" t="s">
        <v>5011</v>
      </c>
      <c r="K231" s="16">
        <v>0</v>
      </c>
      <c r="L231" s="16">
        <v>0</v>
      </c>
      <c r="M231" s="16">
        <v>0</v>
      </c>
    </row>
    <row r="232" spans="1:13" x14ac:dyDescent="0.25">
      <c r="A232" s="2">
        <f t="shared" si="7"/>
        <v>227</v>
      </c>
      <c r="B232" s="2">
        <v>2396</v>
      </c>
      <c r="C232" s="2" t="s">
        <v>2738</v>
      </c>
      <c r="D232" s="14" t="s">
        <v>228</v>
      </c>
      <c r="E232" s="14">
        <v>0</v>
      </c>
      <c r="F232" s="14">
        <v>0</v>
      </c>
      <c r="G232" s="14">
        <v>0</v>
      </c>
      <c r="H232" s="16">
        <v>0</v>
      </c>
      <c r="I232" s="16">
        <v>0</v>
      </c>
      <c r="J232" s="3" t="s">
        <v>5011</v>
      </c>
      <c r="K232" s="16">
        <v>0</v>
      </c>
      <c r="L232" s="16">
        <v>0</v>
      </c>
      <c r="M232" s="16">
        <v>0</v>
      </c>
    </row>
    <row r="233" spans="1:13" x14ac:dyDescent="0.25">
      <c r="A233" s="2">
        <f t="shared" si="7"/>
        <v>228</v>
      </c>
      <c r="B233" s="2">
        <v>2403</v>
      </c>
      <c r="C233" s="2" t="s">
        <v>2739</v>
      </c>
      <c r="D233" s="14" t="s">
        <v>229</v>
      </c>
      <c r="E233" s="14">
        <v>0.28839429999999999</v>
      </c>
      <c r="F233" s="14">
        <v>0</v>
      </c>
      <c r="G233" s="14">
        <v>0.28839429999999999</v>
      </c>
      <c r="H233" s="16">
        <v>30.414479199999999</v>
      </c>
      <c r="I233" s="16">
        <v>25.364479199999998</v>
      </c>
      <c r="J233" s="3" t="s">
        <v>5011</v>
      </c>
      <c r="K233" s="16">
        <v>350.83668904969994</v>
      </c>
      <c r="L233" s="16">
        <v>47.732673699999999</v>
      </c>
      <c r="M233" s="16">
        <f t="shared" si="6"/>
        <v>1.5694062484555054</v>
      </c>
    </row>
    <row r="234" spans="1:13" x14ac:dyDescent="0.25">
      <c r="A234" s="2">
        <f t="shared" si="7"/>
        <v>229</v>
      </c>
      <c r="B234" s="2">
        <v>2405</v>
      </c>
      <c r="C234" s="2" t="s">
        <v>2740</v>
      </c>
      <c r="D234" s="14" t="s">
        <v>230</v>
      </c>
      <c r="E234" s="14">
        <v>0</v>
      </c>
      <c r="F234" s="14">
        <v>0</v>
      </c>
      <c r="G234" s="14">
        <v>0</v>
      </c>
      <c r="H234" s="16">
        <v>0.499975</v>
      </c>
      <c r="I234" s="16">
        <v>0.499975</v>
      </c>
      <c r="J234" s="3" t="s">
        <v>5011</v>
      </c>
      <c r="K234" s="16">
        <v>0.8015563496</v>
      </c>
      <c r="L234" s="16">
        <v>0.50621059999999996</v>
      </c>
      <c r="M234" s="16">
        <f t="shared" si="6"/>
        <v>1.0124718235911794</v>
      </c>
    </row>
    <row r="235" spans="1:13" x14ac:dyDescent="0.25">
      <c r="A235" s="2">
        <f t="shared" si="7"/>
        <v>230</v>
      </c>
      <c r="B235" s="2">
        <v>2408</v>
      </c>
      <c r="C235" s="2" t="s">
        <v>2741</v>
      </c>
      <c r="D235" s="14" t="s">
        <v>231</v>
      </c>
      <c r="E235" s="14">
        <v>0</v>
      </c>
      <c r="F235" s="14">
        <v>0</v>
      </c>
      <c r="G235" s="14">
        <v>0</v>
      </c>
      <c r="H235" s="16">
        <v>0</v>
      </c>
      <c r="I235" s="16">
        <v>0</v>
      </c>
      <c r="J235" s="3" t="s">
        <v>5011</v>
      </c>
      <c r="K235" s="16">
        <v>0</v>
      </c>
      <c r="L235" s="16">
        <v>0</v>
      </c>
      <c r="M235" s="16">
        <v>0</v>
      </c>
    </row>
    <row r="236" spans="1:13" x14ac:dyDescent="0.25">
      <c r="A236" s="2">
        <f t="shared" si="7"/>
        <v>231</v>
      </c>
      <c r="B236" s="2">
        <v>2425</v>
      </c>
      <c r="C236" s="2" t="s">
        <v>2742</v>
      </c>
      <c r="D236" s="14" t="s">
        <v>232</v>
      </c>
      <c r="E236" s="14">
        <v>1.3739452999999999</v>
      </c>
      <c r="F236" s="14">
        <v>0</v>
      </c>
      <c r="G236" s="14">
        <v>1.3739452999999999</v>
      </c>
      <c r="H236" s="16">
        <v>209.11586219999998</v>
      </c>
      <c r="I236" s="16">
        <v>133.90661559999998</v>
      </c>
      <c r="J236" s="3" t="s">
        <v>5011</v>
      </c>
      <c r="K236" s="16">
        <v>1696.6582977462003</v>
      </c>
      <c r="L236" s="16">
        <v>259.94235960000003</v>
      </c>
      <c r="M236" s="16">
        <f t="shared" si="6"/>
        <v>1.2430542421090429</v>
      </c>
    </row>
    <row r="237" spans="1:13" x14ac:dyDescent="0.25">
      <c r="A237" s="2">
        <f t="shared" si="7"/>
        <v>232</v>
      </c>
      <c r="B237" s="2">
        <v>2427</v>
      </c>
      <c r="C237" s="2" t="s">
        <v>2743</v>
      </c>
      <c r="D237" s="14" t="s">
        <v>233</v>
      </c>
      <c r="E237" s="14">
        <v>0</v>
      </c>
      <c r="F237" s="14">
        <v>0</v>
      </c>
      <c r="G237" s="14">
        <v>0</v>
      </c>
      <c r="H237" s="16">
        <v>0</v>
      </c>
      <c r="I237" s="16">
        <v>0</v>
      </c>
      <c r="J237" s="3" t="s">
        <v>5011</v>
      </c>
      <c r="K237" s="16">
        <v>0</v>
      </c>
      <c r="L237" s="16">
        <v>0</v>
      </c>
      <c r="M237" s="16">
        <v>0</v>
      </c>
    </row>
    <row r="238" spans="1:13" x14ac:dyDescent="0.25">
      <c r="A238" s="2">
        <f t="shared" si="7"/>
        <v>233</v>
      </c>
      <c r="B238" s="2">
        <v>2481</v>
      </c>
      <c r="C238" s="2" t="s">
        <v>2744</v>
      </c>
      <c r="D238" s="14" t="s">
        <v>234</v>
      </c>
      <c r="E238" s="14">
        <v>0</v>
      </c>
      <c r="F238" s="14">
        <v>0</v>
      </c>
      <c r="G238" s="14">
        <v>0</v>
      </c>
      <c r="H238" s="16">
        <v>0</v>
      </c>
      <c r="I238" s="16">
        <v>0</v>
      </c>
      <c r="J238" s="3" t="s">
        <v>5011</v>
      </c>
      <c r="K238" s="16">
        <v>0</v>
      </c>
      <c r="L238" s="16">
        <v>0</v>
      </c>
      <c r="M238" s="16">
        <v>0</v>
      </c>
    </row>
    <row r="239" spans="1:13" x14ac:dyDescent="0.25">
      <c r="A239" s="2">
        <f t="shared" si="7"/>
        <v>234</v>
      </c>
      <c r="B239" s="2">
        <v>2482</v>
      </c>
      <c r="C239" s="2" t="s">
        <v>2745</v>
      </c>
      <c r="D239" s="14" t="s">
        <v>235</v>
      </c>
      <c r="E239" s="14">
        <v>0.31549929999999998</v>
      </c>
      <c r="F239" s="14">
        <v>0</v>
      </c>
      <c r="G239" s="14">
        <v>0.31549929999999998</v>
      </c>
      <c r="H239" s="16">
        <v>1.506E-4</v>
      </c>
      <c r="I239" s="16">
        <v>-11.100939799999999</v>
      </c>
      <c r="J239" s="3" t="s">
        <v>5011</v>
      </c>
      <c r="K239" s="16">
        <v>828.23139362130007</v>
      </c>
      <c r="L239" s="16">
        <v>75.8198194</v>
      </c>
      <c r="M239" s="16">
        <f t="shared" si="6"/>
        <v>503451.65604249667</v>
      </c>
    </row>
    <row r="240" spans="1:13" x14ac:dyDescent="0.25">
      <c r="A240" s="2">
        <f t="shared" si="7"/>
        <v>235</v>
      </c>
      <c r="B240" s="2">
        <v>2487</v>
      </c>
      <c r="C240" s="2" t="s">
        <v>2746</v>
      </c>
      <c r="D240" s="14" t="s">
        <v>236</v>
      </c>
      <c r="E240" s="14">
        <v>0.1001475</v>
      </c>
      <c r="F240" s="14">
        <v>0</v>
      </c>
      <c r="G240" s="14">
        <v>0.1001475</v>
      </c>
      <c r="H240" s="16">
        <v>40.967951499999998</v>
      </c>
      <c r="I240" s="16">
        <v>31.247951499999999</v>
      </c>
      <c r="J240" s="3" t="s">
        <v>5011</v>
      </c>
      <c r="K240" s="16">
        <v>261.1574656674</v>
      </c>
      <c r="L240" s="16">
        <v>36.039916499999997</v>
      </c>
      <c r="M240" s="16">
        <f t="shared" si="6"/>
        <v>0.87970999721575038</v>
      </c>
    </row>
    <row r="241" spans="1:13" x14ac:dyDescent="0.25">
      <c r="A241" s="2">
        <f t="shared" si="7"/>
        <v>236</v>
      </c>
      <c r="B241" s="2">
        <v>2512</v>
      </c>
      <c r="C241" s="2" t="s">
        <v>2747</v>
      </c>
      <c r="D241" s="14" t="s">
        <v>237</v>
      </c>
      <c r="E241" s="14">
        <v>16.721377400000002</v>
      </c>
      <c r="F241" s="14">
        <v>0</v>
      </c>
      <c r="G241" s="14">
        <v>16.721377400000002</v>
      </c>
      <c r="H241" s="16">
        <v>427.69239020000003</v>
      </c>
      <c r="I241" s="16">
        <v>195.52324370000005</v>
      </c>
      <c r="J241" s="3" t="s">
        <v>5011</v>
      </c>
      <c r="K241" s="16">
        <v>13159.314903596502</v>
      </c>
      <c r="L241" s="16">
        <v>1489.9001297999998</v>
      </c>
      <c r="M241" s="16">
        <f t="shared" si="6"/>
        <v>3.483578768149894</v>
      </c>
    </row>
    <row r="242" spans="1:13" x14ac:dyDescent="0.25">
      <c r="A242" s="2">
        <f t="shared" si="7"/>
        <v>237</v>
      </c>
      <c r="B242" s="2">
        <v>2550</v>
      </c>
      <c r="C242" s="2" t="s">
        <v>2748</v>
      </c>
      <c r="D242" s="14" t="s">
        <v>238</v>
      </c>
      <c r="E242" s="14">
        <v>0</v>
      </c>
      <c r="F242" s="14">
        <v>0</v>
      </c>
      <c r="G242" s="14">
        <v>0</v>
      </c>
      <c r="H242" s="16">
        <v>0.19999</v>
      </c>
      <c r="I242" s="16">
        <v>0.19999</v>
      </c>
      <c r="J242" s="3" t="s">
        <v>5011</v>
      </c>
      <c r="K242" s="16">
        <v>0.12383720100000001</v>
      </c>
      <c r="L242" s="16">
        <v>0.20183830000000003</v>
      </c>
      <c r="M242" s="16">
        <f t="shared" si="6"/>
        <v>1.009241962098105</v>
      </c>
    </row>
    <row r="243" spans="1:13" x14ac:dyDescent="0.25">
      <c r="A243" s="2">
        <f t="shared" si="7"/>
        <v>238</v>
      </c>
      <c r="B243" s="2">
        <v>2566</v>
      </c>
      <c r="C243" s="2" t="s">
        <v>2749</v>
      </c>
      <c r="D243" s="14" t="s">
        <v>239</v>
      </c>
      <c r="E243" s="14">
        <v>2.0712399999999999E-2</v>
      </c>
      <c r="F243" s="14">
        <v>0</v>
      </c>
      <c r="G243" s="14">
        <v>2.0712399999999999E-2</v>
      </c>
      <c r="H243" s="16">
        <v>14.569271499999999</v>
      </c>
      <c r="I243" s="16">
        <v>14.569271499999999</v>
      </c>
      <c r="J243" s="3" t="s">
        <v>5011</v>
      </c>
      <c r="K243" s="16">
        <v>43.736376849700001</v>
      </c>
      <c r="L243" s="16">
        <v>15.6734124</v>
      </c>
      <c r="M243" s="16">
        <f t="shared" si="6"/>
        <v>1.0757855943586474</v>
      </c>
    </row>
    <row r="244" spans="1:13" x14ac:dyDescent="0.25">
      <c r="A244" s="2">
        <f t="shared" si="7"/>
        <v>239</v>
      </c>
      <c r="B244" s="2">
        <v>2590</v>
      </c>
      <c r="C244" s="2" t="s">
        <v>2750</v>
      </c>
      <c r="D244" s="14" t="s">
        <v>240</v>
      </c>
      <c r="E244" s="14">
        <v>0</v>
      </c>
      <c r="F244" s="14">
        <v>0</v>
      </c>
      <c r="G244" s="14">
        <v>0</v>
      </c>
      <c r="H244" s="16">
        <v>0</v>
      </c>
      <c r="I244" s="16">
        <v>0</v>
      </c>
      <c r="J244" s="3" t="s">
        <v>5011</v>
      </c>
      <c r="K244" s="16">
        <v>0</v>
      </c>
      <c r="L244" s="16">
        <v>0</v>
      </c>
      <c r="M244" s="16">
        <v>0</v>
      </c>
    </row>
    <row r="245" spans="1:13" x14ac:dyDescent="0.25">
      <c r="A245" s="2">
        <f t="shared" si="7"/>
        <v>240</v>
      </c>
      <c r="B245" s="2">
        <v>2595</v>
      </c>
      <c r="C245" s="2" t="s">
        <v>2751</v>
      </c>
      <c r="D245" s="14" t="s">
        <v>241</v>
      </c>
      <c r="E245" s="14">
        <v>7.4381200000000008E-2</v>
      </c>
      <c r="F245" s="14">
        <v>0</v>
      </c>
      <c r="G245" s="14">
        <v>7.4381200000000008E-2</v>
      </c>
      <c r="H245" s="16">
        <v>17.299135</v>
      </c>
      <c r="I245" s="16">
        <v>17.299135</v>
      </c>
      <c r="J245" s="3" t="s">
        <v>5011</v>
      </c>
      <c r="K245" s="16">
        <v>88.727497819799993</v>
      </c>
      <c r="L245" s="16">
        <v>24.287697000000001</v>
      </c>
      <c r="M245" s="16">
        <f t="shared" si="6"/>
        <v>1.403983320553311</v>
      </c>
    </row>
    <row r="246" spans="1:13" x14ac:dyDescent="0.25">
      <c r="A246" s="2">
        <f t="shared" si="7"/>
        <v>241</v>
      </c>
      <c r="B246" s="2">
        <v>2599</v>
      </c>
      <c r="C246" s="2" t="s">
        <v>2752</v>
      </c>
      <c r="D246" s="14" t="s">
        <v>242</v>
      </c>
      <c r="E246" s="14">
        <v>6.4649000000000012E-2</v>
      </c>
      <c r="F246" s="14">
        <v>0</v>
      </c>
      <c r="G246" s="14">
        <v>6.4649000000000012E-2</v>
      </c>
      <c r="H246" s="16">
        <v>22.000603399999999</v>
      </c>
      <c r="I246" s="16">
        <v>8.5779221000000003</v>
      </c>
      <c r="J246" s="3" t="s">
        <v>5011</v>
      </c>
      <c r="K246" s="16">
        <v>87.335482594599995</v>
      </c>
      <c r="L246" s="16">
        <v>11.7496993</v>
      </c>
      <c r="M246" s="16">
        <f t="shared" si="6"/>
        <v>0.53406259302869852</v>
      </c>
    </row>
    <row r="247" spans="1:13" x14ac:dyDescent="0.25">
      <c r="A247" s="2">
        <f t="shared" si="7"/>
        <v>242</v>
      </c>
      <c r="B247" s="2">
        <v>2640</v>
      </c>
      <c r="C247" s="2" t="s">
        <v>2753</v>
      </c>
      <c r="D247" s="14" t="s">
        <v>243</v>
      </c>
      <c r="E247" s="14">
        <v>0</v>
      </c>
      <c r="F247" s="14">
        <v>0</v>
      </c>
      <c r="G247" s="14">
        <v>0</v>
      </c>
      <c r="H247" s="16">
        <v>0</v>
      </c>
      <c r="I247" s="16">
        <v>0</v>
      </c>
      <c r="J247" s="3" t="s">
        <v>5011</v>
      </c>
      <c r="K247" s="16">
        <v>0</v>
      </c>
      <c r="L247" s="16">
        <v>0</v>
      </c>
      <c r="M247" s="16">
        <v>0</v>
      </c>
    </row>
    <row r="248" spans="1:13" x14ac:dyDescent="0.25">
      <c r="A248" s="2">
        <f t="shared" si="7"/>
        <v>243</v>
      </c>
      <c r="B248" s="2">
        <v>2645</v>
      </c>
      <c r="C248" s="2" t="s">
        <v>2754</v>
      </c>
      <c r="D248" s="14" t="s">
        <v>244</v>
      </c>
      <c r="E248" s="14">
        <v>4.0239999999999997E-4</v>
      </c>
      <c r="F248" s="14">
        <v>0</v>
      </c>
      <c r="G248" s="14">
        <v>4.0239999999999997E-4</v>
      </c>
      <c r="H248" s="16">
        <v>1.099945</v>
      </c>
      <c r="I248" s="16">
        <v>1.099945</v>
      </c>
      <c r="J248" s="3" t="s">
        <v>5011</v>
      </c>
      <c r="K248" s="16">
        <v>1.5598401376</v>
      </c>
      <c r="L248" s="16">
        <v>1.1362109</v>
      </c>
      <c r="M248" s="16">
        <f t="shared" si="6"/>
        <v>1.0329706485324266</v>
      </c>
    </row>
    <row r="249" spans="1:13" x14ac:dyDescent="0.25">
      <c r="A249" s="2">
        <f t="shared" si="7"/>
        <v>244</v>
      </c>
      <c r="B249" s="2">
        <v>2647</v>
      </c>
      <c r="C249" s="2" t="s">
        <v>2755</v>
      </c>
      <c r="D249" s="14" t="s">
        <v>245</v>
      </c>
      <c r="E249" s="14">
        <v>0</v>
      </c>
      <c r="F249" s="14">
        <v>0</v>
      </c>
      <c r="G249" s="14">
        <v>0</v>
      </c>
      <c r="H249" s="16">
        <v>0</v>
      </c>
      <c r="I249" s="16">
        <v>0</v>
      </c>
      <c r="J249" s="3" t="s">
        <v>5011</v>
      </c>
      <c r="K249" s="16">
        <v>0</v>
      </c>
      <c r="L249" s="16">
        <v>0</v>
      </c>
      <c r="M249" s="16">
        <v>0</v>
      </c>
    </row>
    <row r="250" spans="1:13" x14ac:dyDescent="0.25">
      <c r="A250" s="2">
        <f t="shared" si="7"/>
        <v>245</v>
      </c>
      <c r="B250" s="2">
        <v>2648</v>
      </c>
      <c r="C250" s="2" t="s">
        <v>2756</v>
      </c>
      <c r="D250" s="14" t="s">
        <v>246</v>
      </c>
      <c r="E250" s="14">
        <v>1.8946356</v>
      </c>
      <c r="F250" s="14">
        <v>0</v>
      </c>
      <c r="G250" s="14">
        <v>1.8946356</v>
      </c>
      <c r="H250" s="16">
        <v>349.98250090000005</v>
      </c>
      <c r="I250" s="16">
        <v>349.98250090000005</v>
      </c>
      <c r="J250" s="3" t="s">
        <v>5011</v>
      </c>
      <c r="K250" s="16">
        <v>2453.4382860672999</v>
      </c>
      <c r="L250" s="16">
        <v>474.82802029999999</v>
      </c>
      <c r="M250" s="16">
        <f t="shared" si="6"/>
        <v>1.3567193190486739</v>
      </c>
    </row>
    <row r="251" spans="1:13" x14ac:dyDescent="0.25">
      <c r="A251" s="2">
        <f t="shared" si="7"/>
        <v>246</v>
      </c>
      <c r="B251" s="2">
        <v>2654</v>
      </c>
      <c r="C251" s="2" t="s">
        <v>2757</v>
      </c>
      <c r="D251" s="14" t="s">
        <v>247</v>
      </c>
      <c r="E251" s="14">
        <v>0</v>
      </c>
      <c r="F251" s="14">
        <v>0</v>
      </c>
      <c r="G251" s="14">
        <v>0</v>
      </c>
      <c r="H251" s="16">
        <v>0</v>
      </c>
      <c r="I251" s="16">
        <v>0</v>
      </c>
      <c r="J251" s="3" t="s">
        <v>5011</v>
      </c>
      <c r="K251" s="16">
        <v>0</v>
      </c>
      <c r="L251" s="16">
        <v>0</v>
      </c>
      <c r="M251" s="16">
        <v>0</v>
      </c>
    </row>
    <row r="252" spans="1:13" x14ac:dyDescent="0.25">
      <c r="A252" s="2">
        <f t="shared" si="7"/>
        <v>247</v>
      </c>
      <c r="B252" s="2">
        <v>2703</v>
      </c>
      <c r="C252" s="2" t="s">
        <v>2758</v>
      </c>
      <c r="D252" s="14" t="s">
        <v>248</v>
      </c>
      <c r="E252" s="14">
        <v>0</v>
      </c>
      <c r="F252" s="14">
        <v>0</v>
      </c>
      <c r="G252" s="14">
        <v>0</v>
      </c>
      <c r="H252" s="16">
        <v>0</v>
      </c>
      <c r="I252" s="16">
        <v>0</v>
      </c>
      <c r="J252" s="3" t="s">
        <v>5011</v>
      </c>
      <c r="K252" s="16">
        <v>0</v>
      </c>
      <c r="L252" s="16">
        <v>0</v>
      </c>
      <c r="M252" s="16">
        <v>0</v>
      </c>
    </row>
    <row r="253" spans="1:13" x14ac:dyDescent="0.25">
      <c r="A253" s="2">
        <f t="shared" si="7"/>
        <v>248</v>
      </c>
      <c r="B253" s="2">
        <v>2730</v>
      </c>
      <c r="C253" s="2" t="s">
        <v>2759</v>
      </c>
      <c r="D253" s="14" t="s">
        <v>249</v>
      </c>
      <c r="E253" s="14">
        <v>0</v>
      </c>
      <c r="F253" s="14">
        <v>0</v>
      </c>
      <c r="G253" s="14">
        <v>0</v>
      </c>
      <c r="H253" s="16">
        <v>0</v>
      </c>
      <c r="I253" s="16">
        <v>0</v>
      </c>
      <c r="J253" s="3" t="s">
        <v>5011</v>
      </c>
      <c r="K253" s="16">
        <v>0</v>
      </c>
      <c r="L253" s="16">
        <v>0</v>
      </c>
      <c r="M253" s="16">
        <v>0</v>
      </c>
    </row>
    <row r="254" spans="1:13" x14ac:dyDescent="0.25">
      <c r="A254" s="2">
        <f t="shared" si="7"/>
        <v>249</v>
      </c>
      <c r="B254" s="2">
        <v>2733</v>
      </c>
      <c r="C254" s="2" t="s">
        <v>2760</v>
      </c>
      <c r="D254" s="14" t="s">
        <v>250</v>
      </c>
      <c r="E254" s="14">
        <v>0</v>
      </c>
      <c r="F254" s="14">
        <v>0</v>
      </c>
      <c r="G254" s="14">
        <v>0</v>
      </c>
      <c r="H254" s="16">
        <v>0</v>
      </c>
      <c r="I254" s="16">
        <v>0</v>
      </c>
      <c r="J254" s="3" t="s">
        <v>5011</v>
      </c>
      <c r="K254" s="16">
        <v>0</v>
      </c>
      <c r="L254" s="16">
        <v>0</v>
      </c>
      <c r="M254" s="16">
        <v>0</v>
      </c>
    </row>
    <row r="255" spans="1:13" x14ac:dyDescent="0.25">
      <c r="A255" s="2">
        <f t="shared" si="7"/>
        <v>250</v>
      </c>
      <c r="B255" s="2">
        <v>2811</v>
      </c>
      <c r="C255" s="2" t="s">
        <v>2761</v>
      </c>
      <c r="D255" s="14" t="s">
        <v>251</v>
      </c>
      <c r="E255" s="14">
        <v>0</v>
      </c>
      <c r="F255" s="14">
        <v>0</v>
      </c>
      <c r="G255" s="14">
        <v>0</v>
      </c>
      <c r="H255" s="16">
        <v>0</v>
      </c>
      <c r="I255" s="16">
        <v>0</v>
      </c>
      <c r="J255" s="3" t="s">
        <v>5011</v>
      </c>
      <c r="K255" s="16">
        <v>0</v>
      </c>
      <c r="L255" s="16">
        <v>0</v>
      </c>
      <c r="M255" s="16">
        <v>0</v>
      </c>
    </row>
    <row r="256" spans="1:13" x14ac:dyDescent="0.25">
      <c r="A256" s="2">
        <f t="shared" si="7"/>
        <v>251</v>
      </c>
      <c r="B256" s="2">
        <v>2862</v>
      </c>
      <c r="C256" s="2" t="s">
        <v>2762</v>
      </c>
      <c r="D256" s="14" t="s">
        <v>252</v>
      </c>
      <c r="E256" s="14">
        <v>1.6643416999999998</v>
      </c>
      <c r="F256" s="14">
        <v>0</v>
      </c>
      <c r="G256" s="14">
        <v>1.6643416999999998</v>
      </c>
      <c r="H256" s="16">
        <v>259.11204670000001</v>
      </c>
      <c r="I256" s="16">
        <v>249.47990659999999</v>
      </c>
      <c r="J256" s="3" t="s">
        <v>5011</v>
      </c>
      <c r="K256" s="16">
        <v>1773.4965895119999</v>
      </c>
      <c r="L256" s="16">
        <v>379.07960060000005</v>
      </c>
      <c r="M256" s="16">
        <f t="shared" si="6"/>
        <v>1.4629948913139439</v>
      </c>
    </row>
    <row r="257" spans="1:13" x14ac:dyDescent="0.25">
      <c r="A257" s="2">
        <f t="shared" si="7"/>
        <v>252</v>
      </c>
      <c r="B257" s="2">
        <v>2888</v>
      </c>
      <c r="C257" s="2" t="s">
        <v>2763</v>
      </c>
      <c r="D257" s="14" t="s">
        <v>253</v>
      </c>
      <c r="E257" s="14">
        <v>2.9833000000000002E-2</v>
      </c>
      <c r="F257" s="14">
        <v>0</v>
      </c>
      <c r="G257" s="14">
        <v>2.9833000000000002E-2</v>
      </c>
      <c r="H257" s="16">
        <v>59.767011600000004</v>
      </c>
      <c r="I257" s="16">
        <v>59.767011600000004</v>
      </c>
      <c r="J257" s="3" t="s">
        <v>5011</v>
      </c>
      <c r="K257" s="16">
        <v>119.5256586709</v>
      </c>
      <c r="L257" s="16">
        <v>60.379786900000006</v>
      </c>
      <c r="M257" s="16">
        <f t="shared" si="6"/>
        <v>1.0102527344699965</v>
      </c>
    </row>
    <row r="258" spans="1:13" x14ac:dyDescent="0.25">
      <c r="A258" s="2">
        <f t="shared" si="7"/>
        <v>253</v>
      </c>
      <c r="B258" s="2">
        <v>2907</v>
      </c>
      <c r="C258" s="2" t="s">
        <v>2764</v>
      </c>
      <c r="D258" s="14" t="s">
        <v>254</v>
      </c>
      <c r="E258" s="14">
        <v>2.9830840000000003</v>
      </c>
      <c r="F258" s="14">
        <v>0</v>
      </c>
      <c r="G258" s="14">
        <v>2.9830840000000003</v>
      </c>
      <c r="H258" s="16">
        <v>325.60631819999998</v>
      </c>
      <c r="I258" s="16">
        <v>241.91361359999999</v>
      </c>
      <c r="J258" s="3" t="s">
        <v>5011</v>
      </c>
      <c r="K258" s="16">
        <v>2570.5592617985994</v>
      </c>
      <c r="L258" s="16">
        <v>362.0098089</v>
      </c>
      <c r="M258" s="16">
        <f t="shared" si="6"/>
        <v>1.1118021631190818</v>
      </c>
    </row>
    <row r="259" spans="1:13" x14ac:dyDescent="0.25">
      <c r="A259" s="2">
        <f t="shared" si="7"/>
        <v>254</v>
      </c>
      <c r="B259" s="2">
        <v>2993</v>
      </c>
      <c r="C259" s="2" t="s">
        <v>2765</v>
      </c>
      <c r="D259" s="14" t="s">
        <v>255</v>
      </c>
      <c r="E259" s="14">
        <v>0</v>
      </c>
      <c r="F259" s="14">
        <v>0</v>
      </c>
      <c r="G259" s="14">
        <v>0</v>
      </c>
      <c r="H259" s="16">
        <v>0</v>
      </c>
      <c r="I259" s="16">
        <v>0</v>
      </c>
      <c r="J259" s="3" t="s">
        <v>5011</v>
      </c>
      <c r="K259" s="16">
        <v>0</v>
      </c>
      <c r="L259" s="16">
        <v>0</v>
      </c>
      <c r="M259" s="16">
        <v>0</v>
      </c>
    </row>
    <row r="260" spans="1:13" x14ac:dyDescent="0.25">
      <c r="A260" s="2">
        <f t="shared" si="7"/>
        <v>255</v>
      </c>
      <c r="B260" s="2">
        <v>3003</v>
      </c>
      <c r="C260" s="2" t="s">
        <v>2766</v>
      </c>
      <c r="D260" s="14" t="s">
        <v>256</v>
      </c>
      <c r="E260" s="14">
        <v>0</v>
      </c>
      <c r="F260" s="14">
        <v>0</v>
      </c>
      <c r="G260" s="14">
        <v>0</v>
      </c>
      <c r="H260" s="16">
        <v>0</v>
      </c>
      <c r="I260" s="16">
        <v>0</v>
      </c>
      <c r="J260" s="3" t="s">
        <v>5011</v>
      </c>
      <c r="K260" s="16">
        <v>0</v>
      </c>
      <c r="L260" s="16">
        <v>0</v>
      </c>
      <c r="M260" s="16">
        <v>0</v>
      </c>
    </row>
    <row r="261" spans="1:13" x14ac:dyDescent="0.25">
      <c r="A261" s="2">
        <f t="shared" si="7"/>
        <v>256</v>
      </c>
      <c r="B261" s="2">
        <v>3030</v>
      </c>
      <c r="C261" s="2" t="s">
        <v>2767</v>
      </c>
      <c r="D261" s="14" t="s">
        <v>257</v>
      </c>
      <c r="E261" s="14">
        <v>0.13942279999999999</v>
      </c>
      <c r="F261" s="14">
        <v>0</v>
      </c>
      <c r="G261" s="14">
        <v>0.13942279999999999</v>
      </c>
      <c r="H261" s="16">
        <v>7.1796416000000001</v>
      </c>
      <c r="I261" s="16">
        <v>7.0574346000000006</v>
      </c>
      <c r="J261" s="3" t="s">
        <v>5011</v>
      </c>
      <c r="K261" s="16">
        <v>130.65951600029999</v>
      </c>
      <c r="L261" s="16">
        <v>17.137444800000001</v>
      </c>
      <c r="M261" s="16">
        <f t="shared" si="6"/>
        <v>2.3869499001175769</v>
      </c>
    </row>
    <row r="262" spans="1:13" x14ac:dyDescent="0.25">
      <c r="A262" s="2">
        <f t="shared" si="7"/>
        <v>257</v>
      </c>
      <c r="B262" s="2">
        <v>3033</v>
      </c>
      <c r="C262" s="2" t="s">
        <v>2768</v>
      </c>
      <c r="D262" s="14" t="s">
        <v>258</v>
      </c>
      <c r="E262" s="14">
        <v>0</v>
      </c>
      <c r="F262" s="14">
        <v>0</v>
      </c>
      <c r="G262" s="14">
        <v>0</v>
      </c>
      <c r="H262" s="16">
        <v>0</v>
      </c>
      <c r="I262" s="16">
        <v>0</v>
      </c>
      <c r="J262" s="3" t="s">
        <v>5011</v>
      </c>
      <c r="K262" s="16">
        <v>0</v>
      </c>
      <c r="L262" s="16">
        <v>0</v>
      </c>
      <c r="M262" s="16">
        <v>0</v>
      </c>
    </row>
    <row r="263" spans="1:13" x14ac:dyDescent="0.25">
      <c r="A263" s="2">
        <f t="shared" si="7"/>
        <v>258</v>
      </c>
      <c r="B263" s="2">
        <v>3063</v>
      </c>
      <c r="C263" s="2" t="s">
        <v>2769</v>
      </c>
      <c r="D263" s="14" t="s">
        <v>259</v>
      </c>
      <c r="E263" s="14">
        <v>2.5154000000000001E-3</v>
      </c>
      <c r="F263" s="14">
        <v>0</v>
      </c>
      <c r="G263" s="14">
        <v>2.5154000000000001E-3</v>
      </c>
      <c r="H263" s="16">
        <v>3.8848058000000001</v>
      </c>
      <c r="I263" s="16">
        <v>3.8848058000000001</v>
      </c>
      <c r="J263" s="3" t="s">
        <v>5011</v>
      </c>
      <c r="K263" s="16">
        <v>27.0312645518</v>
      </c>
      <c r="L263" s="16">
        <v>6.2446349999999997</v>
      </c>
      <c r="M263" s="16">
        <f t="shared" ref="M263:M326" si="8">L263/H263</f>
        <v>1.6074510082331528</v>
      </c>
    </row>
    <row r="264" spans="1:13" x14ac:dyDescent="0.25">
      <c r="A264" s="2">
        <f t="shared" ref="A264:A327" si="9">A263+1</f>
        <v>259</v>
      </c>
      <c r="B264" s="2">
        <v>3066</v>
      </c>
      <c r="C264" s="2" t="s">
        <v>2770</v>
      </c>
      <c r="D264" s="14" t="s">
        <v>260</v>
      </c>
      <c r="E264" s="14">
        <v>1.5218621000000001</v>
      </c>
      <c r="F264" s="14">
        <v>0</v>
      </c>
      <c r="G264" s="14">
        <v>1.5218621000000001</v>
      </c>
      <c r="H264" s="16">
        <v>2.8198591999999998</v>
      </c>
      <c r="I264" s="16">
        <v>2.1428294999999999</v>
      </c>
      <c r="J264" s="3" t="s">
        <v>5011</v>
      </c>
      <c r="K264" s="16">
        <v>1191.2350408752</v>
      </c>
      <c r="L264" s="16">
        <v>123.37389109999999</v>
      </c>
      <c r="M264" s="16">
        <f t="shared" si="8"/>
        <v>43.751791259648712</v>
      </c>
    </row>
    <row r="265" spans="1:13" x14ac:dyDescent="0.25">
      <c r="A265" s="2">
        <f t="shared" si="9"/>
        <v>260</v>
      </c>
      <c r="B265" s="2">
        <v>3069</v>
      </c>
      <c r="C265" s="2" t="s">
        <v>2771</v>
      </c>
      <c r="D265" s="14" t="s">
        <v>261</v>
      </c>
      <c r="E265" s="14">
        <v>0</v>
      </c>
      <c r="F265" s="14">
        <v>0</v>
      </c>
      <c r="G265" s="14">
        <v>0</v>
      </c>
      <c r="H265" s="16">
        <v>0</v>
      </c>
      <c r="I265" s="16">
        <v>0</v>
      </c>
      <c r="J265" s="3" t="s">
        <v>5011</v>
      </c>
      <c r="K265" s="16">
        <v>0</v>
      </c>
      <c r="L265" s="16">
        <v>0</v>
      </c>
      <c r="M265" s="16">
        <v>0</v>
      </c>
    </row>
    <row r="266" spans="1:13" x14ac:dyDescent="0.25">
      <c r="A266" s="2">
        <f t="shared" si="9"/>
        <v>261</v>
      </c>
      <c r="B266" s="2">
        <v>3071</v>
      </c>
      <c r="C266" s="2" t="s">
        <v>2772</v>
      </c>
      <c r="D266" s="14" t="s">
        <v>262</v>
      </c>
      <c r="E266" s="14">
        <v>2.0859429999999999</v>
      </c>
      <c r="F266" s="14">
        <v>0</v>
      </c>
      <c r="G266" s="14">
        <v>2.0859429999999999</v>
      </c>
      <c r="H266" s="16">
        <v>109.59502800000001</v>
      </c>
      <c r="I266" s="16">
        <v>108.91479190000001</v>
      </c>
      <c r="J266" s="3" t="s">
        <v>5011</v>
      </c>
      <c r="K266" s="16">
        <v>1882.6946450870996</v>
      </c>
      <c r="L266" s="16">
        <v>267.92096550000002</v>
      </c>
      <c r="M266" s="16">
        <f t="shared" si="8"/>
        <v>2.4446452579947331</v>
      </c>
    </row>
    <row r="267" spans="1:13" x14ac:dyDescent="0.25">
      <c r="A267" s="2">
        <f t="shared" si="9"/>
        <v>262</v>
      </c>
      <c r="B267" s="2">
        <v>3082</v>
      </c>
      <c r="C267" s="2" t="s">
        <v>2773</v>
      </c>
      <c r="D267" s="14" t="s">
        <v>263</v>
      </c>
      <c r="E267" s="14">
        <v>0.75496959999999991</v>
      </c>
      <c r="F267" s="14">
        <v>0</v>
      </c>
      <c r="G267" s="14">
        <v>0.75496959999999991</v>
      </c>
      <c r="H267" s="16">
        <v>44.067797599999999</v>
      </c>
      <c r="I267" s="16">
        <v>42.067797599999999</v>
      </c>
      <c r="J267" s="3" t="s">
        <v>5011</v>
      </c>
      <c r="K267" s="16">
        <v>813.26757679719992</v>
      </c>
      <c r="L267" s="16">
        <v>108.7326085</v>
      </c>
      <c r="M267" s="16">
        <f t="shared" si="8"/>
        <v>2.4673937528477712</v>
      </c>
    </row>
    <row r="268" spans="1:13" x14ac:dyDescent="0.25">
      <c r="A268" s="2">
        <f t="shared" si="9"/>
        <v>263</v>
      </c>
      <c r="B268" s="2">
        <v>3083</v>
      </c>
      <c r="C268" s="2" t="s">
        <v>2774</v>
      </c>
      <c r="D268" s="14" t="s">
        <v>264</v>
      </c>
      <c r="E268" s="14">
        <v>1.9628E-2</v>
      </c>
      <c r="F268" s="14">
        <v>0</v>
      </c>
      <c r="G268" s="14">
        <v>1.9628E-2</v>
      </c>
      <c r="H268" s="16">
        <v>1.6999151000000001</v>
      </c>
      <c r="I268" s="16">
        <v>-0.13033440000000002</v>
      </c>
      <c r="J268" s="3" t="s">
        <v>5011</v>
      </c>
      <c r="K268" s="16">
        <v>35.107940145000001</v>
      </c>
      <c r="L268" s="16">
        <v>3.4296603999999999</v>
      </c>
      <c r="M268" s="16">
        <f t="shared" si="8"/>
        <v>2.0175480528409917</v>
      </c>
    </row>
    <row r="269" spans="1:13" x14ac:dyDescent="0.25">
      <c r="A269" s="2">
        <f t="shared" si="9"/>
        <v>264</v>
      </c>
      <c r="B269" s="2">
        <v>3086</v>
      </c>
      <c r="C269" s="2" t="s">
        <v>2775</v>
      </c>
      <c r="D269" s="14" t="s">
        <v>265</v>
      </c>
      <c r="E269" s="14">
        <v>4.3470828999999993</v>
      </c>
      <c r="F269" s="14">
        <v>0</v>
      </c>
      <c r="G269" s="14">
        <v>4.3470828999999993</v>
      </c>
      <c r="H269" s="16">
        <v>776.13397379999992</v>
      </c>
      <c r="I269" s="16">
        <v>454.23550799999998</v>
      </c>
      <c r="J269" s="3" t="s">
        <v>5011</v>
      </c>
      <c r="K269" s="16">
        <v>5625.0690059375956</v>
      </c>
      <c r="L269" s="16">
        <v>834.67997390000005</v>
      </c>
      <c r="M269" s="16">
        <f t="shared" si="8"/>
        <v>1.0754328531881618</v>
      </c>
    </row>
    <row r="270" spans="1:13" x14ac:dyDescent="0.25">
      <c r="A270" s="2">
        <f t="shared" si="9"/>
        <v>265</v>
      </c>
      <c r="B270" s="2">
        <v>3087</v>
      </c>
      <c r="C270" s="2" t="s">
        <v>2776</v>
      </c>
      <c r="D270" s="14" t="s">
        <v>266</v>
      </c>
      <c r="E270" s="14">
        <v>0.89719329999999997</v>
      </c>
      <c r="F270" s="14">
        <v>0</v>
      </c>
      <c r="G270" s="14">
        <v>0.89719329999999997</v>
      </c>
      <c r="H270" s="16">
        <v>90.061940800000002</v>
      </c>
      <c r="I270" s="16">
        <v>14.507173499999997</v>
      </c>
      <c r="J270" s="3" t="s">
        <v>5011</v>
      </c>
      <c r="K270" s="16">
        <v>1498.1517931234</v>
      </c>
      <c r="L270" s="16">
        <v>158.04469980000002</v>
      </c>
      <c r="M270" s="16">
        <f t="shared" si="8"/>
        <v>1.7548444814327164</v>
      </c>
    </row>
    <row r="271" spans="1:13" x14ac:dyDescent="0.25">
      <c r="A271" s="2">
        <f t="shared" si="9"/>
        <v>266</v>
      </c>
      <c r="B271" s="2">
        <v>3089</v>
      </c>
      <c r="C271" s="2" t="s">
        <v>2777</v>
      </c>
      <c r="D271" s="14" t="s">
        <v>267</v>
      </c>
      <c r="E271" s="14">
        <v>0</v>
      </c>
      <c r="F271" s="14">
        <v>0</v>
      </c>
      <c r="G271" s="14">
        <v>0</v>
      </c>
      <c r="H271" s="16">
        <v>0</v>
      </c>
      <c r="I271" s="16">
        <v>0</v>
      </c>
      <c r="J271" s="3" t="s">
        <v>5011</v>
      </c>
      <c r="K271" s="16">
        <v>0</v>
      </c>
      <c r="L271" s="16">
        <v>0</v>
      </c>
      <c r="M271" s="16">
        <v>0</v>
      </c>
    </row>
    <row r="272" spans="1:13" x14ac:dyDescent="0.25">
      <c r="A272" s="2">
        <f t="shared" si="9"/>
        <v>267</v>
      </c>
      <c r="B272" s="2">
        <v>3090</v>
      </c>
      <c r="C272" s="2" t="s">
        <v>2778</v>
      </c>
      <c r="D272" s="14" t="s">
        <v>268</v>
      </c>
      <c r="E272" s="14">
        <v>0.67143839999999977</v>
      </c>
      <c r="F272" s="14">
        <v>0</v>
      </c>
      <c r="G272" s="14">
        <v>0.67143839999999977</v>
      </c>
      <c r="H272" s="16">
        <v>46.619749500000005</v>
      </c>
      <c r="I272" s="16">
        <v>20.2387348</v>
      </c>
      <c r="J272" s="3" t="s">
        <v>5011</v>
      </c>
      <c r="K272" s="16">
        <v>875.53179400339991</v>
      </c>
      <c r="L272" s="16">
        <v>115.0710947</v>
      </c>
      <c r="M272" s="16">
        <f t="shared" si="8"/>
        <v>2.4682907122870748</v>
      </c>
    </row>
    <row r="273" spans="1:13" x14ac:dyDescent="0.25">
      <c r="A273" s="2">
        <f t="shared" si="9"/>
        <v>268</v>
      </c>
      <c r="B273" s="2">
        <v>3092</v>
      </c>
      <c r="C273" s="2" t="s">
        <v>2779</v>
      </c>
      <c r="D273" s="14" t="s">
        <v>269</v>
      </c>
      <c r="E273" s="14">
        <v>3.914193</v>
      </c>
      <c r="F273" s="14">
        <v>0</v>
      </c>
      <c r="G273" s="14">
        <v>3.914193</v>
      </c>
      <c r="H273" s="16">
        <v>451.71528299999994</v>
      </c>
      <c r="I273" s="16">
        <v>318.07630769999997</v>
      </c>
      <c r="J273" s="3" t="s">
        <v>5011</v>
      </c>
      <c r="K273" s="16">
        <v>5368.6134246789006</v>
      </c>
      <c r="L273" s="16">
        <v>679.96267959999989</v>
      </c>
      <c r="M273" s="16">
        <f t="shared" si="8"/>
        <v>1.5052904012548098</v>
      </c>
    </row>
    <row r="274" spans="1:13" x14ac:dyDescent="0.25">
      <c r="A274" s="2">
        <f t="shared" si="9"/>
        <v>269</v>
      </c>
      <c r="B274" s="2">
        <v>3115</v>
      </c>
      <c r="C274" s="2" t="s">
        <v>2780</v>
      </c>
      <c r="D274" s="14" t="s">
        <v>270</v>
      </c>
      <c r="E274" s="14">
        <v>0</v>
      </c>
      <c r="F274" s="14">
        <v>0</v>
      </c>
      <c r="G274" s="14">
        <v>0</v>
      </c>
      <c r="H274" s="16">
        <v>0</v>
      </c>
      <c r="I274" s="16">
        <v>0</v>
      </c>
      <c r="J274" s="3" t="s">
        <v>5011</v>
      </c>
      <c r="K274" s="16">
        <v>0</v>
      </c>
      <c r="L274" s="16">
        <v>0</v>
      </c>
      <c r="M274" s="16">
        <v>0</v>
      </c>
    </row>
    <row r="275" spans="1:13" x14ac:dyDescent="0.25">
      <c r="A275" s="2">
        <f t="shared" si="9"/>
        <v>270</v>
      </c>
      <c r="B275" s="2">
        <v>3147</v>
      </c>
      <c r="C275" s="2" t="s">
        <v>2781</v>
      </c>
      <c r="D275" s="14" t="s">
        <v>271</v>
      </c>
      <c r="E275" s="14">
        <v>6.7036445999999996</v>
      </c>
      <c r="F275" s="14">
        <v>0</v>
      </c>
      <c r="G275" s="14">
        <v>6.7036445999999996</v>
      </c>
      <c r="H275" s="16">
        <v>438.82381530000004</v>
      </c>
      <c r="I275" s="16">
        <v>281.61895240000001</v>
      </c>
      <c r="J275" s="3" t="s">
        <v>5011</v>
      </c>
      <c r="K275" s="16">
        <v>6431.5417870987994</v>
      </c>
      <c r="L275" s="16">
        <v>837.98769790000006</v>
      </c>
      <c r="M275" s="16">
        <f t="shared" si="8"/>
        <v>1.9096221961588693</v>
      </c>
    </row>
    <row r="276" spans="1:13" x14ac:dyDescent="0.25">
      <c r="A276" s="2">
        <f t="shared" si="9"/>
        <v>271</v>
      </c>
      <c r="B276" s="2">
        <v>3204</v>
      </c>
      <c r="C276" s="2" t="s">
        <v>2782</v>
      </c>
      <c r="D276" s="14" t="s">
        <v>272</v>
      </c>
      <c r="E276" s="14">
        <v>0</v>
      </c>
      <c r="F276" s="14">
        <v>0</v>
      </c>
      <c r="G276" s="14">
        <v>0</v>
      </c>
      <c r="H276" s="16">
        <v>0</v>
      </c>
      <c r="I276" s="16">
        <v>0</v>
      </c>
      <c r="J276" s="3" t="s">
        <v>5011</v>
      </c>
      <c r="K276" s="16">
        <v>0</v>
      </c>
      <c r="L276" s="16">
        <v>0</v>
      </c>
      <c r="M276" s="16">
        <v>0</v>
      </c>
    </row>
    <row r="277" spans="1:13" x14ac:dyDescent="0.25">
      <c r="A277" s="2">
        <f t="shared" si="9"/>
        <v>272</v>
      </c>
      <c r="B277" s="2">
        <v>3213</v>
      </c>
      <c r="C277" s="2" t="s">
        <v>2783</v>
      </c>
      <c r="D277" s="14" t="s">
        <v>273</v>
      </c>
      <c r="E277" s="14">
        <v>0.19674269999999999</v>
      </c>
      <c r="F277" s="14">
        <v>0</v>
      </c>
      <c r="G277" s="14">
        <v>0.19674269999999999</v>
      </c>
      <c r="H277" s="16">
        <v>30.818460200000001</v>
      </c>
      <c r="I277" s="16">
        <v>30.818460200000001</v>
      </c>
      <c r="J277" s="3" t="s">
        <v>5011</v>
      </c>
      <c r="K277" s="16">
        <v>257.07418692229999</v>
      </c>
      <c r="L277" s="16">
        <v>47.986841500000004</v>
      </c>
      <c r="M277" s="16">
        <f t="shared" si="8"/>
        <v>1.5570810867442366</v>
      </c>
    </row>
    <row r="278" spans="1:13" x14ac:dyDescent="0.25">
      <c r="A278" s="2">
        <f t="shared" si="9"/>
        <v>273</v>
      </c>
      <c r="B278" s="2">
        <v>3224</v>
      </c>
      <c r="C278" s="2" t="s">
        <v>2784</v>
      </c>
      <c r="D278" s="14" t="s">
        <v>274</v>
      </c>
      <c r="E278" s="14">
        <v>1.1245724999999998</v>
      </c>
      <c r="F278" s="14">
        <v>0</v>
      </c>
      <c r="G278" s="14">
        <v>1.1245724999999998</v>
      </c>
      <c r="H278" s="16">
        <v>54.587256699999998</v>
      </c>
      <c r="I278" s="16">
        <v>38.314466500000002</v>
      </c>
      <c r="J278" s="3" t="s">
        <v>5011</v>
      </c>
      <c r="K278" s="16">
        <v>1136.1752798357002</v>
      </c>
      <c r="L278" s="16">
        <v>138.83461550000001</v>
      </c>
      <c r="M278" s="16">
        <f t="shared" si="8"/>
        <v>2.5433521281900218</v>
      </c>
    </row>
    <row r="279" spans="1:13" x14ac:dyDescent="0.25">
      <c r="A279" s="2">
        <f t="shared" si="9"/>
        <v>274</v>
      </c>
      <c r="B279" s="2">
        <v>3264</v>
      </c>
      <c r="C279" s="2" t="s">
        <v>2785</v>
      </c>
      <c r="D279" s="14" t="s">
        <v>275</v>
      </c>
      <c r="E279" s="14">
        <v>0.58138670000000003</v>
      </c>
      <c r="F279" s="14">
        <v>0</v>
      </c>
      <c r="G279" s="14">
        <v>0.58138670000000003</v>
      </c>
      <c r="H279" s="16">
        <v>36.1175432</v>
      </c>
      <c r="I279" s="16">
        <v>11.061831799999997</v>
      </c>
      <c r="J279" s="3" t="s">
        <v>5011</v>
      </c>
      <c r="K279" s="16">
        <v>632.9546141533001</v>
      </c>
      <c r="L279" s="16">
        <v>78.011654100000001</v>
      </c>
      <c r="M279" s="16">
        <f t="shared" si="8"/>
        <v>2.1599380020953363</v>
      </c>
    </row>
    <row r="280" spans="1:13" x14ac:dyDescent="0.25">
      <c r="A280" s="2">
        <f t="shared" si="9"/>
        <v>275</v>
      </c>
      <c r="B280" s="2">
        <v>3276</v>
      </c>
      <c r="C280" s="2" t="s">
        <v>2786</v>
      </c>
      <c r="D280" s="14" t="s">
        <v>276</v>
      </c>
      <c r="E280" s="14">
        <v>1.704941</v>
      </c>
      <c r="F280" s="14">
        <v>0</v>
      </c>
      <c r="G280" s="14">
        <v>1.704941</v>
      </c>
      <c r="H280" s="16">
        <v>386.05923139999999</v>
      </c>
      <c r="I280" s="16">
        <v>342.15183840000003</v>
      </c>
      <c r="J280" s="3" t="s">
        <v>5011</v>
      </c>
      <c r="K280" s="16">
        <v>2193.0900820727002</v>
      </c>
      <c r="L280" s="16">
        <v>469.22133680000002</v>
      </c>
      <c r="M280" s="16">
        <f t="shared" si="8"/>
        <v>1.2154128139830307</v>
      </c>
    </row>
    <row r="281" spans="1:13" x14ac:dyDescent="0.25">
      <c r="A281" s="2">
        <f t="shared" si="9"/>
        <v>276</v>
      </c>
      <c r="B281" s="2">
        <v>3280</v>
      </c>
      <c r="C281" s="2" t="s">
        <v>2787</v>
      </c>
      <c r="D281" s="14" t="s">
        <v>277</v>
      </c>
      <c r="E281" s="14">
        <v>2.2082060000000001</v>
      </c>
      <c r="F281" s="14">
        <v>0</v>
      </c>
      <c r="G281" s="14">
        <v>2.2082060000000001</v>
      </c>
      <c r="H281" s="16">
        <v>183.8338722</v>
      </c>
      <c r="I281" s="16">
        <v>107.24298729999998</v>
      </c>
      <c r="J281" s="3" t="s">
        <v>5011</v>
      </c>
      <c r="K281" s="16">
        <v>2188.1293408115989</v>
      </c>
      <c r="L281" s="16">
        <v>292.51299610000001</v>
      </c>
      <c r="M281" s="16">
        <f t="shared" si="8"/>
        <v>1.5911811713445483</v>
      </c>
    </row>
    <row r="282" spans="1:13" x14ac:dyDescent="0.25">
      <c r="A282" s="2">
        <f t="shared" si="9"/>
        <v>277</v>
      </c>
      <c r="B282" s="2">
        <v>3287</v>
      </c>
      <c r="C282" s="2" t="s">
        <v>2788</v>
      </c>
      <c r="D282" s="14" t="s">
        <v>278</v>
      </c>
      <c r="E282" s="14">
        <v>0</v>
      </c>
      <c r="F282" s="14">
        <v>0</v>
      </c>
      <c r="G282" s="14">
        <v>0</v>
      </c>
      <c r="H282" s="16">
        <v>0</v>
      </c>
      <c r="I282" s="16">
        <v>0</v>
      </c>
      <c r="J282" s="3" t="s">
        <v>5011</v>
      </c>
      <c r="K282" s="16">
        <v>204.0293370352</v>
      </c>
      <c r="L282" s="16">
        <v>21.552900600000001</v>
      </c>
      <c r="M282" s="16">
        <v>0</v>
      </c>
    </row>
    <row r="283" spans="1:13" x14ac:dyDescent="0.25">
      <c r="A283" s="2">
        <f t="shared" si="9"/>
        <v>278</v>
      </c>
      <c r="B283" s="2">
        <v>3294</v>
      </c>
      <c r="C283" s="2" t="s">
        <v>2789</v>
      </c>
      <c r="D283" s="14" t="s">
        <v>279</v>
      </c>
      <c r="E283" s="14">
        <v>0.11161810000000001</v>
      </c>
      <c r="F283" s="14">
        <v>0</v>
      </c>
      <c r="G283" s="14">
        <v>0.11161810000000001</v>
      </c>
      <c r="H283" s="16">
        <v>33.1283435</v>
      </c>
      <c r="I283" s="16">
        <v>28.028343500000002</v>
      </c>
      <c r="J283" s="3" t="s">
        <v>5011</v>
      </c>
      <c r="K283" s="16">
        <v>214.82580411709998</v>
      </c>
      <c r="L283" s="16">
        <v>33.891818000000001</v>
      </c>
      <c r="M283" s="16">
        <f t="shared" si="8"/>
        <v>1.0230459606288496</v>
      </c>
    </row>
    <row r="284" spans="1:13" x14ac:dyDescent="0.25">
      <c r="A284" s="2">
        <f t="shared" si="9"/>
        <v>279</v>
      </c>
      <c r="B284" s="2">
        <v>3296</v>
      </c>
      <c r="C284" s="2" t="s">
        <v>2790</v>
      </c>
      <c r="D284" s="14" t="s">
        <v>280</v>
      </c>
      <c r="E284" s="14">
        <v>0.89295089999999999</v>
      </c>
      <c r="F284" s="14">
        <v>0</v>
      </c>
      <c r="G284" s="14">
        <v>0.89295089999999999</v>
      </c>
      <c r="H284" s="16">
        <v>157.3271349</v>
      </c>
      <c r="I284" s="16">
        <v>157.3271349</v>
      </c>
      <c r="J284" s="3" t="s">
        <v>5011</v>
      </c>
      <c r="K284" s="16">
        <v>887.70089828640005</v>
      </c>
      <c r="L284" s="16">
        <v>234.6360608</v>
      </c>
      <c r="M284" s="16">
        <f t="shared" si="8"/>
        <v>1.491389650927915</v>
      </c>
    </row>
    <row r="285" spans="1:13" x14ac:dyDescent="0.25">
      <c r="A285" s="2">
        <f t="shared" si="9"/>
        <v>280</v>
      </c>
      <c r="B285" s="2">
        <v>3304</v>
      </c>
      <c r="C285" s="2" t="s">
        <v>2791</v>
      </c>
      <c r="D285" s="14" t="s">
        <v>281</v>
      </c>
      <c r="E285" s="14">
        <v>0</v>
      </c>
      <c r="F285" s="14">
        <v>0</v>
      </c>
      <c r="G285" s="14">
        <v>0</v>
      </c>
      <c r="H285" s="16">
        <v>0</v>
      </c>
      <c r="I285" s="16">
        <v>0</v>
      </c>
      <c r="J285" s="3" t="s">
        <v>5011</v>
      </c>
      <c r="K285" s="16">
        <v>0</v>
      </c>
      <c r="L285" s="16">
        <v>0</v>
      </c>
      <c r="M285" s="16">
        <v>0</v>
      </c>
    </row>
    <row r="286" spans="1:13" x14ac:dyDescent="0.25">
      <c r="A286" s="2">
        <f t="shared" si="9"/>
        <v>281</v>
      </c>
      <c r="B286" s="2">
        <v>3305</v>
      </c>
      <c r="C286" s="2" t="s">
        <v>2792</v>
      </c>
      <c r="D286" s="14" t="s">
        <v>282</v>
      </c>
      <c r="E286" s="14">
        <v>1.6755699999999998E-2</v>
      </c>
      <c r="F286" s="14">
        <v>0</v>
      </c>
      <c r="G286" s="14">
        <v>1.6755699999999998E-2</v>
      </c>
      <c r="H286" s="16">
        <v>0</v>
      </c>
      <c r="I286" s="16">
        <v>-10.3049014</v>
      </c>
      <c r="J286" s="3" t="s">
        <v>5011</v>
      </c>
      <c r="K286" s="16">
        <v>35.9037280119</v>
      </c>
      <c r="L286" s="16">
        <v>0.23013450000000002</v>
      </c>
      <c r="M286" s="16">
        <v>0</v>
      </c>
    </row>
    <row r="287" spans="1:13" x14ac:dyDescent="0.25">
      <c r="A287" s="2">
        <f t="shared" si="9"/>
        <v>282</v>
      </c>
      <c r="B287" s="2">
        <v>3307</v>
      </c>
      <c r="C287" s="2" t="s">
        <v>2793</v>
      </c>
      <c r="D287" s="14" t="s">
        <v>283</v>
      </c>
      <c r="E287" s="14">
        <v>1.2047158999999998</v>
      </c>
      <c r="F287" s="14">
        <v>0</v>
      </c>
      <c r="G287" s="14">
        <v>1.2047158999999998</v>
      </c>
      <c r="H287" s="16">
        <v>124.9747036</v>
      </c>
      <c r="I287" s="16">
        <v>95.535826199999988</v>
      </c>
      <c r="J287" s="3" t="s">
        <v>5011</v>
      </c>
      <c r="K287" s="16">
        <v>1219.8827020528001</v>
      </c>
      <c r="L287" s="16">
        <v>189.4359378</v>
      </c>
      <c r="M287" s="16">
        <f t="shared" si="8"/>
        <v>1.5157942555024393</v>
      </c>
    </row>
    <row r="288" spans="1:13" x14ac:dyDescent="0.25">
      <c r="A288" s="2">
        <f t="shared" si="9"/>
        <v>283</v>
      </c>
      <c r="B288" s="2">
        <v>3308</v>
      </c>
      <c r="C288" s="2" t="s">
        <v>2794</v>
      </c>
      <c r="D288" s="14" t="s">
        <v>284</v>
      </c>
      <c r="E288" s="14">
        <v>0</v>
      </c>
      <c r="F288" s="14">
        <v>0</v>
      </c>
      <c r="G288" s="14">
        <v>0</v>
      </c>
      <c r="H288" s="16">
        <v>0</v>
      </c>
      <c r="I288" s="16">
        <v>0</v>
      </c>
      <c r="J288" s="3" t="s">
        <v>5011</v>
      </c>
      <c r="K288" s="16">
        <v>0</v>
      </c>
      <c r="L288" s="16">
        <v>0</v>
      </c>
      <c r="M288" s="16">
        <v>0</v>
      </c>
    </row>
    <row r="289" spans="1:13" x14ac:dyDescent="0.25">
      <c r="A289" s="2">
        <f t="shared" si="9"/>
        <v>284</v>
      </c>
      <c r="B289" s="2">
        <v>3315</v>
      </c>
      <c r="C289" s="2" t="s">
        <v>2795</v>
      </c>
      <c r="D289" s="14" t="s">
        <v>285</v>
      </c>
      <c r="E289" s="14">
        <v>0</v>
      </c>
      <c r="F289" s="14">
        <v>0</v>
      </c>
      <c r="G289" s="14">
        <v>0</v>
      </c>
      <c r="H289" s="16">
        <v>0</v>
      </c>
      <c r="I289" s="16">
        <v>0</v>
      </c>
      <c r="J289" s="3" t="s">
        <v>5011</v>
      </c>
      <c r="K289" s="16">
        <v>0</v>
      </c>
      <c r="L289" s="16">
        <v>0</v>
      </c>
      <c r="M289" s="16">
        <v>0</v>
      </c>
    </row>
    <row r="290" spans="1:13" x14ac:dyDescent="0.25">
      <c r="A290" s="2">
        <f t="shared" si="9"/>
        <v>285</v>
      </c>
      <c r="B290" s="2">
        <v>3350</v>
      </c>
      <c r="C290" s="2" t="s">
        <v>2796</v>
      </c>
      <c r="D290" s="14" t="s">
        <v>286</v>
      </c>
      <c r="E290" s="14">
        <v>14.769683899999999</v>
      </c>
      <c r="F290" s="14">
        <v>0</v>
      </c>
      <c r="G290" s="14">
        <v>14.769683899999999</v>
      </c>
      <c r="H290" s="16">
        <v>616.50539390000006</v>
      </c>
      <c r="I290" s="16">
        <v>491.83419620000006</v>
      </c>
      <c r="J290" s="3" t="s">
        <v>5011</v>
      </c>
      <c r="K290" s="16">
        <v>11602.759581292201</v>
      </c>
      <c r="L290" s="16">
        <v>1521.0299196999999</v>
      </c>
      <c r="M290" s="16">
        <f t="shared" si="8"/>
        <v>2.4671802302944941</v>
      </c>
    </row>
    <row r="291" spans="1:13" x14ac:dyDescent="0.25">
      <c r="A291" s="2">
        <f t="shared" si="9"/>
        <v>286</v>
      </c>
      <c r="B291" s="2">
        <v>3397</v>
      </c>
      <c r="C291" s="2" t="s">
        <v>2797</v>
      </c>
      <c r="D291" s="14" t="s">
        <v>287</v>
      </c>
      <c r="E291" s="14">
        <v>0</v>
      </c>
      <c r="F291" s="14">
        <v>0</v>
      </c>
      <c r="G291" s="14">
        <v>0</v>
      </c>
      <c r="H291" s="16">
        <v>0</v>
      </c>
      <c r="I291" s="16">
        <v>0</v>
      </c>
      <c r="J291" s="3" t="s">
        <v>5011</v>
      </c>
      <c r="K291" s="16">
        <v>0</v>
      </c>
      <c r="L291" s="16">
        <v>0</v>
      </c>
      <c r="M291" s="16">
        <v>0</v>
      </c>
    </row>
    <row r="292" spans="1:13" x14ac:dyDescent="0.25">
      <c r="A292" s="2">
        <f t="shared" si="9"/>
        <v>287</v>
      </c>
      <c r="B292" s="2">
        <v>3418</v>
      </c>
      <c r="C292" s="2" t="s">
        <v>2798</v>
      </c>
      <c r="D292" s="14" t="s">
        <v>288</v>
      </c>
      <c r="E292" s="14">
        <v>0</v>
      </c>
      <c r="F292" s="14">
        <v>0</v>
      </c>
      <c r="G292" s="14">
        <v>0</v>
      </c>
      <c r="H292" s="16">
        <v>0</v>
      </c>
      <c r="I292" s="16">
        <v>0</v>
      </c>
      <c r="J292" s="3" t="s">
        <v>5011</v>
      </c>
      <c r="K292" s="16">
        <v>0</v>
      </c>
      <c r="L292" s="16">
        <v>0</v>
      </c>
      <c r="M292" s="16">
        <v>0</v>
      </c>
    </row>
    <row r="293" spans="1:13" x14ac:dyDescent="0.25">
      <c r="A293" s="2">
        <f t="shared" si="9"/>
        <v>288</v>
      </c>
      <c r="B293" s="2">
        <v>3439</v>
      </c>
      <c r="C293" s="2" t="s">
        <v>2799</v>
      </c>
      <c r="D293" s="14" t="s">
        <v>289</v>
      </c>
      <c r="E293" s="14">
        <v>0</v>
      </c>
      <c r="F293" s="14">
        <v>0</v>
      </c>
      <c r="G293" s="14">
        <v>0</v>
      </c>
      <c r="H293" s="16">
        <v>0</v>
      </c>
      <c r="I293" s="16">
        <v>0</v>
      </c>
      <c r="J293" s="3" t="s">
        <v>5011</v>
      </c>
      <c r="K293" s="16">
        <v>0</v>
      </c>
      <c r="L293" s="16">
        <v>0</v>
      </c>
      <c r="M293" s="16">
        <v>0</v>
      </c>
    </row>
    <row r="294" spans="1:13" x14ac:dyDescent="0.25">
      <c r="A294" s="2">
        <f t="shared" si="9"/>
        <v>289</v>
      </c>
      <c r="B294" s="2">
        <v>3463</v>
      </c>
      <c r="C294" s="2" t="s">
        <v>2800</v>
      </c>
      <c r="D294" s="14" t="s">
        <v>290</v>
      </c>
      <c r="E294" s="14">
        <v>0</v>
      </c>
      <c r="F294" s="14">
        <v>0</v>
      </c>
      <c r="G294" s="14">
        <v>0</v>
      </c>
      <c r="H294" s="16">
        <v>0</v>
      </c>
      <c r="I294" s="16">
        <v>0</v>
      </c>
      <c r="J294" s="3" t="s">
        <v>5011</v>
      </c>
      <c r="K294" s="16">
        <v>0</v>
      </c>
      <c r="L294" s="16">
        <v>0</v>
      </c>
      <c r="M294" s="16">
        <v>0</v>
      </c>
    </row>
    <row r="295" spans="1:13" x14ac:dyDescent="0.25">
      <c r="A295" s="2">
        <f t="shared" si="9"/>
        <v>290</v>
      </c>
      <c r="B295" s="2">
        <v>3485</v>
      </c>
      <c r="C295" s="2" t="s">
        <v>2801</v>
      </c>
      <c r="D295" s="14" t="s">
        <v>291</v>
      </c>
      <c r="E295" s="14">
        <v>2.219E-4</v>
      </c>
      <c r="F295" s="14">
        <v>0</v>
      </c>
      <c r="G295" s="14">
        <v>2.219E-4</v>
      </c>
      <c r="H295" s="16">
        <v>0</v>
      </c>
      <c r="I295" s="16">
        <v>-1.0059918999999999</v>
      </c>
      <c r="J295" s="3" t="s">
        <v>5011</v>
      </c>
      <c r="K295" s="16">
        <v>1.0107757801999999</v>
      </c>
      <c r="L295" s="16">
        <v>0</v>
      </c>
      <c r="M295" s="16">
        <v>0</v>
      </c>
    </row>
    <row r="296" spans="1:13" x14ac:dyDescent="0.25">
      <c r="A296" s="2">
        <f t="shared" si="9"/>
        <v>291</v>
      </c>
      <c r="B296" s="2">
        <v>3489</v>
      </c>
      <c r="C296" s="2" t="s">
        <v>2802</v>
      </c>
      <c r="D296" s="14" t="s">
        <v>292</v>
      </c>
      <c r="E296" s="14">
        <v>0</v>
      </c>
      <c r="F296" s="14">
        <v>0</v>
      </c>
      <c r="G296" s="14">
        <v>0</v>
      </c>
      <c r="H296" s="16">
        <v>0</v>
      </c>
      <c r="I296" s="16">
        <v>0</v>
      </c>
      <c r="J296" s="3" t="s">
        <v>5011</v>
      </c>
      <c r="K296" s="16">
        <v>0</v>
      </c>
      <c r="L296" s="16">
        <v>0</v>
      </c>
      <c r="M296" s="16">
        <v>0</v>
      </c>
    </row>
    <row r="297" spans="1:13" x14ac:dyDescent="0.25">
      <c r="A297" s="2">
        <f t="shared" si="9"/>
        <v>292</v>
      </c>
      <c r="B297" s="2">
        <v>3492</v>
      </c>
      <c r="C297" s="2" t="s">
        <v>2803</v>
      </c>
      <c r="D297" s="14" t="s">
        <v>293</v>
      </c>
      <c r="E297" s="14">
        <v>0</v>
      </c>
      <c r="F297" s="14">
        <v>0</v>
      </c>
      <c r="G297" s="14">
        <v>0</v>
      </c>
      <c r="H297" s="16">
        <v>0</v>
      </c>
      <c r="I297" s="16">
        <v>0</v>
      </c>
      <c r="J297" s="3" t="s">
        <v>5011</v>
      </c>
      <c r="K297" s="16">
        <v>0</v>
      </c>
      <c r="L297" s="16">
        <v>0</v>
      </c>
      <c r="M297" s="16">
        <v>0</v>
      </c>
    </row>
    <row r="298" spans="1:13" x14ac:dyDescent="0.25">
      <c r="A298" s="2">
        <f t="shared" si="9"/>
        <v>293</v>
      </c>
      <c r="B298" s="2">
        <v>3511</v>
      </c>
      <c r="C298" s="2" t="s">
        <v>2804</v>
      </c>
      <c r="D298" s="14" t="s">
        <v>294</v>
      </c>
      <c r="E298" s="14">
        <v>0.127967</v>
      </c>
      <c r="F298" s="14">
        <v>0</v>
      </c>
      <c r="G298" s="14">
        <v>0.127967</v>
      </c>
      <c r="H298" s="16">
        <v>43.729276399999996</v>
      </c>
      <c r="I298" s="16">
        <v>37.148783000000002</v>
      </c>
      <c r="J298" s="3" t="s">
        <v>5011</v>
      </c>
      <c r="K298" s="16">
        <v>273.42405924260004</v>
      </c>
      <c r="L298" s="16">
        <v>56.275835199999996</v>
      </c>
      <c r="M298" s="16">
        <f t="shared" si="8"/>
        <v>1.2869143931226816</v>
      </c>
    </row>
    <row r="299" spans="1:13" x14ac:dyDescent="0.25">
      <c r="A299" s="2">
        <f t="shared" si="9"/>
        <v>294</v>
      </c>
      <c r="B299" s="2">
        <v>3514</v>
      </c>
      <c r="C299" s="2" t="s">
        <v>2805</v>
      </c>
      <c r="D299" s="14" t="s">
        <v>295</v>
      </c>
      <c r="E299" s="14">
        <v>0.38255929999999999</v>
      </c>
      <c r="F299" s="14">
        <v>0</v>
      </c>
      <c r="G299" s="14">
        <v>0.38255929999999999</v>
      </c>
      <c r="H299" s="16">
        <v>67.948019299999999</v>
      </c>
      <c r="I299" s="16">
        <v>49.5958191</v>
      </c>
      <c r="J299" s="3" t="s">
        <v>5011</v>
      </c>
      <c r="K299" s="16">
        <v>439.19327528279996</v>
      </c>
      <c r="L299" s="16">
        <v>77.627080100000001</v>
      </c>
      <c r="M299" s="16">
        <f t="shared" si="8"/>
        <v>1.142448019820351</v>
      </c>
    </row>
    <row r="300" spans="1:13" x14ac:dyDescent="0.25">
      <c r="A300" s="2">
        <f t="shared" si="9"/>
        <v>295</v>
      </c>
      <c r="B300" s="2">
        <v>3515</v>
      </c>
      <c r="C300" s="2" t="s">
        <v>2806</v>
      </c>
      <c r="D300" s="14" t="s">
        <v>296</v>
      </c>
      <c r="E300" s="14">
        <v>2.7689012000000002</v>
      </c>
      <c r="F300" s="14">
        <v>0</v>
      </c>
      <c r="G300" s="14">
        <v>2.7689012000000002</v>
      </c>
      <c r="H300" s="16">
        <v>219.02260579999998</v>
      </c>
      <c r="I300" s="16">
        <v>160.2990513</v>
      </c>
      <c r="J300" s="3" t="s">
        <v>5011</v>
      </c>
      <c r="K300" s="16">
        <v>2963.1537812635002</v>
      </c>
      <c r="L300" s="16">
        <v>0</v>
      </c>
      <c r="M300" s="16">
        <f t="shared" si="8"/>
        <v>0</v>
      </c>
    </row>
    <row r="301" spans="1:13" x14ac:dyDescent="0.25">
      <c r="A301" s="2">
        <f t="shared" si="9"/>
        <v>296</v>
      </c>
      <c r="B301" s="2">
        <v>3517</v>
      </c>
      <c r="C301" s="2" t="s">
        <v>2807</v>
      </c>
      <c r="D301" s="14" t="s">
        <v>297</v>
      </c>
      <c r="E301" s="14">
        <v>0.3877063999999999</v>
      </c>
      <c r="F301" s="14">
        <v>0</v>
      </c>
      <c r="G301" s="14">
        <v>0.3877063999999999</v>
      </c>
      <c r="H301" s="16">
        <v>8.1854992000000006</v>
      </c>
      <c r="I301" s="16">
        <v>-2.1917939999999989</v>
      </c>
      <c r="J301" s="3" t="s">
        <v>5011</v>
      </c>
      <c r="K301" s="16">
        <v>423.45220129880005</v>
      </c>
      <c r="L301" s="16">
        <v>42.922817100000003</v>
      </c>
      <c r="M301" s="16">
        <f t="shared" si="8"/>
        <v>5.2437629094142482</v>
      </c>
    </row>
    <row r="302" spans="1:13" x14ac:dyDescent="0.25">
      <c r="A302" s="2">
        <f t="shared" si="9"/>
        <v>297</v>
      </c>
      <c r="B302" s="2">
        <v>3524</v>
      </c>
      <c r="C302" s="2" t="s">
        <v>2808</v>
      </c>
      <c r="D302" s="14" t="s">
        <v>298</v>
      </c>
      <c r="E302" s="14">
        <v>109.10187070000001</v>
      </c>
      <c r="F302" s="14">
        <v>0</v>
      </c>
      <c r="G302" s="14">
        <v>109.10187070000001</v>
      </c>
      <c r="H302" s="16">
        <v>5443.6479598000005</v>
      </c>
      <c r="I302" s="16">
        <v>3095.7088793000003</v>
      </c>
      <c r="J302" s="3" t="s">
        <v>5011</v>
      </c>
      <c r="K302" s="16">
        <v>100721.24347166461</v>
      </c>
      <c r="L302" s="16">
        <v>12191.234029300002</v>
      </c>
      <c r="M302" s="16">
        <f t="shared" si="8"/>
        <v>2.2395338786286811</v>
      </c>
    </row>
    <row r="303" spans="1:13" x14ac:dyDescent="0.25">
      <c r="A303" s="2">
        <f t="shared" si="9"/>
        <v>298</v>
      </c>
      <c r="B303" s="2">
        <v>3528</v>
      </c>
      <c r="C303" s="2" t="s">
        <v>2809</v>
      </c>
      <c r="D303" s="14" t="s">
        <v>299</v>
      </c>
      <c r="E303" s="14">
        <v>6.5834999999999991E-3</v>
      </c>
      <c r="F303" s="14">
        <v>0</v>
      </c>
      <c r="G303" s="14">
        <v>6.5834999999999991E-3</v>
      </c>
      <c r="H303" s="16">
        <v>0</v>
      </c>
      <c r="I303" s="16">
        <v>0</v>
      </c>
      <c r="J303" s="3" t="s">
        <v>5011</v>
      </c>
      <c r="K303" s="16">
        <v>5.4689891167999996</v>
      </c>
      <c r="L303" s="16">
        <v>0.57043489999999997</v>
      </c>
      <c r="M303" s="16">
        <v>0</v>
      </c>
    </row>
    <row r="304" spans="1:13" x14ac:dyDescent="0.25">
      <c r="A304" s="2">
        <f t="shared" si="9"/>
        <v>299</v>
      </c>
      <c r="B304" s="2">
        <v>3529</v>
      </c>
      <c r="C304" s="2" t="s">
        <v>2810</v>
      </c>
      <c r="D304" s="14" t="s">
        <v>300</v>
      </c>
      <c r="E304" s="14">
        <v>7.6550000000000001E-4</v>
      </c>
      <c r="F304" s="14">
        <v>0</v>
      </c>
      <c r="G304" s="14">
        <v>7.6550000000000001E-4</v>
      </c>
      <c r="H304" s="16">
        <v>0.39998</v>
      </c>
      <c r="I304" s="16">
        <v>0.39998</v>
      </c>
      <c r="J304" s="3" t="s">
        <v>5011</v>
      </c>
      <c r="K304" s="16">
        <v>1.8811313066000002</v>
      </c>
      <c r="L304" s="16">
        <v>0.45618129999999996</v>
      </c>
      <c r="M304" s="16">
        <f t="shared" si="8"/>
        <v>1.1405102755137755</v>
      </c>
    </row>
    <row r="305" spans="1:13" x14ac:dyDescent="0.25">
      <c r="A305" s="2">
        <f t="shared" si="9"/>
        <v>300</v>
      </c>
      <c r="B305" s="2">
        <v>3534</v>
      </c>
      <c r="C305" s="2" t="s">
        <v>2811</v>
      </c>
      <c r="D305" s="14" t="s">
        <v>301</v>
      </c>
      <c r="E305" s="14">
        <v>0</v>
      </c>
      <c r="F305" s="14">
        <v>0</v>
      </c>
      <c r="G305" s="14">
        <v>0</v>
      </c>
      <c r="H305" s="16">
        <v>0</v>
      </c>
      <c r="I305" s="16">
        <v>0</v>
      </c>
      <c r="J305" s="3" t="s">
        <v>5011</v>
      </c>
      <c r="K305" s="16">
        <v>0</v>
      </c>
      <c r="L305" s="16">
        <v>0</v>
      </c>
      <c r="M305" s="16">
        <v>0</v>
      </c>
    </row>
    <row r="306" spans="1:13" x14ac:dyDescent="0.25">
      <c r="A306" s="2">
        <f t="shared" si="9"/>
        <v>301</v>
      </c>
      <c r="B306" s="2">
        <v>3535</v>
      </c>
      <c r="C306" s="2" t="s">
        <v>2812</v>
      </c>
      <c r="D306" s="14" t="s">
        <v>302</v>
      </c>
      <c r="E306" s="14">
        <v>4.0973799999999998E-2</v>
      </c>
      <c r="F306" s="14">
        <v>0</v>
      </c>
      <c r="G306" s="14">
        <v>4.0973799999999998E-2</v>
      </c>
      <c r="H306" s="16">
        <v>1.3999299999999999</v>
      </c>
      <c r="I306" s="16">
        <v>1.3999299999999999</v>
      </c>
      <c r="J306" s="3" t="s">
        <v>5011</v>
      </c>
      <c r="K306" s="16">
        <v>45.102404396799997</v>
      </c>
      <c r="L306" s="16">
        <v>5.2829075000000003</v>
      </c>
      <c r="M306" s="16">
        <f t="shared" si="8"/>
        <v>3.7736940418449501</v>
      </c>
    </row>
    <row r="307" spans="1:13" x14ac:dyDescent="0.25">
      <c r="A307" s="2">
        <f t="shared" si="9"/>
        <v>302</v>
      </c>
      <c r="B307" s="2">
        <v>3537</v>
      </c>
      <c r="C307" s="2" t="s">
        <v>2813</v>
      </c>
      <c r="D307" s="14" t="s">
        <v>303</v>
      </c>
      <c r="E307" s="14">
        <v>0.71136140000000003</v>
      </c>
      <c r="F307" s="14">
        <v>0</v>
      </c>
      <c r="G307" s="14">
        <v>0.71136140000000003</v>
      </c>
      <c r="H307" s="16">
        <v>28.921320499999997</v>
      </c>
      <c r="I307" s="16">
        <v>15.184597099999998</v>
      </c>
      <c r="J307" s="3" t="s">
        <v>5011</v>
      </c>
      <c r="K307" s="16">
        <v>691.3673567251999</v>
      </c>
      <c r="L307" s="16">
        <v>77.375750499999995</v>
      </c>
      <c r="M307" s="16">
        <f t="shared" si="8"/>
        <v>2.6753878855566087</v>
      </c>
    </row>
    <row r="308" spans="1:13" x14ac:dyDescent="0.25">
      <c r="A308" s="2">
        <f t="shared" si="9"/>
        <v>303</v>
      </c>
      <c r="B308" s="2">
        <v>3543</v>
      </c>
      <c r="C308" s="2" t="s">
        <v>2814</v>
      </c>
      <c r="D308" s="14" t="s">
        <v>304</v>
      </c>
      <c r="E308" s="14">
        <v>0</v>
      </c>
      <c r="F308" s="14">
        <v>0</v>
      </c>
      <c r="G308" s="14">
        <v>0</v>
      </c>
      <c r="H308" s="16">
        <v>4.9997499999999997</v>
      </c>
      <c r="I308" s="16">
        <v>-12.102091699999999</v>
      </c>
      <c r="J308" s="3" t="s">
        <v>5011</v>
      </c>
      <c r="K308" s="16">
        <v>5630.3809586198004</v>
      </c>
      <c r="L308" s="16">
        <v>573.63038700000004</v>
      </c>
      <c r="M308" s="16">
        <f t="shared" si="8"/>
        <v>114.73181399069955</v>
      </c>
    </row>
    <row r="309" spans="1:13" x14ac:dyDescent="0.25">
      <c r="A309" s="2">
        <f t="shared" si="9"/>
        <v>304</v>
      </c>
      <c r="B309" s="2">
        <v>3660</v>
      </c>
      <c r="C309" s="2" t="s">
        <v>2815</v>
      </c>
      <c r="D309" s="14" t="s">
        <v>305</v>
      </c>
      <c r="E309" s="14">
        <v>1.3836600000000001E-2</v>
      </c>
      <c r="F309" s="14">
        <v>0</v>
      </c>
      <c r="G309" s="14">
        <v>1.3836600000000001E-2</v>
      </c>
      <c r="H309" s="16">
        <v>0</v>
      </c>
      <c r="I309" s="16">
        <v>0</v>
      </c>
      <c r="J309" s="3" t="s">
        <v>5011</v>
      </c>
      <c r="K309" s="16">
        <v>17.059772625400001</v>
      </c>
      <c r="L309" s="16">
        <v>1.9780062</v>
      </c>
      <c r="M309" s="16">
        <v>0</v>
      </c>
    </row>
    <row r="310" spans="1:13" x14ac:dyDescent="0.25">
      <c r="A310" s="2">
        <f t="shared" si="9"/>
        <v>305</v>
      </c>
      <c r="B310" s="2">
        <v>3676</v>
      </c>
      <c r="C310" s="2" t="s">
        <v>2816</v>
      </c>
      <c r="D310" s="14" t="s">
        <v>306</v>
      </c>
      <c r="E310" s="14">
        <v>0</v>
      </c>
      <c r="F310" s="14">
        <v>0</v>
      </c>
      <c r="G310" s="14">
        <v>0</v>
      </c>
      <c r="H310" s="16">
        <v>0</v>
      </c>
      <c r="I310" s="16">
        <v>0</v>
      </c>
      <c r="J310" s="3" t="s">
        <v>5011</v>
      </c>
      <c r="K310" s="16">
        <v>0</v>
      </c>
      <c r="L310" s="16">
        <v>0</v>
      </c>
      <c r="M310" s="16">
        <v>0</v>
      </c>
    </row>
    <row r="311" spans="1:13" x14ac:dyDescent="0.25">
      <c r="A311" s="2">
        <f t="shared" si="9"/>
        <v>306</v>
      </c>
      <c r="B311" s="2">
        <v>3677</v>
      </c>
      <c r="C311" s="2" t="s">
        <v>2817</v>
      </c>
      <c r="D311" s="14" t="s">
        <v>307</v>
      </c>
      <c r="E311" s="14">
        <v>0.18700459999999999</v>
      </c>
      <c r="F311" s="14">
        <v>0</v>
      </c>
      <c r="G311" s="14">
        <v>0.18700459999999999</v>
      </c>
      <c r="H311" s="16">
        <v>170.20207789999998</v>
      </c>
      <c r="I311" s="16">
        <v>120.46438919999999</v>
      </c>
      <c r="J311" s="3" t="s">
        <v>5011</v>
      </c>
      <c r="K311" s="16">
        <v>519.51190067669995</v>
      </c>
      <c r="L311" s="16">
        <v>132.8653922</v>
      </c>
      <c r="M311" s="16">
        <f t="shared" si="8"/>
        <v>0.78063319695816724</v>
      </c>
    </row>
    <row r="312" spans="1:13" x14ac:dyDescent="0.25">
      <c r="A312" s="2">
        <f t="shared" si="9"/>
        <v>307</v>
      </c>
      <c r="B312" s="2">
        <v>3689</v>
      </c>
      <c r="C312" s="2" t="s">
        <v>2818</v>
      </c>
      <c r="D312" s="14" t="s">
        <v>308</v>
      </c>
      <c r="E312" s="14">
        <v>0.119437</v>
      </c>
      <c r="F312" s="14">
        <v>0</v>
      </c>
      <c r="G312" s="14">
        <v>0.119437</v>
      </c>
      <c r="H312" s="16">
        <v>23.135985299999998</v>
      </c>
      <c r="I312" s="16">
        <v>12.453843299999999</v>
      </c>
      <c r="J312" s="3" t="s">
        <v>5011</v>
      </c>
      <c r="K312" s="16">
        <v>159.65153532830001</v>
      </c>
      <c r="L312" s="16">
        <v>19.231102100000001</v>
      </c>
      <c r="M312" s="16">
        <f t="shared" si="8"/>
        <v>0.83122036302469482</v>
      </c>
    </row>
    <row r="313" spans="1:13" x14ac:dyDescent="0.25">
      <c r="A313" s="2">
        <f t="shared" si="9"/>
        <v>308</v>
      </c>
      <c r="B313" s="2">
        <v>3721</v>
      </c>
      <c r="C313" s="2" t="s">
        <v>2819</v>
      </c>
      <c r="D313" s="14" t="s">
        <v>309</v>
      </c>
      <c r="E313" s="14">
        <v>0</v>
      </c>
      <c r="F313" s="14">
        <v>0</v>
      </c>
      <c r="G313" s="14">
        <v>0</v>
      </c>
      <c r="H313" s="16">
        <v>0</v>
      </c>
      <c r="I313" s="16">
        <v>0</v>
      </c>
      <c r="J313" s="3" t="s">
        <v>5011</v>
      </c>
      <c r="K313" s="16">
        <v>0</v>
      </c>
      <c r="L313" s="16">
        <v>0</v>
      </c>
      <c r="M313" s="16">
        <v>0</v>
      </c>
    </row>
    <row r="314" spans="1:13" x14ac:dyDescent="0.25">
      <c r="A314" s="2">
        <f t="shared" si="9"/>
        <v>309</v>
      </c>
      <c r="B314" s="2">
        <v>3729</v>
      </c>
      <c r="C314" s="2" t="s">
        <v>2820</v>
      </c>
      <c r="D314" s="14" t="s">
        <v>310</v>
      </c>
      <c r="E314" s="14">
        <v>45.169432699999994</v>
      </c>
      <c r="F314" s="14">
        <v>0</v>
      </c>
      <c r="G314" s="14">
        <v>45.169432699999994</v>
      </c>
      <c r="H314" s="16">
        <v>798.13391230000002</v>
      </c>
      <c r="I314" s="16">
        <v>561.56256760000008</v>
      </c>
      <c r="J314" s="3" t="s">
        <v>5011</v>
      </c>
      <c r="K314" s="16">
        <v>34159.283280074902</v>
      </c>
      <c r="L314" s="16">
        <v>3818.9492431999997</v>
      </c>
      <c r="M314" s="16">
        <f t="shared" si="8"/>
        <v>4.7848477358828791</v>
      </c>
    </row>
    <row r="315" spans="1:13" x14ac:dyDescent="0.25">
      <c r="A315" s="2">
        <f t="shared" si="9"/>
        <v>310</v>
      </c>
      <c r="B315" s="2">
        <v>3798</v>
      </c>
      <c r="C315" s="2" t="s">
        <v>2821</v>
      </c>
      <c r="D315" s="14" t="s">
        <v>311</v>
      </c>
      <c r="E315" s="14">
        <v>0.1196791</v>
      </c>
      <c r="F315" s="14">
        <v>0</v>
      </c>
      <c r="G315" s="14">
        <v>0.1196791</v>
      </c>
      <c r="H315" s="16">
        <v>40.650387200000004</v>
      </c>
      <c r="I315" s="16">
        <v>35.796655300000005</v>
      </c>
      <c r="J315" s="3" t="s">
        <v>5011</v>
      </c>
      <c r="K315" s="16">
        <v>210.12965058780003</v>
      </c>
      <c r="L315" s="16">
        <v>45.644344599999997</v>
      </c>
      <c r="M315" s="16">
        <f t="shared" si="8"/>
        <v>1.1228514103796776</v>
      </c>
    </row>
    <row r="316" spans="1:13" x14ac:dyDescent="0.25">
      <c r="A316" s="2">
        <f t="shared" si="9"/>
        <v>311</v>
      </c>
      <c r="B316" s="2">
        <v>3841</v>
      </c>
      <c r="C316" s="2" t="s">
        <v>2822</v>
      </c>
      <c r="D316" s="14" t="s">
        <v>312</v>
      </c>
      <c r="E316" s="14">
        <v>0.76516060000000008</v>
      </c>
      <c r="F316" s="14">
        <v>0</v>
      </c>
      <c r="G316" s="14">
        <v>0.76516060000000008</v>
      </c>
      <c r="H316" s="16">
        <v>61.434399599999999</v>
      </c>
      <c r="I316" s="16">
        <v>60.794398200000003</v>
      </c>
      <c r="J316" s="3" t="s">
        <v>5011</v>
      </c>
      <c r="K316" s="16">
        <v>892.5703072742001</v>
      </c>
      <c r="L316" s="16">
        <v>135.25832699999998</v>
      </c>
      <c r="M316" s="16">
        <f t="shared" si="8"/>
        <v>2.2016708534740848</v>
      </c>
    </row>
    <row r="317" spans="1:13" x14ac:dyDescent="0.25">
      <c r="A317" s="2">
        <f t="shared" si="9"/>
        <v>312</v>
      </c>
      <c r="B317" s="2">
        <v>3845</v>
      </c>
      <c r="C317" s="2" t="s">
        <v>2823</v>
      </c>
      <c r="D317" s="14" t="s">
        <v>313</v>
      </c>
      <c r="E317" s="14">
        <v>7.6589999999999983E-3</v>
      </c>
      <c r="F317" s="14">
        <v>0</v>
      </c>
      <c r="G317" s="14">
        <v>7.6589999999999983E-3</v>
      </c>
      <c r="H317" s="16">
        <v>0.87495660000000008</v>
      </c>
      <c r="I317" s="16">
        <v>0.87495660000000008</v>
      </c>
      <c r="J317" s="3" t="s">
        <v>5011</v>
      </c>
      <c r="K317" s="16">
        <v>9.0398403039000002</v>
      </c>
      <c r="L317" s="16">
        <v>1.3611713000000001</v>
      </c>
      <c r="M317" s="16">
        <f t="shared" si="8"/>
        <v>1.5557015056518231</v>
      </c>
    </row>
    <row r="318" spans="1:13" x14ac:dyDescent="0.25">
      <c r="A318" s="2">
        <f t="shared" si="9"/>
        <v>313</v>
      </c>
      <c r="B318" s="2">
        <v>3852</v>
      </c>
      <c r="C318" s="2" t="s">
        <v>2824</v>
      </c>
      <c r="D318" s="14" t="s">
        <v>314</v>
      </c>
      <c r="E318" s="14">
        <v>2.3500774</v>
      </c>
      <c r="F318" s="14">
        <v>0</v>
      </c>
      <c r="G318" s="14">
        <v>2.3500774</v>
      </c>
      <c r="H318" s="16">
        <v>110.96087609999999</v>
      </c>
      <c r="I318" s="16">
        <v>80.224133599999988</v>
      </c>
      <c r="J318" s="3" t="s">
        <v>5011</v>
      </c>
      <c r="K318" s="16">
        <v>2747.0745834322001</v>
      </c>
      <c r="L318" s="16">
        <v>328.02636760000001</v>
      </c>
      <c r="M318" s="16">
        <f t="shared" si="8"/>
        <v>2.9562344776764071</v>
      </c>
    </row>
    <row r="319" spans="1:13" x14ac:dyDescent="0.25">
      <c r="A319" s="2">
        <f t="shared" si="9"/>
        <v>314</v>
      </c>
      <c r="B319" s="2">
        <v>3858</v>
      </c>
      <c r="C319" s="2" t="s">
        <v>2825</v>
      </c>
      <c r="D319" s="14" t="s">
        <v>315</v>
      </c>
      <c r="E319" s="14">
        <v>5.0527999000000001</v>
      </c>
      <c r="F319" s="14">
        <v>0</v>
      </c>
      <c r="G319" s="14">
        <v>5.0527999000000001</v>
      </c>
      <c r="H319" s="16">
        <v>130.23152539999998</v>
      </c>
      <c r="I319" s="16">
        <v>87.632305899999992</v>
      </c>
      <c r="J319" s="3" t="s">
        <v>5011</v>
      </c>
      <c r="K319" s="16">
        <v>4214.7692466120006</v>
      </c>
      <c r="L319" s="16">
        <v>471.63664060000002</v>
      </c>
      <c r="M319" s="16">
        <f t="shared" si="8"/>
        <v>3.6215243517373414</v>
      </c>
    </row>
    <row r="320" spans="1:13" x14ac:dyDescent="0.25">
      <c r="A320" s="2">
        <f t="shared" si="9"/>
        <v>315</v>
      </c>
      <c r="B320" s="2">
        <v>3870</v>
      </c>
      <c r="C320" s="2" t="s">
        <v>2826</v>
      </c>
      <c r="D320" s="14" t="s">
        <v>316</v>
      </c>
      <c r="E320" s="14">
        <v>2.6130000000000001E-4</v>
      </c>
      <c r="F320" s="14">
        <v>0</v>
      </c>
      <c r="G320" s="14">
        <v>2.6130000000000001E-4</v>
      </c>
      <c r="H320" s="16">
        <v>0.64996750000000003</v>
      </c>
      <c r="I320" s="16">
        <v>0.64996750000000003</v>
      </c>
      <c r="J320" s="3" t="s">
        <v>5011</v>
      </c>
      <c r="K320" s="16">
        <v>0.91404605240000003</v>
      </c>
      <c r="L320" s="16">
        <v>0.64540279999999994</v>
      </c>
      <c r="M320" s="16">
        <f t="shared" si="8"/>
        <v>0.99297703346705779</v>
      </c>
    </row>
    <row r="321" spans="1:13" x14ac:dyDescent="0.25">
      <c r="A321" s="2">
        <f t="shared" si="9"/>
        <v>316</v>
      </c>
      <c r="B321" s="2">
        <v>3912</v>
      </c>
      <c r="C321" s="2" t="s">
        <v>2827</v>
      </c>
      <c r="D321" s="14" t="s">
        <v>317</v>
      </c>
      <c r="E321" s="14">
        <v>1.4559788</v>
      </c>
      <c r="F321" s="14">
        <v>0</v>
      </c>
      <c r="G321" s="14">
        <v>1.4559788</v>
      </c>
      <c r="H321" s="16">
        <v>96.485176699999997</v>
      </c>
      <c r="I321" s="16">
        <v>87.7675366</v>
      </c>
      <c r="J321" s="3" t="s">
        <v>5011</v>
      </c>
      <c r="K321" s="16">
        <v>1237.5108164865001</v>
      </c>
      <c r="L321" s="16">
        <v>194.62565469999998</v>
      </c>
      <c r="M321" s="16">
        <f t="shared" si="8"/>
        <v>2.0171560166713154</v>
      </c>
    </row>
    <row r="322" spans="1:13" x14ac:dyDescent="0.25">
      <c r="A322" s="2">
        <f t="shared" si="9"/>
        <v>317</v>
      </c>
      <c r="B322" s="2">
        <v>3941</v>
      </c>
      <c r="C322" s="2" t="s">
        <v>2828</v>
      </c>
      <c r="D322" s="14" t="s">
        <v>318</v>
      </c>
      <c r="E322" s="14">
        <v>0</v>
      </c>
      <c r="F322" s="14">
        <v>0</v>
      </c>
      <c r="G322" s="14">
        <v>0</v>
      </c>
      <c r="H322" s="16">
        <v>0</v>
      </c>
      <c r="I322" s="16">
        <v>0</v>
      </c>
      <c r="J322" s="3" t="s">
        <v>5011</v>
      </c>
      <c r="K322" s="16">
        <v>0</v>
      </c>
      <c r="L322" s="16">
        <v>0</v>
      </c>
      <c r="M322" s="16">
        <v>0</v>
      </c>
    </row>
    <row r="323" spans="1:13" x14ac:dyDescent="0.25">
      <c r="A323" s="2">
        <f t="shared" si="9"/>
        <v>318</v>
      </c>
      <c r="B323" s="2">
        <v>3963</v>
      </c>
      <c r="C323" s="2" t="s">
        <v>2829</v>
      </c>
      <c r="D323" s="14" t="s">
        <v>319</v>
      </c>
      <c r="E323" s="14">
        <v>2.0330105999999999</v>
      </c>
      <c r="F323" s="14">
        <v>0</v>
      </c>
      <c r="G323" s="14">
        <v>2.0330105999999999</v>
      </c>
      <c r="H323" s="16">
        <v>150.391863</v>
      </c>
      <c r="I323" s="16">
        <v>119.8966207</v>
      </c>
      <c r="J323" s="3" t="s">
        <v>5011</v>
      </c>
      <c r="K323" s="16">
        <v>2148.4937253284006</v>
      </c>
      <c r="L323" s="16">
        <v>315.34977600000002</v>
      </c>
      <c r="M323" s="16">
        <f t="shared" si="8"/>
        <v>2.0968539767341006</v>
      </c>
    </row>
    <row r="324" spans="1:13" x14ac:dyDescent="0.25">
      <c r="A324" s="2">
        <f t="shared" si="9"/>
        <v>319</v>
      </c>
      <c r="B324" s="2">
        <v>4040</v>
      </c>
      <c r="C324" s="2" t="s">
        <v>2830</v>
      </c>
      <c r="D324" s="14" t="s">
        <v>320</v>
      </c>
      <c r="E324" s="14">
        <v>0</v>
      </c>
      <c r="F324" s="14">
        <v>0</v>
      </c>
      <c r="G324" s="14">
        <v>0</v>
      </c>
      <c r="H324" s="16">
        <v>0</v>
      </c>
      <c r="I324" s="16">
        <v>0</v>
      </c>
      <c r="J324" s="3" t="s">
        <v>5011</v>
      </c>
      <c r="K324" s="16">
        <v>0</v>
      </c>
      <c r="L324" s="16">
        <v>0</v>
      </c>
      <c r="M324" s="16">
        <v>0</v>
      </c>
    </row>
    <row r="325" spans="1:13" x14ac:dyDescent="0.25">
      <c r="A325" s="2">
        <f t="shared" si="9"/>
        <v>320</v>
      </c>
      <c r="B325" s="2">
        <v>4041</v>
      </c>
      <c r="C325" s="2" t="s">
        <v>2831</v>
      </c>
      <c r="D325" s="14" t="s">
        <v>321</v>
      </c>
      <c r="E325" s="14">
        <v>0</v>
      </c>
      <c r="F325" s="14">
        <v>0</v>
      </c>
      <c r="G325" s="14">
        <v>0</v>
      </c>
      <c r="H325" s="16">
        <v>0</v>
      </c>
      <c r="I325" s="16">
        <v>0</v>
      </c>
      <c r="J325" s="3" t="s">
        <v>5011</v>
      </c>
      <c r="K325" s="16">
        <v>0</v>
      </c>
      <c r="L325" s="16">
        <v>0</v>
      </c>
      <c r="M325" s="16">
        <v>0</v>
      </c>
    </row>
    <row r="326" spans="1:13" x14ac:dyDescent="0.25">
      <c r="A326" s="2">
        <f t="shared" si="9"/>
        <v>321</v>
      </c>
      <c r="B326" s="2">
        <v>4042</v>
      </c>
      <c r="C326" s="2" t="s">
        <v>2832</v>
      </c>
      <c r="D326" s="14" t="s">
        <v>322</v>
      </c>
      <c r="E326" s="14">
        <v>6.6962900000000006E-2</v>
      </c>
      <c r="F326" s="14">
        <v>0</v>
      </c>
      <c r="G326" s="14">
        <v>6.6962900000000006E-2</v>
      </c>
      <c r="H326" s="16">
        <v>27.138642999999998</v>
      </c>
      <c r="I326" s="16">
        <v>27.138642999999998</v>
      </c>
      <c r="J326" s="3" t="s">
        <v>5011</v>
      </c>
      <c r="K326" s="16">
        <v>149.6564245189</v>
      </c>
      <c r="L326" s="16">
        <v>32.625151199999998</v>
      </c>
      <c r="M326" s="16">
        <f t="shared" si="8"/>
        <v>1.2021659004836756</v>
      </c>
    </row>
    <row r="327" spans="1:13" x14ac:dyDescent="0.25">
      <c r="A327" s="2">
        <f t="shared" si="9"/>
        <v>322</v>
      </c>
      <c r="B327" s="2">
        <v>4055</v>
      </c>
      <c r="C327" s="2" t="s">
        <v>2833</v>
      </c>
      <c r="D327" s="14" t="s">
        <v>323</v>
      </c>
      <c r="E327" s="14">
        <v>0</v>
      </c>
      <c r="F327" s="14">
        <v>0</v>
      </c>
      <c r="G327" s="14">
        <v>0</v>
      </c>
      <c r="H327" s="16">
        <v>0</v>
      </c>
      <c r="I327" s="16">
        <v>0</v>
      </c>
      <c r="J327" s="3" t="s">
        <v>5011</v>
      </c>
      <c r="K327" s="16">
        <v>0</v>
      </c>
      <c r="L327" s="16">
        <v>0</v>
      </c>
      <c r="M327" s="16">
        <v>0</v>
      </c>
    </row>
    <row r="328" spans="1:13" x14ac:dyDescent="0.25">
      <c r="A328" s="2">
        <f t="shared" ref="A328:A391" si="10">A327+1</f>
        <v>323</v>
      </c>
      <c r="B328" s="2">
        <v>4137</v>
      </c>
      <c r="C328" s="2" t="s">
        <v>2834</v>
      </c>
      <c r="D328" s="14" t="s">
        <v>324</v>
      </c>
      <c r="E328" s="14">
        <v>1.8222820000000002</v>
      </c>
      <c r="F328" s="14">
        <v>0</v>
      </c>
      <c r="G328" s="14">
        <v>1.8222820000000002</v>
      </c>
      <c r="H328" s="16">
        <v>111.87203460000001</v>
      </c>
      <c r="I328" s="16">
        <v>78.970711100000017</v>
      </c>
      <c r="J328" s="3" t="s">
        <v>5011</v>
      </c>
      <c r="K328" s="16">
        <v>1688.6734060446008</v>
      </c>
      <c r="L328" s="16">
        <v>222.1915687</v>
      </c>
      <c r="M328" s="16">
        <f t="shared" ref="M327:M390" si="11">L328/H328</f>
        <v>1.9861225327173946</v>
      </c>
    </row>
    <row r="329" spans="1:13" x14ac:dyDescent="0.25">
      <c r="A329" s="2">
        <f t="shared" si="10"/>
        <v>324</v>
      </c>
      <c r="B329" s="2">
        <v>4157</v>
      </c>
      <c r="C329" s="2" t="s">
        <v>2835</v>
      </c>
      <c r="D329" s="14" t="s">
        <v>325</v>
      </c>
      <c r="E329" s="14">
        <v>1.2901E-3</v>
      </c>
      <c r="F329" s="14">
        <v>0</v>
      </c>
      <c r="G329" s="14">
        <v>1.2901E-3</v>
      </c>
      <c r="H329" s="16">
        <v>0.52997349999999999</v>
      </c>
      <c r="I329" s="16">
        <v>0.52997349999999999</v>
      </c>
      <c r="J329" s="3" t="s">
        <v>5011</v>
      </c>
      <c r="K329" s="16">
        <v>2.5999397229000003</v>
      </c>
      <c r="L329" s="16">
        <v>0.64019570000000003</v>
      </c>
      <c r="M329" s="16">
        <f t="shared" si="11"/>
        <v>1.2079768139350364</v>
      </c>
    </row>
    <row r="330" spans="1:13" x14ac:dyDescent="0.25">
      <c r="A330" s="2">
        <f t="shared" si="10"/>
        <v>325</v>
      </c>
      <c r="B330" s="2">
        <v>4159</v>
      </c>
      <c r="C330" s="2" t="s">
        <v>2836</v>
      </c>
      <c r="D330" s="14" t="s">
        <v>326</v>
      </c>
      <c r="E330" s="14">
        <v>6.5247700000000006E-2</v>
      </c>
      <c r="F330" s="14">
        <v>0</v>
      </c>
      <c r="G330" s="14">
        <v>6.5247700000000006E-2</v>
      </c>
      <c r="H330" s="16">
        <v>56.647170099999997</v>
      </c>
      <c r="I330" s="16">
        <v>56.647170099999997</v>
      </c>
      <c r="J330" s="3" t="s">
        <v>5011</v>
      </c>
      <c r="K330" s="16">
        <v>120.15977229670003</v>
      </c>
      <c r="L330" s="16">
        <v>60.320735300000003</v>
      </c>
      <c r="M330" s="16">
        <f t="shared" si="11"/>
        <v>1.0648499332537709</v>
      </c>
    </row>
    <row r="331" spans="1:13" x14ac:dyDescent="0.25">
      <c r="A331" s="2">
        <f t="shared" si="10"/>
        <v>326</v>
      </c>
      <c r="B331" s="2">
        <v>4188</v>
      </c>
      <c r="C331" s="2" t="s">
        <v>2837</v>
      </c>
      <c r="D331" s="14" t="s">
        <v>327</v>
      </c>
      <c r="E331" s="14">
        <v>1.4796511999999999</v>
      </c>
      <c r="F331" s="14">
        <v>0</v>
      </c>
      <c r="G331" s="14">
        <v>1.4796511999999999</v>
      </c>
      <c r="H331" s="16">
        <v>165.40123210000002</v>
      </c>
      <c r="I331" s="16">
        <v>68.678941100000017</v>
      </c>
      <c r="J331" s="3" t="s">
        <v>5011</v>
      </c>
      <c r="K331" s="16">
        <v>1821.1440505921996</v>
      </c>
      <c r="L331" s="16">
        <v>218.11238350000002</v>
      </c>
      <c r="M331" s="16">
        <f t="shared" si="11"/>
        <v>1.3186865704127968</v>
      </c>
    </row>
    <row r="332" spans="1:13" x14ac:dyDescent="0.25">
      <c r="A332" s="2">
        <f t="shared" si="10"/>
        <v>327</v>
      </c>
      <c r="B332" s="2">
        <v>4193</v>
      </c>
      <c r="C332" s="2" t="s">
        <v>2838</v>
      </c>
      <c r="D332" s="14" t="s">
        <v>328</v>
      </c>
      <c r="E332" s="14">
        <v>0</v>
      </c>
      <c r="F332" s="14">
        <v>0</v>
      </c>
      <c r="G332" s="14">
        <v>0</v>
      </c>
      <c r="H332" s="16">
        <v>0</v>
      </c>
      <c r="I332" s="16">
        <v>0</v>
      </c>
      <c r="J332" s="3" t="s">
        <v>5011</v>
      </c>
      <c r="K332" s="16">
        <v>0</v>
      </c>
      <c r="L332" s="16">
        <v>0</v>
      </c>
      <c r="M332" s="16">
        <v>0</v>
      </c>
    </row>
    <row r="333" spans="1:13" x14ac:dyDescent="0.25">
      <c r="A333" s="2">
        <f t="shared" si="10"/>
        <v>328</v>
      </c>
      <c r="B333" s="2">
        <v>4195</v>
      </c>
      <c r="C333" s="2" t="s">
        <v>2839</v>
      </c>
      <c r="D333" s="14" t="s">
        <v>329</v>
      </c>
      <c r="E333" s="14">
        <v>33.575462199999997</v>
      </c>
      <c r="F333" s="14">
        <v>0</v>
      </c>
      <c r="G333" s="14">
        <v>33.575462199999997</v>
      </c>
      <c r="H333" s="16">
        <v>509.46444149999996</v>
      </c>
      <c r="I333" s="16">
        <v>405.82299739999996</v>
      </c>
      <c r="J333" s="3" t="s">
        <v>5011</v>
      </c>
      <c r="K333" s="16">
        <v>20772.281353082904</v>
      </c>
      <c r="L333" s="16">
        <v>2387.7522236</v>
      </c>
      <c r="M333" s="16">
        <f t="shared" si="11"/>
        <v>4.686788770909736</v>
      </c>
    </row>
    <row r="334" spans="1:13" x14ac:dyDescent="0.25">
      <c r="A334" s="2">
        <f t="shared" si="10"/>
        <v>329</v>
      </c>
      <c r="B334" s="2">
        <v>4216</v>
      </c>
      <c r="C334" s="2" t="s">
        <v>2840</v>
      </c>
      <c r="D334" s="14" t="s">
        <v>330</v>
      </c>
      <c r="E334" s="14">
        <v>0</v>
      </c>
      <c r="F334" s="14">
        <v>0</v>
      </c>
      <c r="G334" s="14">
        <v>0</v>
      </c>
      <c r="H334" s="16">
        <v>0</v>
      </c>
      <c r="I334" s="16">
        <v>0</v>
      </c>
      <c r="J334" s="3" t="s">
        <v>5011</v>
      </c>
      <c r="K334" s="16">
        <v>0</v>
      </c>
      <c r="L334" s="16">
        <v>0</v>
      </c>
      <c r="M334" s="16">
        <v>0</v>
      </c>
    </row>
    <row r="335" spans="1:13" x14ac:dyDescent="0.25">
      <c r="A335" s="2">
        <f t="shared" si="10"/>
        <v>330</v>
      </c>
      <c r="B335" s="2">
        <v>4327</v>
      </c>
      <c r="C335" s="2" t="s">
        <v>2841</v>
      </c>
      <c r="D335" s="14" t="s">
        <v>331</v>
      </c>
      <c r="E335" s="14">
        <v>0</v>
      </c>
      <c r="F335" s="14">
        <v>0</v>
      </c>
      <c r="G335" s="14">
        <v>0</v>
      </c>
      <c r="H335" s="16">
        <v>0</v>
      </c>
      <c r="I335" s="16">
        <v>0</v>
      </c>
      <c r="J335" s="3" t="s">
        <v>5011</v>
      </c>
      <c r="K335" s="16">
        <v>0</v>
      </c>
      <c r="L335" s="16">
        <v>0</v>
      </c>
      <c r="M335" s="16">
        <v>0</v>
      </c>
    </row>
    <row r="336" spans="1:13" x14ac:dyDescent="0.25">
      <c r="A336" s="2">
        <f t="shared" si="10"/>
        <v>331</v>
      </c>
      <c r="B336" s="2">
        <v>4353</v>
      </c>
      <c r="C336" s="2" t="s">
        <v>2842</v>
      </c>
      <c r="D336" s="14" t="s">
        <v>332</v>
      </c>
      <c r="E336" s="14">
        <v>0.43929760000000001</v>
      </c>
      <c r="F336" s="14">
        <v>0</v>
      </c>
      <c r="G336" s="14">
        <v>0.43929760000000001</v>
      </c>
      <c r="H336" s="16">
        <v>33.563577299999999</v>
      </c>
      <c r="I336" s="16">
        <v>20.004024399999999</v>
      </c>
      <c r="J336" s="3" t="s">
        <v>5011</v>
      </c>
      <c r="K336" s="16">
        <v>416.01757563889998</v>
      </c>
      <c r="L336" s="16">
        <v>56.768675500000001</v>
      </c>
      <c r="M336" s="16">
        <f t="shared" si="11"/>
        <v>1.6913773818740114</v>
      </c>
    </row>
    <row r="337" spans="1:13" x14ac:dyDescent="0.25">
      <c r="A337" s="2">
        <f t="shared" si="10"/>
        <v>332</v>
      </c>
      <c r="B337" s="2">
        <v>4360</v>
      </c>
      <c r="C337" s="2" t="s">
        <v>2843</v>
      </c>
      <c r="D337" s="14" t="s">
        <v>333</v>
      </c>
      <c r="E337" s="14">
        <v>0.1182054</v>
      </c>
      <c r="F337" s="14">
        <v>0</v>
      </c>
      <c r="G337" s="14">
        <v>0.1182054</v>
      </c>
      <c r="H337" s="16">
        <v>19.952082700000002</v>
      </c>
      <c r="I337" s="16">
        <v>17.121373900000002</v>
      </c>
      <c r="J337" s="3" t="s">
        <v>5011</v>
      </c>
      <c r="K337" s="16">
        <v>150.6401926058</v>
      </c>
      <c r="L337" s="16">
        <v>26.9725663</v>
      </c>
      <c r="M337" s="16">
        <f t="shared" si="11"/>
        <v>1.35186720632428</v>
      </c>
    </row>
    <row r="338" spans="1:13" x14ac:dyDescent="0.25">
      <c r="A338" s="2">
        <f t="shared" si="10"/>
        <v>333</v>
      </c>
      <c r="B338" s="2">
        <v>4421</v>
      </c>
      <c r="C338" s="2" t="s">
        <v>2844</v>
      </c>
      <c r="D338" s="14" t="s">
        <v>334</v>
      </c>
      <c r="E338" s="14">
        <v>0.145732</v>
      </c>
      <c r="F338" s="14">
        <v>0</v>
      </c>
      <c r="G338" s="14">
        <v>0.145732</v>
      </c>
      <c r="H338" s="16">
        <v>10.7494625</v>
      </c>
      <c r="I338" s="16">
        <v>-17.693838199999998</v>
      </c>
      <c r="J338" s="3" t="s">
        <v>5011</v>
      </c>
      <c r="K338" s="16">
        <v>155.87065716309999</v>
      </c>
      <c r="L338" s="16">
        <v>2.9519416999999999</v>
      </c>
      <c r="M338" s="16">
        <f t="shared" si="11"/>
        <v>0.27461295855490447</v>
      </c>
    </row>
    <row r="339" spans="1:13" x14ac:dyDescent="0.25">
      <c r="A339" s="2">
        <f t="shared" si="10"/>
        <v>334</v>
      </c>
      <c r="B339" s="2">
        <v>4432</v>
      </c>
      <c r="C339" s="2" t="s">
        <v>2845</v>
      </c>
      <c r="D339" s="14" t="s">
        <v>335</v>
      </c>
      <c r="E339" s="14">
        <v>0.2121923</v>
      </c>
      <c r="F339" s="14">
        <v>0</v>
      </c>
      <c r="G339" s="14">
        <v>0.2121923</v>
      </c>
      <c r="H339" s="16">
        <v>9.9095044999999988</v>
      </c>
      <c r="I339" s="16">
        <v>-3.0216083000000009</v>
      </c>
      <c r="J339" s="3" t="s">
        <v>5011</v>
      </c>
      <c r="K339" s="16">
        <v>197.795761024</v>
      </c>
      <c r="L339" s="16">
        <v>22.519405800000001</v>
      </c>
      <c r="M339" s="16">
        <f t="shared" si="11"/>
        <v>2.2725057342675412</v>
      </c>
    </row>
    <row r="340" spans="1:13" x14ac:dyDescent="0.25">
      <c r="A340" s="2">
        <f t="shared" si="10"/>
        <v>335</v>
      </c>
      <c r="B340" s="2">
        <v>4449</v>
      </c>
      <c r="C340" s="2" t="s">
        <v>2846</v>
      </c>
      <c r="D340" s="14" t="s">
        <v>336</v>
      </c>
      <c r="E340" s="14">
        <v>0</v>
      </c>
      <c r="F340" s="14">
        <v>0</v>
      </c>
      <c r="G340" s="14">
        <v>0</v>
      </c>
      <c r="H340" s="16">
        <v>0</v>
      </c>
      <c r="I340" s="16">
        <v>0</v>
      </c>
      <c r="J340" s="3" t="s">
        <v>5011</v>
      </c>
      <c r="K340" s="16">
        <v>0</v>
      </c>
      <c r="L340" s="16">
        <v>0</v>
      </c>
      <c r="M340" s="16">
        <v>0</v>
      </c>
    </row>
    <row r="341" spans="1:13" x14ac:dyDescent="0.25">
      <c r="A341" s="2">
        <f t="shared" si="10"/>
        <v>336</v>
      </c>
      <c r="B341" s="2">
        <v>4452</v>
      </c>
      <c r="C341" s="2" t="s">
        <v>2847</v>
      </c>
      <c r="D341" s="14" t="s">
        <v>337</v>
      </c>
      <c r="E341" s="14">
        <v>2.7026799999999997E-2</v>
      </c>
      <c r="F341" s="14">
        <v>0</v>
      </c>
      <c r="G341" s="14">
        <v>2.7026799999999997E-2</v>
      </c>
      <c r="H341" s="16">
        <v>19.559021999999999</v>
      </c>
      <c r="I341" s="16">
        <v>14.306978599999999</v>
      </c>
      <c r="J341" s="3" t="s">
        <v>5011</v>
      </c>
      <c r="K341" s="16">
        <v>105.16157613669999</v>
      </c>
      <c r="L341" s="16">
        <v>16.632455400000001</v>
      </c>
      <c r="M341" s="16">
        <f t="shared" si="11"/>
        <v>0.85037254930231188</v>
      </c>
    </row>
    <row r="342" spans="1:13" x14ac:dyDescent="0.25">
      <c r="A342" s="2">
        <f t="shared" si="10"/>
        <v>337</v>
      </c>
      <c r="B342" s="2">
        <v>4461</v>
      </c>
      <c r="C342" s="2" t="s">
        <v>2848</v>
      </c>
      <c r="D342" s="14" t="s">
        <v>338</v>
      </c>
      <c r="E342" s="14">
        <v>2.58058E-2</v>
      </c>
      <c r="F342" s="14">
        <v>0</v>
      </c>
      <c r="G342" s="14">
        <v>2.58058E-2</v>
      </c>
      <c r="H342" s="16">
        <v>3.2198390000000003</v>
      </c>
      <c r="I342" s="16">
        <v>3.2198390000000003</v>
      </c>
      <c r="J342" s="3" t="s">
        <v>5011</v>
      </c>
      <c r="K342" s="16">
        <v>31.334318417600002</v>
      </c>
      <c r="L342" s="16">
        <v>5.3008896999999999</v>
      </c>
      <c r="M342" s="16">
        <f t="shared" si="11"/>
        <v>1.6463213533347474</v>
      </c>
    </row>
    <row r="343" spans="1:13" x14ac:dyDescent="0.25">
      <c r="A343" s="2">
        <f t="shared" si="10"/>
        <v>338</v>
      </c>
      <c r="B343" s="2">
        <v>4464</v>
      </c>
      <c r="C343" s="2" t="s">
        <v>2849</v>
      </c>
      <c r="D343" s="14" t="s">
        <v>339</v>
      </c>
      <c r="E343" s="14">
        <v>2.3592100000000001E-2</v>
      </c>
      <c r="F343" s="14">
        <v>0</v>
      </c>
      <c r="G343" s="14">
        <v>2.3592100000000001E-2</v>
      </c>
      <c r="H343" s="16">
        <v>1.1799410000000001</v>
      </c>
      <c r="I343" s="16">
        <v>1.1799410000000001</v>
      </c>
      <c r="J343" s="3" t="s">
        <v>5011</v>
      </c>
      <c r="K343" s="16">
        <v>31.6888245122</v>
      </c>
      <c r="L343" s="16">
        <v>3.8903004999999999</v>
      </c>
      <c r="M343" s="16">
        <f t="shared" si="11"/>
        <v>3.2970296819925737</v>
      </c>
    </row>
    <row r="344" spans="1:13" x14ac:dyDescent="0.25">
      <c r="A344" s="2">
        <f t="shared" si="10"/>
        <v>339</v>
      </c>
      <c r="B344" s="2">
        <v>4468</v>
      </c>
      <c r="C344" s="2" t="s">
        <v>2850</v>
      </c>
      <c r="D344" s="14" t="s">
        <v>340</v>
      </c>
      <c r="E344" s="14">
        <v>6.2099699999999994E-2</v>
      </c>
      <c r="F344" s="14">
        <v>0</v>
      </c>
      <c r="G344" s="14">
        <v>6.2099699999999994E-2</v>
      </c>
      <c r="H344" s="16">
        <v>7.3296334999999999</v>
      </c>
      <c r="I344" s="16">
        <v>7.3296334999999999</v>
      </c>
      <c r="J344" s="3" t="s">
        <v>5011</v>
      </c>
      <c r="K344" s="16">
        <v>78.588049752800003</v>
      </c>
      <c r="L344" s="16">
        <v>11.918438899999998</v>
      </c>
      <c r="M344" s="16">
        <f t="shared" si="11"/>
        <v>1.626062053443736</v>
      </c>
    </row>
    <row r="345" spans="1:13" x14ac:dyDescent="0.25">
      <c r="A345" s="2">
        <f t="shared" si="10"/>
        <v>340</v>
      </c>
      <c r="B345" s="2">
        <v>4478</v>
      </c>
      <c r="C345" s="2" t="s">
        <v>2851</v>
      </c>
      <c r="D345" s="14" t="s">
        <v>341</v>
      </c>
      <c r="E345" s="14">
        <v>44.739795000000001</v>
      </c>
      <c r="F345" s="14">
        <v>0</v>
      </c>
      <c r="G345" s="14">
        <v>44.739795000000001</v>
      </c>
      <c r="H345" s="16">
        <v>7200.9780320000009</v>
      </c>
      <c r="I345" s="16">
        <v>5566.8793175000001</v>
      </c>
      <c r="J345" s="3" t="s">
        <v>5011</v>
      </c>
      <c r="K345" s="16">
        <v>51590.999642934818</v>
      </c>
      <c r="L345" s="16">
        <v>8953.9640569000003</v>
      </c>
      <c r="M345" s="16">
        <f t="shared" si="11"/>
        <v>1.2434372132660325</v>
      </c>
    </row>
    <row r="346" spans="1:13" x14ac:dyDescent="0.25">
      <c r="A346" s="2">
        <f t="shared" si="10"/>
        <v>341</v>
      </c>
      <c r="B346" s="2">
        <v>4480</v>
      </c>
      <c r="C346" s="2" t="s">
        <v>2852</v>
      </c>
      <c r="D346" s="14" t="s">
        <v>342</v>
      </c>
      <c r="E346" s="14">
        <v>3.5837E-3</v>
      </c>
      <c r="F346" s="14">
        <v>0</v>
      </c>
      <c r="G346" s="14">
        <v>3.5837E-3</v>
      </c>
      <c r="H346" s="16">
        <v>7.9995999999999998E-2</v>
      </c>
      <c r="I346" s="16">
        <v>-0.13636419999999999</v>
      </c>
      <c r="J346" s="3" t="s">
        <v>5011</v>
      </c>
      <c r="K346" s="16">
        <v>2.2461934297000004</v>
      </c>
      <c r="L346" s="16">
        <v>0.10283590000000001</v>
      </c>
      <c r="M346" s="16">
        <f t="shared" si="11"/>
        <v>1.2855130256512828</v>
      </c>
    </row>
    <row r="347" spans="1:13" x14ac:dyDescent="0.25">
      <c r="A347" s="2">
        <f t="shared" si="10"/>
        <v>342</v>
      </c>
      <c r="B347" s="2">
        <v>4481</v>
      </c>
      <c r="C347" s="2" t="s">
        <v>2853</v>
      </c>
      <c r="D347" s="14" t="s">
        <v>343</v>
      </c>
      <c r="E347" s="14">
        <v>0</v>
      </c>
      <c r="F347" s="14">
        <v>0</v>
      </c>
      <c r="G347" s="14">
        <v>0</v>
      </c>
      <c r="H347" s="16">
        <v>0</v>
      </c>
      <c r="I347" s="16">
        <v>0</v>
      </c>
      <c r="J347" s="3" t="s">
        <v>5011</v>
      </c>
      <c r="K347" s="16">
        <v>0</v>
      </c>
      <c r="L347" s="16">
        <v>0</v>
      </c>
      <c r="M347" s="16">
        <v>0</v>
      </c>
    </row>
    <row r="348" spans="1:13" x14ac:dyDescent="0.25">
      <c r="A348" s="2">
        <f t="shared" si="10"/>
        <v>343</v>
      </c>
      <c r="B348" s="2">
        <v>4483</v>
      </c>
      <c r="C348" s="2" t="s">
        <v>2854</v>
      </c>
      <c r="D348" s="14" t="s">
        <v>344</v>
      </c>
      <c r="E348" s="14">
        <v>0.47363470000000002</v>
      </c>
      <c r="F348" s="14">
        <v>0</v>
      </c>
      <c r="G348" s="14">
        <v>0.47363470000000002</v>
      </c>
      <c r="H348" s="16">
        <v>30.524796000000002</v>
      </c>
      <c r="I348" s="16">
        <v>26.044640600000001</v>
      </c>
      <c r="J348" s="3" t="s">
        <v>5011</v>
      </c>
      <c r="K348" s="16">
        <v>554.02134018790002</v>
      </c>
      <c r="L348" s="16">
        <v>72.091601600000004</v>
      </c>
      <c r="M348" s="16">
        <f t="shared" si="11"/>
        <v>2.3617390137513121</v>
      </c>
    </row>
    <row r="349" spans="1:13" x14ac:dyDescent="0.25">
      <c r="A349" s="2">
        <f t="shared" si="10"/>
        <v>344</v>
      </c>
      <c r="B349" s="2">
        <v>4484</v>
      </c>
      <c r="C349" s="2" t="s">
        <v>2855</v>
      </c>
      <c r="D349" s="14" t="s">
        <v>345</v>
      </c>
      <c r="E349" s="14">
        <v>2.3236881000000005</v>
      </c>
      <c r="F349" s="14">
        <v>0</v>
      </c>
      <c r="G349" s="14">
        <v>2.3236881000000005</v>
      </c>
      <c r="H349" s="16">
        <v>58.322426200000002</v>
      </c>
      <c r="I349" s="16">
        <v>50.430234500000005</v>
      </c>
      <c r="J349" s="3" t="s">
        <v>5011</v>
      </c>
      <c r="K349" s="16">
        <v>2063.7804374207999</v>
      </c>
      <c r="L349" s="16">
        <v>242.65896800000002</v>
      </c>
      <c r="M349" s="16">
        <f t="shared" si="11"/>
        <v>4.1606459780646095</v>
      </c>
    </row>
    <row r="350" spans="1:13" x14ac:dyDescent="0.25">
      <c r="A350" s="2">
        <f t="shared" si="10"/>
        <v>345</v>
      </c>
      <c r="B350" s="2">
        <v>4537</v>
      </c>
      <c r="C350" s="2" t="s">
        <v>2856</v>
      </c>
      <c r="D350" s="14" t="s">
        <v>346</v>
      </c>
      <c r="E350" s="14">
        <v>1.741935</v>
      </c>
      <c r="F350" s="14">
        <v>0</v>
      </c>
      <c r="G350" s="14">
        <v>1.741935</v>
      </c>
      <c r="H350" s="16">
        <v>97.758835299999987</v>
      </c>
      <c r="I350" s="16">
        <v>76.595927799999998</v>
      </c>
      <c r="J350" s="3" t="s">
        <v>5011</v>
      </c>
      <c r="K350" s="16">
        <v>1597.0909994511999</v>
      </c>
      <c r="L350" s="16">
        <v>203.8815002</v>
      </c>
      <c r="M350" s="16">
        <f t="shared" si="11"/>
        <v>2.0855557410676315</v>
      </c>
    </row>
    <row r="351" spans="1:13" x14ac:dyDescent="0.25">
      <c r="A351" s="2">
        <f t="shared" si="10"/>
        <v>346</v>
      </c>
      <c r="B351" s="2">
        <v>4564</v>
      </c>
      <c r="C351" s="2" t="s">
        <v>2857</v>
      </c>
      <c r="D351" s="14" t="s">
        <v>347</v>
      </c>
      <c r="E351" s="14">
        <v>0</v>
      </c>
      <c r="F351" s="14">
        <v>0</v>
      </c>
      <c r="G351" s="14">
        <v>0</v>
      </c>
      <c r="H351" s="16">
        <v>0</v>
      </c>
      <c r="I351" s="16">
        <v>0</v>
      </c>
      <c r="J351" s="3" t="s">
        <v>5011</v>
      </c>
      <c r="K351" s="16">
        <v>0</v>
      </c>
      <c r="L351" s="16">
        <v>0</v>
      </c>
      <c r="M351" s="16">
        <v>0</v>
      </c>
    </row>
    <row r="352" spans="1:13" x14ac:dyDescent="0.25">
      <c r="A352" s="2">
        <f t="shared" si="10"/>
        <v>347</v>
      </c>
      <c r="B352" s="2">
        <v>4633</v>
      </c>
      <c r="C352" s="2" t="s">
        <v>2858</v>
      </c>
      <c r="D352" s="14" t="s">
        <v>348</v>
      </c>
      <c r="E352" s="14">
        <v>1.8558234999999998</v>
      </c>
      <c r="F352" s="14">
        <v>0</v>
      </c>
      <c r="G352" s="14">
        <v>1.8558234999999998</v>
      </c>
      <c r="H352" s="16">
        <v>387.42428270000005</v>
      </c>
      <c r="I352" s="16">
        <v>183.97624980000003</v>
      </c>
      <c r="J352" s="3" t="s">
        <v>5011</v>
      </c>
      <c r="K352" s="16">
        <v>2186.0388993641</v>
      </c>
      <c r="L352" s="16">
        <v>342.83126899999996</v>
      </c>
      <c r="M352" s="16">
        <f t="shared" si="11"/>
        <v>0.88489876424568248</v>
      </c>
    </row>
    <row r="353" spans="1:13" x14ac:dyDescent="0.25">
      <c r="A353" s="2">
        <f t="shared" si="10"/>
        <v>348</v>
      </c>
      <c r="B353" s="2">
        <v>4803</v>
      </c>
      <c r="C353" s="2" t="s">
        <v>2859</v>
      </c>
      <c r="D353" s="14" t="s">
        <v>349</v>
      </c>
      <c r="E353" s="14">
        <v>6.7936999999999989E-3</v>
      </c>
      <c r="F353" s="14">
        <v>0</v>
      </c>
      <c r="G353" s="14">
        <v>6.7936999999999989E-3</v>
      </c>
      <c r="H353" s="16">
        <v>0.59921999999999997</v>
      </c>
      <c r="I353" s="16">
        <v>0.59921999999999997</v>
      </c>
      <c r="J353" s="3" t="s">
        <v>5011</v>
      </c>
      <c r="K353" s="16">
        <v>6.1053896827000003</v>
      </c>
      <c r="L353" s="16">
        <v>0.94942919999999997</v>
      </c>
      <c r="M353" s="16">
        <f t="shared" si="11"/>
        <v>1.5844417743065986</v>
      </c>
    </row>
    <row r="354" spans="1:13" x14ac:dyDescent="0.25">
      <c r="A354" s="2">
        <f t="shared" si="10"/>
        <v>349</v>
      </c>
      <c r="B354" s="2">
        <v>4815</v>
      </c>
      <c r="C354" s="2" t="s">
        <v>2860</v>
      </c>
      <c r="D354" s="14" t="s">
        <v>350</v>
      </c>
      <c r="E354" s="14">
        <v>0.33496410000000004</v>
      </c>
      <c r="F354" s="14">
        <v>0</v>
      </c>
      <c r="G354" s="14">
        <v>0.33496410000000004</v>
      </c>
      <c r="H354" s="16">
        <v>117.53982470000001</v>
      </c>
      <c r="I354" s="16">
        <v>67.507151900000011</v>
      </c>
      <c r="J354" s="3" t="s">
        <v>5011</v>
      </c>
      <c r="K354" s="16">
        <v>1129.1647005733998</v>
      </c>
      <c r="L354" s="16">
        <v>156.9102207</v>
      </c>
      <c r="M354" s="16">
        <f t="shared" si="11"/>
        <v>1.3349536729400957</v>
      </c>
    </row>
    <row r="355" spans="1:13" x14ac:dyDescent="0.25">
      <c r="A355" s="2">
        <f t="shared" si="10"/>
        <v>350</v>
      </c>
      <c r="B355" s="2">
        <v>4843</v>
      </c>
      <c r="C355" s="2" t="s">
        <v>2861</v>
      </c>
      <c r="D355" s="14" t="s">
        <v>351</v>
      </c>
      <c r="E355" s="14">
        <v>14.6435967</v>
      </c>
      <c r="F355" s="14">
        <v>0</v>
      </c>
      <c r="G355" s="14">
        <v>14.6435967</v>
      </c>
      <c r="H355" s="16">
        <v>421.13958609999997</v>
      </c>
      <c r="I355" s="16">
        <v>376.11153769999999</v>
      </c>
      <c r="J355" s="3" t="s">
        <v>5011</v>
      </c>
      <c r="K355" s="16">
        <v>11254.326386163102</v>
      </c>
      <c r="L355" s="16">
        <v>1339.8876519</v>
      </c>
      <c r="M355" s="16">
        <f t="shared" si="11"/>
        <v>3.1815761237459221</v>
      </c>
    </row>
    <row r="356" spans="1:13" x14ac:dyDescent="0.25">
      <c r="A356" s="2">
        <f t="shared" si="10"/>
        <v>351</v>
      </c>
      <c r="B356" s="2">
        <v>4873</v>
      </c>
      <c r="C356" s="2" t="s">
        <v>2862</v>
      </c>
      <c r="D356" s="14" t="s">
        <v>352</v>
      </c>
      <c r="E356" s="14">
        <v>0</v>
      </c>
      <c r="F356" s="14">
        <v>0</v>
      </c>
      <c r="G356" s="14">
        <v>0</v>
      </c>
      <c r="H356" s="16">
        <v>0</v>
      </c>
      <c r="I356" s="16">
        <v>0</v>
      </c>
      <c r="J356" s="3" t="s">
        <v>5011</v>
      </c>
      <c r="K356" s="16">
        <v>0</v>
      </c>
      <c r="L356" s="16">
        <v>0</v>
      </c>
      <c r="M356" s="16">
        <v>0</v>
      </c>
    </row>
    <row r="357" spans="1:13" x14ac:dyDescent="0.25">
      <c r="A357" s="2">
        <f t="shared" si="10"/>
        <v>352</v>
      </c>
      <c r="B357" s="2">
        <v>4882</v>
      </c>
      <c r="C357" s="2" t="s">
        <v>2863</v>
      </c>
      <c r="D357" s="14" t="s">
        <v>353</v>
      </c>
      <c r="E357" s="14">
        <v>0</v>
      </c>
      <c r="F357" s="14">
        <v>0</v>
      </c>
      <c r="G357" s="14">
        <v>0</v>
      </c>
      <c r="H357" s="16">
        <v>0</v>
      </c>
      <c r="I357" s="16">
        <v>0</v>
      </c>
      <c r="J357" s="3" t="s">
        <v>5011</v>
      </c>
      <c r="K357" s="16">
        <v>0</v>
      </c>
      <c r="L357" s="16">
        <v>0</v>
      </c>
      <c r="M357" s="16">
        <v>0</v>
      </c>
    </row>
    <row r="358" spans="1:13" x14ac:dyDescent="0.25">
      <c r="A358" s="2">
        <f t="shared" si="10"/>
        <v>353</v>
      </c>
      <c r="B358" s="2">
        <v>4894</v>
      </c>
      <c r="C358" s="2" t="s">
        <v>2864</v>
      </c>
      <c r="D358" s="14" t="s">
        <v>354</v>
      </c>
      <c r="E358" s="14">
        <v>0</v>
      </c>
      <c r="F358" s="14">
        <v>0</v>
      </c>
      <c r="G358" s="14">
        <v>0</v>
      </c>
      <c r="H358" s="16">
        <v>0</v>
      </c>
      <c r="I358" s="16">
        <v>0</v>
      </c>
      <c r="J358" s="3" t="s">
        <v>5011</v>
      </c>
      <c r="K358" s="16">
        <v>0</v>
      </c>
      <c r="L358" s="16">
        <v>0</v>
      </c>
      <c r="M358" s="16">
        <v>0</v>
      </c>
    </row>
    <row r="359" spans="1:13" x14ac:dyDescent="0.25">
      <c r="A359" s="2">
        <f t="shared" si="10"/>
        <v>354</v>
      </c>
      <c r="B359" s="2">
        <v>4924</v>
      </c>
      <c r="C359" s="2" t="s">
        <v>2865</v>
      </c>
      <c r="D359" s="14" t="s">
        <v>355</v>
      </c>
      <c r="E359" s="14">
        <v>2.3656099999999996E-2</v>
      </c>
      <c r="F359" s="14">
        <v>0</v>
      </c>
      <c r="G359" s="14">
        <v>2.3656099999999996E-2</v>
      </c>
      <c r="H359" s="16">
        <v>0</v>
      </c>
      <c r="I359" s="16">
        <v>0</v>
      </c>
      <c r="J359" s="3" t="s">
        <v>5011</v>
      </c>
      <c r="K359" s="16">
        <v>40.513239477100001</v>
      </c>
      <c r="L359" s="16">
        <v>3.9839090999999995</v>
      </c>
      <c r="M359" s="16">
        <v>0</v>
      </c>
    </row>
    <row r="360" spans="1:13" x14ac:dyDescent="0.25">
      <c r="A360" s="2">
        <f t="shared" si="10"/>
        <v>355</v>
      </c>
      <c r="B360" s="2">
        <v>4937</v>
      </c>
      <c r="C360" s="2" t="s">
        <v>2866</v>
      </c>
      <c r="D360" s="14" t="s">
        <v>356</v>
      </c>
      <c r="E360" s="14">
        <v>0</v>
      </c>
      <c r="F360" s="14">
        <v>0</v>
      </c>
      <c r="G360" s="14">
        <v>0</v>
      </c>
      <c r="H360" s="16">
        <v>0</v>
      </c>
      <c r="I360" s="16">
        <v>0</v>
      </c>
      <c r="J360" s="3" t="s">
        <v>5011</v>
      </c>
      <c r="K360" s="16">
        <v>0</v>
      </c>
      <c r="L360" s="16">
        <v>0</v>
      </c>
      <c r="M360" s="16">
        <v>0</v>
      </c>
    </row>
    <row r="361" spans="1:13" x14ac:dyDescent="0.25">
      <c r="A361" s="2">
        <f t="shared" si="10"/>
        <v>356</v>
      </c>
      <c r="B361" s="2">
        <v>5013</v>
      </c>
      <c r="C361" s="2" t="s">
        <v>2867</v>
      </c>
      <c r="D361" s="14" t="s">
        <v>357</v>
      </c>
      <c r="E361" s="14">
        <v>0</v>
      </c>
      <c r="F361" s="14">
        <v>0</v>
      </c>
      <c r="G361" s="14">
        <v>0</v>
      </c>
      <c r="H361" s="16">
        <v>0</v>
      </c>
      <c r="I361" s="16">
        <v>0</v>
      </c>
      <c r="J361" s="3" t="s">
        <v>5011</v>
      </c>
      <c r="K361" s="16">
        <v>0</v>
      </c>
      <c r="L361" s="16">
        <v>0</v>
      </c>
      <c r="M361" s="16">
        <v>0</v>
      </c>
    </row>
    <row r="362" spans="1:13" x14ac:dyDescent="0.25">
      <c r="A362" s="2">
        <f t="shared" si="10"/>
        <v>357</v>
      </c>
      <c r="B362" s="2">
        <v>5042</v>
      </c>
      <c r="C362" s="2" t="s">
        <v>2868</v>
      </c>
      <c r="D362" s="14" t="s">
        <v>358</v>
      </c>
      <c r="E362" s="14">
        <v>28.558810600000001</v>
      </c>
      <c r="F362" s="14">
        <v>0</v>
      </c>
      <c r="G362" s="14">
        <v>28.558810600000001</v>
      </c>
      <c r="H362" s="16">
        <v>1042.7115059</v>
      </c>
      <c r="I362" s="16">
        <v>929.43198560000008</v>
      </c>
      <c r="J362" s="3" t="s">
        <v>5011</v>
      </c>
      <c r="K362" s="16">
        <v>26566.506415594617</v>
      </c>
      <c r="L362" s="16">
        <v>3220.0129833999999</v>
      </c>
      <c r="M362" s="16">
        <f t="shared" si="11"/>
        <v>3.0881149437597282</v>
      </c>
    </row>
    <row r="363" spans="1:13" x14ac:dyDescent="0.25">
      <c r="A363" s="2">
        <f t="shared" si="10"/>
        <v>358</v>
      </c>
      <c r="B363" s="2">
        <v>5062</v>
      </c>
      <c r="C363" s="2" t="s">
        <v>2869</v>
      </c>
      <c r="D363" s="14" t="s">
        <v>359</v>
      </c>
      <c r="E363" s="14">
        <v>4.4336945999999999</v>
      </c>
      <c r="F363" s="14">
        <v>0</v>
      </c>
      <c r="G363" s="14">
        <v>4.4336945999999999</v>
      </c>
      <c r="H363" s="16">
        <v>511.70159049999995</v>
      </c>
      <c r="I363" s="16">
        <v>388.22101530000003</v>
      </c>
      <c r="J363" s="3" t="s">
        <v>5011</v>
      </c>
      <c r="K363" s="16">
        <v>4828.5891303837006</v>
      </c>
      <c r="L363" s="16">
        <v>678.18002999999999</v>
      </c>
      <c r="M363" s="16">
        <f t="shared" si="11"/>
        <v>1.3253428220485473</v>
      </c>
    </row>
    <row r="364" spans="1:13" x14ac:dyDescent="0.25">
      <c r="A364" s="2">
        <f t="shared" si="10"/>
        <v>359</v>
      </c>
      <c r="B364" s="2">
        <v>5084</v>
      </c>
      <c r="C364" s="2" t="s">
        <v>2870</v>
      </c>
      <c r="D364" s="14" t="s">
        <v>360</v>
      </c>
      <c r="E364" s="14">
        <v>3.4086224000000001</v>
      </c>
      <c r="F364" s="14">
        <v>0</v>
      </c>
      <c r="G364" s="14">
        <v>3.4086224000000001</v>
      </c>
      <c r="H364" s="16">
        <v>187.79413579999999</v>
      </c>
      <c r="I364" s="16">
        <v>149.34209069999997</v>
      </c>
      <c r="J364" s="3" t="s">
        <v>5011</v>
      </c>
      <c r="K364" s="16">
        <v>3338.1448433479</v>
      </c>
      <c r="L364" s="16">
        <v>441.24528530000003</v>
      </c>
      <c r="M364" s="16">
        <f t="shared" si="11"/>
        <v>2.3496222787804433</v>
      </c>
    </row>
    <row r="365" spans="1:13" x14ac:dyDescent="0.25">
      <c r="A365" s="2">
        <f t="shared" si="10"/>
        <v>360</v>
      </c>
      <c r="B365" s="2">
        <v>5108</v>
      </c>
      <c r="C365" s="2" t="s">
        <v>2871</v>
      </c>
      <c r="D365" s="14" t="s">
        <v>361</v>
      </c>
      <c r="E365" s="14">
        <v>0</v>
      </c>
      <c r="F365" s="14">
        <v>0</v>
      </c>
      <c r="G365" s="14">
        <v>0</v>
      </c>
      <c r="H365" s="16">
        <v>0</v>
      </c>
      <c r="I365" s="16">
        <v>0</v>
      </c>
      <c r="J365" s="3" t="s">
        <v>5011</v>
      </c>
      <c r="K365" s="16">
        <v>0</v>
      </c>
      <c r="L365" s="16">
        <v>0</v>
      </c>
      <c r="M365" s="16">
        <v>0</v>
      </c>
    </row>
    <row r="366" spans="1:13" x14ac:dyDescent="0.25">
      <c r="A366" s="2">
        <f t="shared" si="10"/>
        <v>361</v>
      </c>
      <c r="B366" s="2">
        <v>5205</v>
      </c>
      <c r="C366" s="2" t="s">
        <v>2872</v>
      </c>
      <c r="D366" s="14" t="s">
        <v>362</v>
      </c>
      <c r="E366" s="14">
        <v>3.2860000000000002E-4</v>
      </c>
      <c r="F366" s="14">
        <v>0</v>
      </c>
      <c r="G366" s="14">
        <v>3.2860000000000002E-4</v>
      </c>
      <c r="H366" s="16">
        <v>0.42497879999999999</v>
      </c>
      <c r="I366" s="16">
        <v>0.42497879999999999</v>
      </c>
      <c r="J366" s="3" t="s">
        <v>5011</v>
      </c>
      <c r="K366" s="16">
        <v>1.1035808411000001</v>
      </c>
      <c r="L366" s="16">
        <v>0.43537559999999997</v>
      </c>
      <c r="M366" s="16">
        <f t="shared" si="11"/>
        <v>1.0244642791593368</v>
      </c>
    </row>
    <row r="367" spans="1:13" x14ac:dyDescent="0.25">
      <c r="A367" s="2">
        <f t="shared" si="10"/>
        <v>362</v>
      </c>
      <c r="B367" s="2">
        <v>5207</v>
      </c>
      <c r="C367" s="2" t="s">
        <v>2873</v>
      </c>
      <c r="D367" s="14" t="s">
        <v>363</v>
      </c>
      <c r="E367" s="14">
        <v>1.6966030000000001</v>
      </c>
      <c r="F367" s="14">
        <v>0</v>
      </c>
      <c r="G367" s="14">
        <v>1.6966030000000001</v>
      </c>
      <c r="H367" s="16">
        <v>65.892946500000008</v>
      </c>
      <c r="I367" s="16">
        <v>25.461699300000003</v>
      </c>
      <c r="J367" s="3" t="s">
        <v>5011</v>
      </c>
      <c r="K367" s="16">
        <v>1670.0689632169997</v>
      </c>
      <c r="L367" s="16">
        <v>192.0044121</v>
      </c>
      <c r="M367" s="16">
        <f t="shared" si="11"/>
        <v>2.9138841453993862</v>
      </c>
    </row>
    <row r="368" spans="1:13" x14ac:dyDescent="0.25">
      <c r="A368" s="2">
        <f t="shared" si="10"/>
        <v>363</v>
      </c>
      <c r="B368" s="2">
        <v>5275</v>
      </c>
      <c r="C368" s="2" t="s">
        <v>2874</v>
      </c>
      <c r="D368" s="14" t="s">
        <v>364</v>
      </c>
      <c r="E368" s="14">
        <v>2.3714384000000002</v>
      </c>
      <c r="F368" s="14">
        <v>0</v>
      </c>
      <c r="G368" s="14">
        <v>2.3714384000000002</v>
      </c>
      <c r="H368" s="16">
        <v>380.86332140000002</v>
      </c>
      <c r="I368" s="16">
        <v>323.87726570000001</v>
      </c>
      <c r="J368" s="3" t="s">
        <v>5011</v>
      </c>
      <c r="K368" s="16">
        <v>2581.8048012301997</v>
      </c>
      <c r="L368" s="16">
        <v>409.61919049999995</v>
      </c>
      <c r="M368" s="16">
        <f t="shared" si="11"/>
        <v>1.0755018073000504</v>
      </c>
    </row>
    <row r="369" spans="1:13" x14ac:dyDescent="0.25">
      <c r="A369" s="2">
        <f t="shared" si="10"/>
        <v>364</v>
      </c>
      <c r="B369" s="2">
        <v>5285</v>
      </c>
      <c r="C369" s="2" t="s">
        <v>2875</v>
      </c>
      <c r="D369" s="14" t="s">
        <v>365</v>
      </c>
      <c r="E369" s="14">
        <v>0.42468969999999995</v>
      </c>
      <c r="F369" s="14">
        <v>0</v>
      </c>
      <c r="G369" s="14">
        <v>0.42468969999999995</v>
      </c>
      <c r="H369" s="16">
        <v>139.99300009999999</v>
      </c>
      <c r="I369" s="16">
        <v>139.99300009999999</v>
      </c>
      <c r="J369" s="3" t="s">
        <v>5011</v>
      </c>
      <c r="K369" s="16">
        <v>513.55141997110002</v>
      </c>
      <c r="L369" s="16">
        <v>157.73426140000001</v>
      </c>
      <c r="M369" s="16">
        <f t="shared" si="11"/>
        <v>1.1267296313910484</v>
      </c>
    </row>
    <row r="370" spans="1:13" x14ac:dyDescent="0.25">
      <c r="A370" s="2">
        <f t="shared" si="10"/>
        <v>365</v>
      </c>
      <c r="B370" s="2">
        <v>5298</v>
      </c>
      <c r="C370" s="2" t="s">
        <v>2876</v>
      </c>
      <c r="D370" s="14" t="s">
        <v>366</v>
      </c>
      <c r="E370" s="14">
        <v>9.1061796000000008</v>
      </c>
      <c r="F370" s="14">
        <v>0</v>
      </c>
      <c r="G370" s="14">
        <v>9.1061796000000008</v>
      </c>
      <c r="H370" s="16">
        <v>263.4695524</v>
      </c>
      <c r="I370" s="16">
        <v>214.30122459999998</v>
      </c>
      <c r="J370" s="3" t="s">
        <v>5011</v>
      </c>
      <c r="K370" s="16">
        <v>8683.9750978887969</v>
      </c>
      <c r="L370" s="16">
        <v>968.24873170000001</v>
      </c>
      <c r="M370" s="16">
        <f t="shared" si="11"/>
        <v>3.6749928896148232</v>
      </c>
    </row>
    <row r="371" spans="1:13" x14ac:dyDescent="0.25">
      <c r="A371" s="2">
        <f t="shared" si="10"/>
        <v>366</v>
      </c>
      <c r="B371" s="2">
        <v>5328</v>
      </c>
      <c r="C371" s="2" t="s">
        <v>2877</v>
      </c>
      <c r="D371" s="14" t="s">
        <v>367</v>
      </c>
      <c r="E371" s="14">
        <v>1.1865800000000001E-2</v>
      </c>
      <c r="F371" s="14">
        <v>0</v>
      </c>
      <c r="G371" s="14">
        <v>1.1865800000000001E-2</v>
      </c>
      <c r="H371" s="16">
        <v>4.99975E-2</v>
      </c>
      <c r="I371" s="16">
        <v>-1.5067396</v>
      </c>
      <c r="J371" s="3" t="s">
        <v>5011</v>
      </c>
      <c r="K371" s="16">
        <v>11.799770587299999</v>
      </c>
      <c r="L371" s="16">
        <v>0</v>
      </c>
      <c r="M371" s="16">
        <f t="shared" si="11"/>
        <v>0</v>
      </c>
    </row>
    <row r="372" spans="1:13" x14ac:dyDescent="0.25">
      <c r="A372" s="2">
        <f t="shared" si="10"/>
        <v>367</v>
      </c>
      <c r="B372" s="2">
        <v>5388</v>
      </c>
      <c r="C372" s="2" t="s">
        <v>2878</v>
      </c>
      <c r="D372" s="14" t="s">
        <v>368</v>
      </c>
      <c r="E372" s="14">
        <v>2.2104963</v>
      </c>
      <c r="F372" s="14">
        <v>0</v>
      </c>
      <c r="G372" s="14">
        <v>2.2104963</v>
      </c>
      <c r="H372" s="16">
        <v>444.86726659999994</v>
      </c>
      <c r="I372" s="16">
        <v>248.99494399999995</v>
      </c>
      <c r="J372" s="3" t="s">
        <v>5011</v>
      </c>
      <c r="K372" s="16">
        <v>2959.7640187183006</v>
      </c>
      <c r="L372" s="16">
        <v>417.75394929999999</v>
      </c>
      <c r="M372" s="16">
        <f t="shared" si="11"/>
        <v>0.93905301797720542</v>
      </c>
    </row>
    <row r="373" spans="1:13" x14ac:dyDescent="0.25">
      <c r="A373" s="2">
        <f t="shared" si="10"/>
        <v>368</v>
      </c>
      <c r="B373" s="2">
        <v>5421</v>
      </c>
      <c r="C373" s="2" t="s">
        <v>2879</v>
      </c>
      <c r="D373" s="14" t="s">
        <v>369</v>
      </c>
      <c r="E373" s="14">
        <v>0</v>
      </c>
      <c r="F373" s="14">
        <v>0</v>
      </c>
      <c r="G373" s="14">
        <v>0</v>
      </c>
      <c r="H373" s="16">
        <v>0</v>
      </c>
      <c r="I373" s="16">
        <v>0</v>
      </c>
      <c r="J373" s="3" t="s">
        <v>5011</v>
      </c>
      <c r="K373" s="16">
        <v>0</v>
      </c>
      <c r="L373" s="16">
        <v>0</v>
      </c>
      <c r="M373" s="16">
        <v>0</v>
      </c>
    </row>
    <row r="374" spans="1:13" x14ac:dyDescent="0.25">
      <c r="A374" s="2">
        <f t="shared" si="10"/>
        <v>369</v>
      </c>
      <c r="B374" s="2">
        <v>5476</v>
      </c>
      <c r="C374" s="2" t="s">
        <v>2880</v>
      </c>
      <c r="D374" s="14" t="s">
        <v>370</v>
      </c>
      <c r="E374" s="14">
        <v>0.41600569999999998</v>
      </c>
      <c r="F374" s="14">
        <v>0</v>
      </c>
      <c r="G374" s="14">
        <v>0.41600569999999998</v>
      </c>
      <c r="H374" s="16">
        <v>44.047797599999996</v>
      </c>
      <c r="I374" s="16">
        <v>44.047797599999996</v>
      </c>
      <c r="J374" s="3" t="s">
        <v>5011</v>
      </c>
      <c r="K374" s="16">
        <v>376.4715798204</v>
      </c>
      <c r="L374" s="16">
        <v>56.578493499999993</v>
      </c>
      <c r="M374" s="16">
        <f t="shared" si="11"/>
        <v>1.2844795105033811</v>
      </c>
    </row>
    <row r="375" spans="1:13" x14ac:dyDescent="0.25">
      <c r="A375" s="2">
        <f t="shared" si="10"/>
        <v>370</v>
      </c>
      <c r="B375" s="2">
        <v>5487</v>
      </c>
      <c r="C375" s="2" t="s">
        <v>2881</v>
      </c>
      <c r="D375" s="14" t="s">
        <v>371</v>
      </c>
      <c r="E375" s="14">
        <v>6.1382309000000008</v>
      </c>
      <c r="F375" s="14">
        <v>0</v>
      </c>
      <c r="G375" s="14">
        <v>6.1382309000000008</v>
      </c>
      <c r="H375" s="16">
        <v>66.969834900000009</v>
      </c>
      <c r="I375" s="16">
        <v>-2.9530831999999938</v>
      </c>
      <c r="J375" s="3" t="s">
        <v>5011</v>
      </c>
      <c r="K375" s="16">
        <v>4516.3525229789002</v>
      </c>
      <c r="L375" s="16">
        <v>469.00994070000002</v>
      </c>
      <c r="M375" s="16">
        <f t="shared" si="11"/>
        <v>7.0033014326574063</v>
      </c>
    </row>
    <row r="376" spans="1:13" x14ac:dyDescent="0.25">
      <c r="A376" s="2">
        <f t="shared" si="10"/>
        <v>371</v>
      </c>
      <c r="B376" s="2">
        <v>5503</v>
      </c>
      <c r="C376" s="2" t="s">
        <v>2882</v>
      </c>
      <c r="D376" s="14" t="s">
        <v>372</v>
      </c>
      <c r="E376" s="14">
        <v>0</v>
      </c>
      <c r="F376" s="14">
        <v>0</v>
      </c>
      <c r="G376" s="14">
        <v>0</v>
      </c>
      <c r="H376" s="16">
        <v>0</v>
      </c>
      <c r="I376" s="16">
        <v>0</v>
      </c>
      <c r="J376" s="3" t="s">
        <v>5011</v>
      </c>
      <c r="K376" s="16">
        <v>0</v>
      </c>
      <c r="L376" s="16">
        <v>0</v>
      </c>
      <c r="M376" s="16">
        <v>0</v>
      </c>
    </row>
    <row r="377" spans="1:13" x14ac:dyDescent="0.25">
      <c r="A377" s="2">
        <f t="shared" si="10"/>
        <v>372</v>
      </c>
      <c r="B377" s="2">
        <v>5505</v>
      </c>
      <c r="C377" s="2" t="s">
        <v>2883</v>
      </c>
      <c r="D377" s="14" t="s">
        <v>373</v>
      </c>
      <c r="E377" s="14">
        <v>2.1739752999999999</v>
      </c>
      <c r="F377" s="14">
        <v>0</v>
      </c>
      <c r="G377" s="14">
        <v>2.1739752999999999</v>
      </c>
      <c r="H377" s="16">
        <v>96.987362200000007</v>
      </c>
      <c r="I377" s="16">
        <v>64.738762600000001</v>
      </c>
      <c r="J377" s="3" t="s">
        <v>5011</v>
      </c>
      <c r="K377" s="16">
        <v>2155.5880303240001</v>
      </c>
      <c r="L377" s="16">
        <v>260.351764</v>
      </c>
      <c r="M377" s="16">
        <f t="shared" si="11"/>
        <v>2.68438854397465</v>
      </c>
    </row>
    <row r="378" spans="1:13" x14ac:dyDescent="0.25">
      <c r="A378" s="2">
        <f t="shared" si="10"/>
        <v>373</v>
      </c>
      <c r="B378" s="2">
        <v>5544</v>
      </c>
      <c r="C378" s="2" t="s">
        <v>2884</v>
      </c>
      <c r="D378" s="14" t="s">
        <v>374</v>
      </c>
      <c r="E378" s="14">
        <v>0</v>
      </c>
      <c r="F378" s="14">
        <v>0</v>
      </c>
      <c r="G378" s="14">
        <v>0</v>
      </c>
      <c r="H378" s="16">
        <v>0</v>
      </c>
      <c r="I378" s="16">
        <v>0</v>
      </c>
      <c r="J378" s="3" t="s">
        <v>5011</v>
      </c>
      <c r="K378" s="16">
        <v>0</v>
      </c>
      <c r="L378" s="16">
        <v>0</v>
      </c>
      <c r="M378" s="16">
        <v>0</v>
      </c>
    </row>
    <row r="379" spans="1:13" x14ac:dyDescent="0.25">
      <c r="A379" s="2">
        <f t="shared" si="10"/>
        <v>374</v>
      </c>
      <c r="B379" s="2">
        <v>5592</v>
      </c>
      <c r="C379" s="2" t="s">
        <v>2885</v>
      </c>
      <c r="D379" s="14" t="s">
        <v>375</v>
      </c>
      <c r="E379" s="14">
        <v>0</v>
      </c>
      <c r="F379" s="14">
        <v>0</v>
      </c>
      <c r="G379" s="14">
        <v>0</v>
      </c>
      <c r="H379" s="16">
        <v>0</v>
      </c>
      <c r="I379" s="16">
        <v>0</v>
      </c>
      <c r="J379" s="3" t="s">
        <v>5011</v>
      </c>
      <c r="K379" s="16">
        <v>0</v>
      </c>
      <c r="L379" s="16">
        <v>0</v>
      </c>
      <c r="M379" s="16">
        <v>0</v>
      </c>
    </row>
    <row r="380" spans="1:13" x14ac:dyDescent="0.25">
      <c r="A380" s="2">
        <f t="shared" si="10"/>
        <v>375</v>
      </c>
      <c r="B380" s="2">
        <v>5593</v>
      </c>
      <c r="C380" s="2" t="s">
        <v>2886</v>
      </c>
      <c r="D380" s="14" t="s">
        <v>376</v>
      </c>
      <c r="E380" s="14">
        <v>15.3659534</v>
      </c>
      <c r="F380" s="14">
        <v>0</v>
      </c>
      <c r="G380" s="14">
        <v>15.3659534</v>
      </c>
      <c r="H380" s="16">
        <v>501.91739819999998</v>
      </c>
      <c r="I380" s="16">
        <v>272.52691909999999</v>
      </c>
      <c r="J380" s="3" t="s">
        <v>5011</v>
      </c>
      <c r="K380" s="16">
        <v>14933.376072448602</v>
      </c>
      <c r="L380" s="16">
        <v>1686.9174662999999</v>
      </c>
      <c r="M380" s="16">
        <f t="shared" si="11"/>
        <v>3.3609463874926502</v>
      </c>
    </row>
    <row r="381" spans="1:13" x14ac:dyDescent="0.25">
      <c r="A381" s="2">
        <f t="shared" si="10"/>
        <v>376</v>
      </c>
      <c r="B381" s="2">
        <v>5596</v>
      </c>
      <c r="C381" s="2" t="s">
        <v>2887</v>
      </c>
      <c r="D381" s="14" t="s">
        <v>377</v>
      </c>
      <c r="E381" s="14">
        <v>0</v>
      </c>
      <c r="F381" s="14">
        <v>0</v>
      </c>
      <c r="G381" s="14">
        <v>0</v>
      </c>
      <c r="H381" s="16">
        <v>0</v>
      </c>
      <c r="I381" s="16">
        <v>0</v>
      </c>
      <c r="J381" s="3" t="s">
        <v>5011</v>
      </c>
      <c r="K381" s="16">
        <v>0</v>
      </c>
      <c r="L381" s="16">
        <v>0</v>
      </c>
      <c r="M381" s="16">
        <v>0</v>
      </c>
    </row>
    <row r="382" spans="1:13" x14ac:dyDescent="0.25">
      <c r="A382" s="2">
        <f t="shared" si="10"/>
        <v>377</v>
      </c>
      <c r="B382" s="2">
        <v>5599</v>
      </c>
      <c r="C382" s="2" t="s">
        <v>2888</v>
      </c>
      <c r="D382" s="14" t="s">
        <v>378</v>
      </c>
      <c r="E382" s="14">
        <v>6.221729400000001</v>
      </c>
      <c r="F382" s="14">
        <v>0</v>
      </c>
      <c r="G382" s="14">
        <v>6.221729400000001</v>
      </c>
      <c r="H382" s="16">
        <v>1062.1007990000001</v>
      </c>
      <c r="I382" s="16">
        <v>519.90763900000002</v>
      </c>
      <c r="J382" s="3" t="s">
        <v>5011</v>
      </c>
      <c r="K382" s="16">
        <v>7824.7259388156017</v>
      </c>
      <c r="L382" s="16">
        <v>1010.4821904</v>
      </c>
      <c r="M382" s="16">
        <f t="shared" si="11"/>
        <v>0.95139952003745742</v>
      </c>
    </row>
    <row r="383" spans="1:13" x14ac:dyDescent="0.25">
      <c r="A383" s="2">
        <f t="shared" si="10"/>
        <v>378</v>
      </c>
      <c r="B383" s="2">
        <v>5603</v>
      </c>
      <c r="C383" s="2" t="s">
        <v>2889</v>
      </c>
      <c r="D383" s="14" t="s">
        <v>379</v>
      </c>
      <c r="E383" s="14">
        <v>0.65524669999999996</v>
      </c>
      <c r="F383" s="14">
        <v>0</v>
      </c>
      <c r="G383" s="14">
        <v>0.65524669999999996</v>
      </c>
      <c r="H383" s="16">
        <v>163.3718313</v>
      </c>
      <c r="I383" s="16">
        <v>163.07183130000001</v>
      </c>
      <c r="J383" s="3" t="s">
        <v>5011</v>
      </c>
      <c r="K383" s="16">
        <v>764.33414430710013</v>
      </c>
      <c r="L383" s="16">
        <v>219.35619559999998</v>
      </c>
      <c r="M383" s="16">
        <f t="shared" si="11"/>
        <v>1.3426806436245169</v>
      </c>
    </row>
    <row r="384" spans="1:13" x14ac:dyDescent="0.25">
      <c r="A384" s="2">
        <f t="shared" si="10"/>
        <v>379</v>
      </c>
      <c r="B384" s="2">
        <v>5642</v>
      </c>
      <c r="C384" s="2" t="s">
        <v>2890</v>
      </c>
      <c r="D384" s="14" t="s">
        <v>380</v>
      </c>
      <c r="E384" s="14">
        <v>0</v>
      </c>
      <c r="F384" s="14">
        <v>0</v>
      </c>
      <c r="G384" s="14">
        <v>0</v>
      </c>
      <c r="H384" s="16">
        <v>0</v>
      </c>
      <c r="I384" s="16">
        <v>0</v>
      </c>
      <c r="J384" s="3" t="s">
        <v>5011</v>
      </c>
      <c r="K384" s="16">
        <v>0</v>
      </c>
      <c r="L384" s="16">
        <v>0</v>
      </c>
      <c r="M384" s="16">
        <v>0</v>
      </c>
    </row>
    <row r="385" spans="1:13" x14ac:dyDescent="0.25">
      <c r="A385" s="2">
        <f t="shared" si="10"/>
        <v>380</v>
      </c>
      <c r="B385" s="2">
        <v>5727</v>
      </c>
      <c r="C385" s="2" t="s">
        <v>2891</v>
      </c>
      <c r="D385" s="14" t="s">
        <v>381</v>
      </c>
      <c r="E385" s="14">
        <v>6.2940237999999997</v>
      </c>
      <c r="F385" s="14">
        <v>0</v>
      </c>
      <c r="G385" s="14">
        <v>6.2940237999999997</v>
      </c>
      <c r="H385" s="16">
        <v>691.82350849999989</v>
      </c>
      <c r="I385" s="16">
        <v>424.34162999999995</v>
      </c>
      <c r="J385" s="3" t="s">
        <v>5011</v>
      </c>
      <c r="K385" s="16">
        <v>4937.0610243272004</v>
      </c>
      <c r="L385" s="16">
        <v>769.18604519999997</v>
      </c>
      <c r="M385" s="16">
        <f t="shared" si="11"/>
        <v>1.1118240934999972</v>
      </c>
    </row>
    <row r="386" spans="1:13" x14ac:dyDescent="0.25">
      <c r="A386" s="2">
        <f t="shared" si="10"/>
        <v>381</v>
      </c>
      <c r="B386" s="2">
        <v>5776</v>
      </c>
      <c r="C386" s="2" t="s">
        <v>2892</v>
      </c>
      <c r="D386" s="14" t="s">
        <v>382</v>
      </c>
      <c r="E386" s="14">
        <v>0</v>
      </c>
      <c r="F386" s="14">
        <v>0</v>
      </c>
      <c r="G386" s="14">
        <v>0</v>
      </c>
      <c r="H386" s="16">
        <v>0</v>
      </c>
      <c r="I386" s="16">
        <v>0</v>
      </c>
      <c r="J386" s="3" t="s">
        <v>5011</v>
      </c>
      <c r="K386" s="16">
        <v>0</v>
      </c>
      <c r="L386" s="16">
        <v>0</v>
      </c>
      <c r="M386" s="16">
        <v>0</v>
      </c>
    </row>
    <row r="387" spans="1:13" x14ac:dyDescent="0.25">
      <c r="A387" s="2">
        <f t="shared" si="10"/>
        <v>382</v>
      </c>
      <c r="B387" s="2">
        <v>5781</v>
      </c>
      <c r="C387" s="2" t="s">
        <v>2893</v>
      </c>
      <c r="D387" s="14" t="s">
        <v>383</v>
      </c>
      <c r="E387" s="14">
        <v>73.234805800000004</v>
      </c>
      <c r="F387" s="14">
        <v>0</v>
      </c>
      <c r="G387" s="14">
        <v>73.234805800000004</v>
      </c>
      <c r="H387" s="16">
        <v>124.6538729</v>
      </c>
      <c r="I387" s="16">
        <v>41.322349999999993</v>
      </c>
      <c r="J387" s="3" t="s">
        <v>5011</v>
      </c>
      <c r="K387" s="16">
        <v>47794.071623196403</v>
      </c>
      <c r="L387" s="16">
        <v>5102.2810582000002</v>
      </c>
      <c r="M387" s="16">
        <f t="shared" si="11"/>
        <v>40.931588722423086</v>
      </c>
    </row>
    <row r="388" spans="1:13" x14ac:dyDescent="0.25">
      <c r="A388" s="2">
        <f t="shared" si="10"/>
        <v>383</v>
      </c>
      <c r="B388" s="2">
        <v>5795</v>
      </c>
      <c r="C388" s="2" t="s">
        <v>2894</v>
      </c>
      <c r="D388" s="14" t="s">
        <v>384</v>
      </c>
      <c r="E388" s="14">
        <v>0</v>
      </c>
      <c r="F388" s="14">
        <v>0</v>
      </c>
      <c r="G388" s="14">
        <v>0</v>
      </c>
      <c r="H388" s="16">
        <v>0</v>
      </c>
      <c r="I388" s="16">
        <v>0</v>
      </c>
      <c r="J388" s="3" t="s">
        <v>5011</v>
      </c>
      <c r="K388" s="16">
        <v>0</v>
      </c>
      <c r="L388" s="16">
        <v>0</v>
      </c>
      <c r="M388" s="16">
        <v>0</v>
      </c>
    </row>
    <row r="389" spans="1:13" x14ac:dyDescent="0.25">
      <c r="A389" s="2">
        <f t="shared" si="10"/>
        <v>384</v>
      </c>
      <c r="B389" s="2">
        <v>5803</v>
      </c>
      <c r="C389" s="2" t="s">
        <v>2895</v>
      </c>
      <c r="D389" s="14" t="s">
        <v>385</v>
      </c>
      <c r="E389" s="14">
        <v>1.4746576</v>
      </c>
      <c r="F389" s="14">
        <v>0</v>
      </c>
      <c r="G389" s="14">
        <v>1.4746576</v>
      </c>
      <c r="H389" s="16">
        <v>390.69757679999998</v>
      </c>
      <c r="I389" s="16">
        <v>-157.613956</v>
      </c>
      <c r="J389" s="3" t="s">
        <v>5011</v>
      </c>
      <c r="K389" s="16">
        <v>3480.5548430866997</v>
      </c>
      <c r="L389" s="16">
        <v>241.6292938</v>
      </c>
      <c r="M389" s="16">
        <f t="shared" si="11"/>
        <v>0.61845608508519423</v>
      </c>
    </row>
    <row r="390" spans="1:13" x14ac:dyDescent="0.25">
      <c r="A390" s="2">
        <f t="shared" si="10"/>
        <v>385</v>
      </c>
      <c r="B390" s="2">
        <v>5867</v>
      </c>
      <c r="C390" s="2" t="s">
        <v>2896</v>
      </c>
      <c r="D390" s="14" t="s">
        <v>386</v>
      </c>
      <c r="E390" s="14">
        <v>0</v>
      </c>
      <c r="F390" s="14">
        <v>0</v>
      </c>
      <c r="G390" s="14">
        <v>0</v>
      </c>
      <c r="H390" s="16">
        <v>0</v>
      </c>
      <c r="I390" s="16">
        <v>0</v>
      </c>
      <c r="J390" s="3" t="s">
        <v>5011</v>
      </c>
      <c r="K390" s="16">
        <v>0</v>
      </c>
      <c r="L390" s="16">
        <v>0</v>
      </c>
      <c r="M390" s="16">
        <v>0</v>
      </c>
    </row>
    <row r="391" spans="1:13" x14ac:dyDescent="0.25">
      <c r="A391" s="2">
        <f t="shared" si="10"/>
        <v>386</v>
      </c>
      <c r="B391" s="2">
        <v>5873</v>
      </c>
      <c r="C391" s="2" t="s">
        <v>2897</v>
      </c>
      <c r="D391" s="14" t="s">
        <v>387</v>
      </c>
      <c r="E391" s="14">
        <v>2.5275173999999998</v>
      </c>
      <c r="F391" s="14">
        <v>0</v>
      </c>
      <c r="G391" s="14">
        <v>2.5275173999999998</v>
      </c>
      <c r="H391" s="16">
        <v>333.12580199999996</v>
      </c>
      <c r="I391" s="16">
        <v>302.19062159999999</v>
      </c>
      <c r="J391" s="3" t="s">
        <v>5011</v>
      </c>
      <c r="K391" s="16">
        <v>2418.9921260163001</v>
      </c>
      <c r="L391" s="16">
        <v>475.64999180000001</v>
      </c>
      <c r="M391" s="16">
        <f t="shared" ref="M391:M454" si="12">L391/H391</f>
        <v>1.42783893935661</v>
      </c>
    </row>
    <row r="392" spans="1:13" x14ac:dyDescent="0.25">
      <c r="A392" s="2">
        <f t="shared" ref="A392:A455" si="13">A391+1</f>
        <v>387</v>
      </c>
      <c r="B392" s="2">
        <v>5875</v>
      </c>
      <c r="C392" s="2" t="s">
        <v>2898</v>
      </c>
      <c r="D392" s="14" t="s">
        <v>388</v>
      </c>
      <c r="E392" s="14">
        <v>0.14677580000000001</v>
      </c>
      <c r="F392" s="14">
        <v>0</v>
      </c>
      <c r="G392" s="14">
        <v>0.14677580000000001</v>
      </c>
      <c r="H392" s="16">
        <v>30.813459399999999</v>
      </c>
      <c r="I392" s="16">
        <v>30.813459399999999</v>
      </c>
      <c r="J392" s="3" t="s">
        <v>5011</v>
      </c>
      <c r="K392" s="16">
        <v>218.22374901519999</v>
      </c>
      <c r="L392" s="16">
        <v>40.9547496</v>
      </c>
      <c r="M392" s="16">
        <f t="shared" si="12"/>
        <v>1.329118846032588</v>
      </c>
    </row>
    <row r="393" spans="1:13" x14ac:dyDescent="0.25">
      <c r="A393" s="2">
        <f t="shared" si="13"/>
        <v>388</v>
      </c>
      <c r="B393" s="2">
        <v>5882</v>
      </c>
      <c r="C393" s="2" t="s">
        <v>2899</v>
      </c>
      <c r="D393" s="14" t="s">
        <v>389</v>
      </c>
      <c r="E393" s="14">
        <v>1.1921890999999998</v>
      </c>
      <c r="F393" s="14">
        <v>0</v>
      </c>
      <c r="G393" s="14">
        <v>1.1921890999999998</v>
      </c>
      <c r="H393" s="16">
        <v>171.5436752</v>
      </c>
      <c r="I393" s="16">
        <v>68.952366999999995</v>
      </c>
      <c r="J393" s="3" t="s">
        <v>5011</v>
      </c>
      <c r="K393" s="16">
        <v>1287.6642989937</v>
      </c>
      <c r="L393" s="16">
        <v>178.65199190000001</v>
      </c>
      <c r="M393" s="16">
        <f t="shared" si="12"/>
        <v>1.0414373581055236</v>
      </c>
    </row>
    <row r="394" spans="1:13" x14ac:dyDescent="0.25">
      <c r="A394" s="2">
        <f t="shared" si="13"/>
        <v>389</v>
      </c>
      <c r="B394" s="2">
        <v>5889</v>
      </c>
      <c r="C394" s="2" t="s">
        <v>2900</v>
      </c>
      <c r="D394" s="14" t="s">
        <v>390</v>
      </c>
      <c r="E394" s="14">
        <v>0.24345550000000002</v>
      </c>
      <c r="F394" s="14">
        <v>0</v>
      </c>
      <c r="G394" s="14">
        <v>0.24345550000000002</v>
      </c>
      <c r="H394" s="16">
        <v>19.769011499999998</v>
      </c>
      <c r="I394" s="16">
        <v>19.769011499999998</v>
      </c>
      <c r="J394" s="3" t="s">
        <v>5011</v>
      </c>
      <c r="K394" s="16">
        <v>246.03568505979999</v>
      </c>
      <c r="L394" s="16">
        <v>39.394420499999995</v>
      </c>
      <c r="M394" s="16">
        <f t="shared" si="12"/>
        <v>1.9927359797428414</v>
      </c>
    </row>
    <row r="395" spans="1:13" x14ac:dyDescent="0.25">
      <c r="A395" s="2">
        <f t="shared" si="13"/>
        <v>390</v>
      </c>
      <c r="B395" s="2">
        <v>5957</v>
      </c>
      <c r="C395" s="2" t="s">
        <v>2901</v>
      </c>
      <c r="D395" s="14" t="s">
        <v>391</v>
      </c>
      <c r="E395" s="14">
        <v>0.7381099000000001</v>
      </c>
      <c r="F395" s="14">
        <v>0</v>
      </c>
      <c r="G395" s="14">
        <v>0.7381099000000001</v>
      </c>
      <c r="H395" s="16">
        <v>118.3126757</v>
      </c>
      <c r="I395" s="16">
        <v>97.203491499999998</v>
      </c>
      <c r="J395" s="3" t="s">
        <v>5011</v>
      </c>
      <c r="K395" s="16">
        <v>751.77992436240015</v>
      </c>
      <c r="L395" s="16">
        <v>144.60368919999999</v>
      </c>
      <c r="M395" s="16">
        <f t="shared" si="12"/>
        <v>1.2222163715294962</v>
      </c>
    </row>
    <row r="396" spans="1:13" x14ac:dyDescent="0.25">
      <c r="A396" s="2">
        <f t="shared" si="13"/>
        <v>391</v>
      </c>
      <c r="B396" s="2">
        <v>5958</v>
      </c>
      <c r="C396" s="2" t="s">
        <v>2902</v>
      </c>
      <c r="D396" s="14" t="s">
        <v>392</v>
      </c>
      <c r="E396" s="14">
        <v>0</v>
      </c>
      <c r="F396" s="14">
        <v>0</v>
      </c>
      <c r="G396" s="14">
        <v>0</v>
      </c>
      <c r="H396" s="16">
        <v>0</v>
      </c>
      <c r="I396" s="16">
        <v>0</v>
      </c>
      <c r="J396" s="3" t="s">
        <v>5011</v>
      </c>
      <c r="K396" s="16">
        <v>0</v>
      </c>
      <c r="L396" s="16">
        <v>0</v>
      </c>
      <c r="M396" s="16">
        <v>0</v>
      </c>
    </row>
    <row r="397" spans="1:13" x14ac:dyDescent="0.25">
      <c r="A397" s="2">
        <f t="shared" si="13"/>
        <v>392</v>
      </c>
      <c r="B397" s="2">
        <v>5962</v>
      </c>
      <c r="C397" s="2" t="s">
        <v>2903</v>
      </c>
      <c r="D397" s="14" t="s">
        <v>393</v>
      </c>
      <c r="E397" s="14">
        <v>0</v>
      </c>
      <c r="F397" s="14">
        <v>0</v>
      </c>
      <c r="G397" s="14">
        <v>0</v>
      </c>
      <c r="H397" s="16">
        <v>0</v>
      </c>
      <c r="I397" s="16">
        <v>0</v>
      </c>
      <c r="J397" s="3" t="s">
        <v>5011</v>
      </c>
      <c r="K397" s="16">
        <v>0</v>
      </c>
      <c r="L397" s="16">
        <v>0</v>
      </c>
      <c r="M397" s="16">
        <v>0</v>
      </c>
    </row>
    <row r="398" spans="1:13" x14ac:dyDescent="0.25">
      <c r="A398" s="2">
        <f t="shared" si="13"/>
        <v>393</v>
      </c>
      <c r="B398" s="2">
        <v>5975</v>
      </c>
      <c r="C398" s="2" t="s">
        <v>2904</v>
      </c>
      <c r="D398" s="14" t="s">
        <v>394</v>
      </c>
      <c r="E398" s="14">
        <v>2.6465467</v>
      </c>
      <c r="F398" s="14">
        <v>0</v>
      </c>
      <c r="G398" s="14">
        <v>2.6465467</v>
      </c>
      <c r="H398" s="16">
        <v>40.322984900000002</v>
      </c>
      <c r="I398" s="16">
        <v>25.597705300000001</v>
      </c>
      <c r="J398" s="3" t="s">
        <v>5011</v>
      </c>
      <c r="K398" s="16">
        <v>2286.6844223003</v>
      </c>
      <c r="L398" s="16">
        <v>248.98406260000002</v>
      </c>
      <c r="M398" s="16">
        <f t="shared" si="12"/>
        <v>6.1747428474720882</v>
      </c>
    </row>
    <row r="399" spans="1:13" x14ac:dyDescent="0.25">
      <c r="A399" s="2">
        <f t="shared" si="13"/>
        <v>394</v>
      </c>
      <c r="B399" s="2">
        <v>5990</v>
      </c>
      <c r="C399" s="2" t="s">
        <v>2905</v>
      </c>
      <c r="D399" s="14" t="s">
        <v>395</v>
      </c>
      <c r="E399" s="14">
        <v>0</v>
      </c>
      <c r="F399" s="14">
        <v>0</v>
      </c>
      <c r="G399" s="14">
        <v>0</v>
      </c>
      <c r="H399" s="16">
        <v>0</v>
      </c>
      <c r="I399" s="16">
        <v>0</v>
      </c>
      <c r="J399" s="3" t="s">
        <v>5011</v>
      </c>
      <c r="K399" s="16">
        <v>0</v>
      </c>
      <c r="L399" s="16">
        <v>0</v>
      </c>
      <c r="M399" s="16">
        <v>0</v>
      </c>
    </row>
    <row r="400" spans="1:13" x14ac:dyDescent="0.25">
      <c r="A400" s="2">
        <f t="shared" si="13"/>
        <v>395</v>
      </c>
      <c r="B400" s="2">
        <v>6083</v>
      </c>
      <c r="C400" s="2" t="s">
        <v>2906</v>
      </c>
      <c r="D400" s="14" t="s">
        <v>396</v>
      </c>
      <c r="E400" s="14">
        <v>0</v>
      </c>
      <c r="F400" s="14">
        <v>0</v>
      </c>
      <c r="G400" s="14">
        <v>0</v>
      </c>
      <c r="H400" s="16">
        <v>0</v>
      </c>
      <c r="I400" s="16">
        <v>0</v>
      </c>
      <c r="J400" s="3" t="s">
        <v>5011</v>
      </c>
      <c r="K400" s="16">
        <v>0</v>
      </c>
      <c r="L400" s="16">
        <v>0</v>
      </c>
      <c r="M400" s="16">
        <v>0</v>
      </c>
    </row>
    <row r="401" spans="1:13" x14ac:dyDescent="0.25">
      <c r="A401" s="2">
        <f t="shared" si="13"/>
        <v>396</v>
      </c>
      <c r="B401" s="2">
        <v>6085</v>
      </c>
      <c r="C401" s="2" t="s">
        <v>2907</v>
      </c>
      <c r="D401" s="14" t="s">
        <v>397</v>
      </c>
      <c r="E401" s="14">
        <v>11.9742625</v>
      </c>
      <c r="F401" s="14">
        <v>0</v>
      </c>
      <c r="G401" s="14">
        <v>11.9742625</v>
      </c>
      <c r="H401" s="16">
        <v>627.64661899999999</v>
      </c>
      <c r="I401" s="16">
        <v>339.54945900000001</v>
      </c>
      <c r="J401" s="3" t="s">
        <v>5011</v>
      </c>
      <c r="K401" s="16">
        <v>11042.467633228804</v>
      </c>
      <c r="L401" s="16">
        <v>1290.5269541</v>
      </c>
      <c r="M401" s="16">
        <f t="shared" si="12"/>
        <v>2.0561362318116783</v>
      </c>
    </row>
    <row r="402" spans="1:13" x14ac:dyDescent="0.25">
      <c r="A402" s="2">
        <f t="shared" si="13"/>
        <v>397</v>
      </c>
      <c r="B402" s="2">
        <v>6086</v>
      </c>
      <c r="C402" s="2" t="s">
        <v>2908</v>
      </c>
      <c r="D402" s="14" t="s">
        <v>398</v>
      </c>
      <c r="E402" s="14">
        <v>0</v>
      </c>
      <c r="F402" s="14">
        <v>0</v>
      </c>
      <c r="G402" s="14">
        <v>0</v>
      </c>
      <c r="H402" s="16">
        <v>0</v>
      </c>
      <c r="I402" s="16">
        <v>0</v>
      </c>
      <c r="J402" s="3" t="s">
        <v>5011</v>
      </c>
      <c r="K402" s="16">
        <v>0</v>
      </c>
      <c r="L402" s="16">
        <v>0</v>
      </c>
      <c r="M402" s="16">
        <v>0</v>
      </c>
    </row>
    <row r="403" spans="1:13" x14ac:dyDescent="0.25">
      <c r="A403" s="2">
        <f t="shared" si="13"/>
        <v>398</v>
      </c>
      <c r="B403" s="2">
        <v>6088</v>
      </c>
      <c r="C403" s="2" t="s">
        <v>2909</v>
      </c>
      <c r="D403" s="14" t="s">
        <v>399</v>
      </c>
      <c r="E403" s="14">
        <v>0</v>
      </c>
      <c r="F403" s="14">
        <v>0</v>
      </c>
      <c r="G403" s="14">
        <v>0</v>
      </c>
      <c r="H403" s="16">
        <v>0</v>
      </c>
      <c r="I403" s="16">
        <v>0</v>
      </c>
      <c r="J403" s="3" t="s">
        <v>5011</v>
      </c>
      <c r="K403" s="16">
        <v>0</v>
      </c>
      <c r="L403" s="16">
        <v>0</v>
      </c>
      <c r="M403" s="16">
        <v>0</v>
      </c>
    </row>
    <row r="404" spans="1:13" x14ac:dyDescent="0.25">
      <c r="A404" s="2">
        <f t="shared" si="13"/>
        <v>399</v>
      </c>
      <c r="B404" s="2">
        <v>6089</v>
      </c>
      <c r="C404" s="2" t="s">
        <v>2910</v>
      </c>
      <c r="D404" s="14" t="s">
        <v>400</v>
      </c>
      <c r="E404" s="14">
        <v>0</v>
      </c>
      <c r="F404" s="14">
        <v>0</v>
      </c>
      <c r="G404" s="14">
        <v>0</v>
      </c>
      <c r="H404" s="16">
        <v>0</v>
      </c>
      <c r="I404" s="16">
        <v>0</v>
      </c>
      <c r="J404" s="3" t="s">
        <v>5011</v>
      </c>
      <c r="K404" s="16">
        <v>0</v>
      </c>
      <c r="L404" s="16">
        <v>0</v>
      </c>
      <c r="M404" s="16">
        <v>0</v>
      </c>
    </row>
    <row r="405" spans="1:13" x14ac:dyDescent="0.25">
      <c r="A405" s="2">
        <f t="shared" si="13"/>
        <v>400</v>
      </c>
      <c r="B405" s="2">
        <v>6165</v>
      </c>
      <c r="C405" s="2" t="s">
        <v>2911</v>
      </c>
      <c r="D405" s="14" t="s">
        <v>401</v>
      </c>
      <c r="E405" s="14">
        <v>0.15319540000000001</v>
      </c>
      <c r="F405" s="14">
        <v>0</v>
      </c>
      <c r="G405" s="14">
        <v>0.15319540000000001</v>
      </c>
      <c r="H405" s="16">
        <v>18.9340604</v>
      </c>
      <c r="I405" s="16">
        <v>18.1737097</v>
      </c>
      <c r="J405" s="3" t="s">
        <v>5011</v>
      </c>
      <c r="K405" s="16">
        <v>172.6805221159</v>
      </c>
      <c r="L405" s="16">
        <v>29.032700800000001</v>
      </c>
      <c r="M405" s="16">
        <f t="shared" si="12"/>
        <v>1.5333584126519424</v>
      </c>
    </row>
    <row r="406" spans="1:13" x14ac:dyDescent="0.25">
      <c r="A406" s="2">
        <f t="shared" si="13"/>
        <v>401</v>
      </c>
      <c r="B406" s="2">
        <v>6223</v>
      </c>
      <c r="C406" s="2" t="s">
        <v>2912</v>
      </c>
      <c r="D406" s="14" t="s">
        <v>402</v>
      </c>
      <c r="E406" s="14">
        <v>0.13133509999999998</v>
      </c>
      <c r="F406" s="14">
        <v>0</v>
      </c>
      <c r="G406" s="14">
        <v>0.13133509999999998</v>
      </c>
      <c r="H406" s="16">
        <v>16.765165400000001</v>
      </c>
      <c r="I406" s="16">
        <v>14.415165400000001</v>
      </c>
      <c r="J406" s="3" t="s">
        <v>5011</v>
      </c>
      <c r="K406" s="16">
        <v>204.73634900210004</v>
      </c>
      <c r="L406" s="16">
        <v>30.256603699999999</v>
      </c>
      <c r="M406" s="16">
        <f t="shared" si="12"/>
        <v>1.8047304024808486</v>
      </c>
    </row>
    <row r="407" spans="1:13" x14ac:dyDescent="0.25">
      <c r="A407" s="2">
        <f t="shared" si="13"/>
        <v>402</v>
      </c>
      <c r="B407" s="2">
        <v>6233</v>
      </c>
      <c r="C407" s="2" t="s">
        <v>2913</v>
      </c>
      <c r="D407" s="14" t="s">
        <v>403</v>
      </c>
      <c r="E407" s="14">
        <v>0.10192089999999998</v>
      </c>
      <c r="F407" s="14">
        <v>0</v>
      </c>
      <c r="G407" s="14">
        <v>0.10192089999999998</v>
      </c>
      <c r="H407" s="16">
        <v>7.2696364999999998</v>
      </c>
      <c r="I407" s="16">
        <v>3.5775540000000001</v>
      </c>
      <c r="J407" s="3" t="s">
        <v>5011</v>
      </c>
      <c r="K407" s="16">
        <v>132.48940815660001</v>
      </c>
      <c r="L407" s="16">
        <v>17.366792799999999</v>
      </c>
      <c r="M407" s="16">
        <f t="shared" si="12"/>
        <v>2.388949268646376</v>
      </c>
    </row>
    <row r="408" spans="1:13" x14ac:dyDescent="0.25">
      <c r="A408" s="2">
        <f t="shared" si="13"/>
        <v>403</v>
      </c>
      <c r="B408" s="2">
        <v>6270</v>
      </c>
      <c r="C408" s="2" t="s">
        <v>2914</v>
      </c>
      <c r="D408" s="14" t="s">
        <v>404</v>
      </c>
      <c r="E408" s="14">
        <v>1.6301102999999997</v>
      </c>
      <c r="F408" s="14">
        <v>0</v>
      </c>
      <c r="G408" s="14">
        <v>1.6301102999999997</v>
      </c>
      <c r="H408" s="16">
        <v>32.813360499999995</v>
      </c>
      <c r="I408" s="16">
        <v>31.253358499999997</v>
      </c>
      <c r="J408" s="3" t="s">
        <v>5011</v>
      </c>
      <c r="K408" s="16">
        <v>1477.0836514629002</v>
      </c>
      <c r="L408" s="16">
        <v>173.09023219999997</v>
      </c>
      <c r="M408" s="16">
        <f t="shared" si="12"/>
        <v>5.2749925506715476</v>
      </c>
    </row>
    <row r="409" spans="1:13" x14ac:dyDescent="0.25">
      <c r="A409" s="2">
        <f t="shared" si="13"/>
        <v>404</v>
      </c>
      <c r="B409" s="2">
        <v>6336</v>
      </c>
      <c r="C409" s="2" t="s">
        <v>2915</v>
      </c>
      <c r="D409" s="14" t="s">
        <v>405</v>
      </c>
      <c r="E409" s="14">
        <v>1.8600000000000001E-5</v>
      </c>
      <c r="F409" s="14">
        <v>0</v>
      </c>
      <c r="G409" s="14">
        <v>1.8600000000000001E-5</v>
      </c>
      <c r="H409" s="16">
        <v>2.5198739999999997</v>
      </c>
      <c r="I409" s="16">
        <v>2.5198739999999997</v>
      </c>
      <c r="J409" s="3" t="s">
        <v>5011</v>
      </c>
      <c r="K409" s="16">
        <v>5.6704777664000012</v>
      </c>
      <c r="L409" s="16">
        <v>2.6606176000000001</v>
      </c>
      <c r="M409" s="16">
        <f t="shared" si="12"/>
        <v>1.0558534275920146</v>
      </c>
    </row>
    <row r="410" spans="1:13" x14ac:dyDescent="0.25">
      <c r="A410" s="2">
        <f t="shared" si="13"/>
        <v>405</v>
      </c>
      <c r="B410" s="2">
        <v>6353</v>
      </c>
      <c r="C410" s="2" t="s">
        <v>2916</v>
      </c>
      <c r="D410" s="14" t="s">
        <v>406</v>
      </c>
      <c r="E410" s="14">
        <v>0.33238360000000006</v>
      </c>
      <c r="F410" s="14">
        <v>0</v>
      </c>
      <c r="G410" s="14">
        <v>0.33238360000000006</v>
      </c>
      <c r="H410" s="16">
        <v>10.900067</v>
      </c>
      <c r="I410" s="16">
        <v>9.3894554999999986</v>
      </c>
      <c r="J410" s="3" t="s">
        <v>5011</v>
      </c>
      <c r="K410" s="16">
        <v>239.83747546450002</v>
      </c>
      <c r="L410" s="16">
        <v>32.897133500000002</v>
      </c>
      <c r="M410" s="16">
        <f t="shared" si="12"/>
        <v>3.018067090780268</v>
      </c>
    </row>
    <row r="411" spans="1:13" x14ac:dyDescent="0.25">
      <c r="A411" s="2">
        <f t="shared" si="13"/>
        <v>406</v>
      </c>
      <c r="B411" s="2">
        <v>6396</v>
      </c>
      <c r="C411" s="2" t="s">
        <v>2917</v>
      </c>
      <c r="D411" s="14" t="s">
        <v>407</v>
      </c>
      <c r="E411" s="14">
        <v>0.130022</v>
      </c>
      <c r="F411" s="14">
        <v>0</v>
      </c>
      <c r="G411" s="14">
        <v>0.130022</v>
      </c>
      <c r="H411" s="16">
        <v>20.158072300000001</v>
      </c>
      <c r="I411" s="16">
        <v>17.5062599</v>
      </c>
      <c r="J411" s="3" t="s">
        <v>5011</v>
      </c>
      <c r="K411" s="16">
        <v>135.88874915619999</v>
      </c>
      <c r="L411" s="16">
        <v>26.712002699999999</v>
      </c>
      <c r="M411" s="16">
        <f t="shared" si="12"/>
        <v>1.3251268426098461</v>
      </c>
    </row>
    <row r="412" spans="1:13" x14ac:dyDescent="0.25">
      <c r="A412" s="2">
        <f t="shared" si="13"/>
        <v>407</v>
      </c>
      <c r="B412" s="2">
        <v>6575</v>
      </c>
      <c r="C412" s="2" t="s">
        <v>2918</v>
      </c>
      <c r="D412" s="14" t="s">
        <v>408</v>
      </c>
      <c r="E412" s="14">
        <v>0</v>
      </c>
      <c r="F412" s="14">
        <v>0</v>
      </c>
      <c r="G412" s="14">
        <v>0</v>
      </c>
      <c r="H412" s="16">
        <v>0</v>
      </c>
      <c r="I412" s="16">
        <v>0</v>
      </c>
      <c r="J412" s="3" t="s">
        <v>5011</v>
      </c>
      <c r="K412" s="16">
        <v>0</v>
      </c>
      <c r="L412" s="16">
        <v>0</v>
      </c>
      <c r="M412" s="16">
        <v>0</v>
      </c>
    </row>
    <row r="413" spans="1:13" x14ac:dyDescent="0.25">
      <c r="A413" s="2">
        <f t="shared" si="13"/>
        <v>408</v>
      </c>
      <c r="B413" s="2">
        <v>6605</v>
      </c>
      <c r="C413" s="2" t="s">
        <v>2919</v>
      </c>
      <c r="D413" s="14" t="s">
        <v>409</v>
      </c>
      <c r="E413" s="14">
        <v>3.9691400000000002E-2</v>
      </c>
      <c r="F413" s="14">
        <v>0</v>
      </c>
      <c r="G413" s="14">
        <v>3.9691400000000002E-2</v>
      </c>
      <c r="H413" s="16">
        <v>6.2035904000000004</v>
      </c>
      <c r="I413" s="16">
        <v>2.7671894000000008</v>
      </c>
      <c r="J413" s="3" t="s">
        <v>5011</v>
      </c>
      <c r="K413" s="16">
        <v>47.086719501299996</v>
      </c>
      <c r="L413" s="16">
        <v>6.7619381999999995</v>
      </c>
      <c r="M413" s="16">
        <f t="shared" si="12"/>
        <v>1.0900039757621649</v>
      </c>
    </row>
    <row r="414" spans="1:13" x14ac:dyDescent="0.25">
      <c r="A414" s="2">
        <f t="shared" si="13"/>
        <v>409</v>
      </c>
      <c r="B414" s="2">
        <v>6613</v>
      </c>
      <c r="C414" s="2" t="s">
        <v>2920</v>
      </c>
      <c r="D414" s="14" t="s">
        <v>410</v>
      </c>
      <c r="E414" s="14">
        <v>0</v>
      </c>
      <c r="F414" s="14">
        <v>0</v>
      </c>
      <c r="G414" s="14">
        <v>0</v>
      </c>
      <c r="H414" s="16">
        <v>6.4996749999999999</v>
      </c>
      <c r="I414" s="16">
        <v>6.4996749999999999</v>
      </c>
      <c r="J414" s="3" t="s">
        <v>5011</v>
      </c>
      <c r="K414" s="16">
        <v>3.9124675677999998</v>
      </c>
      <c r="L414" s="16">
        <v>6.7532952000000002</v>
      </c>
      <c r="M414" s="16">
        <f t="shared" si="12"/>
        <v>1.0390204433298589</v>
      </c>
    </row>
    <row r="415" spans="1:13" x14ac:dyDescent="0.25">
      <c r="A415" s="2">
        <f t="shared" si="13"/>
        <v>410</v>
      </c>
      <c r="B415" s="2">
        <v>6623</v>
      </c>
      <c r="C415" s="2" t="s">
        <v>2921</v>
      </c>
      <c r="D415" s="14" t="s">
        <v>411</v>
      </c>
      <c r="E415" s="14">
        <v>2.5237292</v>
      </c>
      <c r="F415" s="14">
        <v>0</v>
      </c>
      <c r="G415" s="14">
        <v>2.5237292</v>
      </c>
      <c r="H415" s="16">
        <v>202.91390289999998</v>
      </c>
      <c r="I415" s="16">
        <v>137.70355279999998</v>
      </c>
      <c r="J415" s="3" t="s">
        <v>5011</v>
      </c>
      <c r="K415" s="16">
        <v>2137.6147929034005</v>
      </c>
      <c r="L415" s="16">
        <v>283.57363040000001</v>
      </c>
      <c r="M415" s="16">
        <f t="shared" si="12"/>
        <v>1.397507151295349</v>
      </c>
    </row>
    <row r="416" spans="1:13" x14ac:dyDescent="0.25">
      <c r="A416" s="2">
        <f t="shared" si="13"/>
        <v>411</v>
      </c>
      <c r="B416" s="2">
        <v>6711</v>
      </c>
      <c r="C416" s="2" t="s">
        <v>2922</v>
      </c>
      <c r="D416" s="14" t="s">
        <v>412</v>
      </c>
      <c r="E416" s="14">
        <v>0</v>
      </c>
      <c r="F416" s="14">
        <v>0</v>
      </c>
      <c r="G416" s="14">
        <v>0</v>
      </c>
      <c r="H416" s="16">
        <v>0</v>
      </c>
      <c r="I416" s="16">
        <v>0</v>
      </c>
      <c r="J416" s="3" t="s">
        <v>5011</v>
      </c>
      <c r="K416" s="16">
        <v>0</v>
      </c>
      <c r="L416" s="16">
        <v>0</v>
      </c>
      <c r="M416" s="16">
        <v>0</v>
      </c>
    </row>
    <row r="417" spans="1:13" x14ac:dyDescent="0.25">
      <c r="A417" s="2">
        <f t="shared" si="13"/>
        <v>412</v>
      </c>
      <c r="B417" s="2">
        <v>6714</v>
      </c>
      <c r="C417" s="2" t="s">
        <v>2923</v>
      </c>
      <c r="D417" s="14" t="s">
        <v>413</v>
      </c>
      <c r="E417" s="14">
        <v>0</v>
      </c>
      <c r="F417" s="14">
        <v>0</v>
      </c>
      <c r="G417" s="14">
        <v>0</v>
      </c>
      <c r="H417" s="16">
        <v>0.99995000000000001</v>
      </c>
      <c r="I417" s="16">
        <v>0.99995000000000001</v>
      </c>
      <c r="J417" s="3" t="s">
        <v>5011</v>
      </c>
      <c r="K417" s="16">
        <v>0.58795318070000002</v>
      </c>
      <c r="L417" s="16">
        <v>1.0287611999999999</v>
      </c>
      <c r="M417" s="16">
        <f t="shared" si="12"/>
        <v>1.0288126406320315</v>
      </c>
    </row>
    <row r="418" spans="1:13" x14ac:dyDescent="0.25">
      <c r="A418" s="2">
        <f t="shared" si="13"/>
        <v>413</v>
      </c>
      <c r="B418" s="2">
        <v>6721</v>
      </c>
      <c r="C418" s="2" t="s">
        <v>2924</v>
      </c>
      <c r="D418" s="14" t="s">
        <v>414</v>
      </c>
      <c r="E418" s="14">
        <v>0</v>
      </c>
      <c r="F418" s="14">
        <v>0</v>
      </c>
      <c r="G418" s="14">
        <v>0</v>
      </c>
      <c r="H418" s="16">
        <v>0</v>
      </c>
      <c r="I418" s="16">
        <v>0</v>
      </c>
      <c r="J418" s="3" t="s">
        <v>5011</v>
      </c>
      <c r="K418" s="16">
        <v>0</v>
      </c>
      <c r="L418" s="16">
        <v>0</v>
      </c>
      <c r="M418" s="16">
        <v>0</v>
      </c>
    </row>
    <row r="419" spans="1:13" x14ac:dyDescent="0.25">
      <c r="A419" s="2">
        <f t="shared" si="13"/>
        <v>414</v>
      </c>
      <c r="B419" s="2">
        <v>6789</v>
      </c>
      <c r="C419" s="2" t="s">
        <v>2925</v>
      </c>
      <c r="D419" s="14" t="s">
        <v>415</v>
      </c>
      <c r="E419" s="14">
        <v>0</v>
      </c>
      <c r="F419" s="14">
        <v>0</v>
      </c>
      <c r="G419" s="14">
        <v>0</v>
      </c>
      <c r="H419" s="16">
        <v>0</v>
      </c>
      <c r="I419" s="16">
        <v>0</v>
      </c>
      <c r="J419" s="3" t="s">
        <v>5011</v>
      </c>
      <c r="K419" s="16">
        <v>0</v>
      </c>
      <c r="L419" s="16">
        <v>0</v>
      </c>
      <c r="M419" s="16">
        <v>0</v>
      </c>
    </row>
    <row r="420" spans="1:13" x14ac:dyDescent="0.25">
      <c r="A420" s="2">
        <f t="shared" si="13"/>
        <v>415</v>
      </c>
      <c r="B420" s="2">
        <v>6948</v>
      </c>
      <c r="C420" s="2" t="s">
        <v>2926</v>
      </c>
      <c r="D420" s="14" t="s">
        <v>416</v>
      </c>
      <c r="E420" s="14">
        <v>0</v>
      </c>
      <c r="F420" s="14">
        <v>0</v>
      </c>
      <c r="G420" s="14">
        <v>0</v>
      </c>
      <c r="H420" s="16">
        <v>0</v>
      </c>
      <c r="I420" s="16">
        <v>0</v>
      </c>
      <c r="J420" s="3" t="s">
        <v>5011</v>
      </c>
      <c r="K420" s="16">
        <v>0</v>
      </c>
      <c r="L420" s="16">
        <v>0</v>
      </c>
      <c r="M420" s="16">
        <v>0</v>
      </c>
    </row>
    <row r="421" spans="1:13" x14ac:dyDescent="0.25">
      <c r="A421" s="2">
        <f t="shared" si="13"/>
        <v>416</v>
      </c>
      <c r="B421" s="2">
        <v>7007</v>
      </c>
      <c r="C421" s="2" t="s">
        <v>2927</v>
      </c>
      <c r="D421" s="14" t="s">
        <v>417</v>
      </c>
      <c r="E421" s="14">
        <v>0</v>
      </c>
      <c r="F421" s="14">
        <v>0</v>
      </c>
      <c r="G421" s="14">
        <v>0</v>
      </c>
      <c r="H421" s="16">
        <v>0</v>
      </c>
      <c r="I421" s="16">
        <v>0</v>
      </c>
      <c r="J421" s="3" t="s">
        <v>5011</v>
      </c>
      <c r="K421" s="16">
        <v>0</v>
      </c>
      <c r="L421" s="16">
        <v>0</v>
      </c>
      <c r="M421" s="16">
        <v>0</v>
      </c>
    </row>
    <row r="422" spans="1:13" x14ac:dyDescent="0.25">
      <c r="A422" s="2">
        <f t="shared" si="13"/>
        <v>417</v>
      </c>
      <c r="B422" s="2">
        <v>7057</v>
      </c>
      <c r="C422" s="2" t="s">
        <v>2928</v>
      </c>
      <c r="D422" s="14" t="s">
        <v>418</v>
      </c>
      <c r="E422" s="14">
        <v>0</v>
      </c>
      <c r="F422" s="14">
        <v>0</v>
      </c>
      <c r="G422" s="14">
        <v>0</v>
      </c>
      <c r="H422" s="16">
        <v>0</v>
      </c>
      <c r="I422" s="16">
        <v>-0.40048459999999997</v>
      </c>
      <c r="J422" s="3" t="s">
        <v>5011</v>
      </c>
      <c r="K422" s="16">
        <v>16.508063284800002</v>
      </c>
      <c r="L422" s="16">
        <v>1.4421338000000001</v>
      </c>
      <c r="M422" s="16">
        <v>0</v>
      </c>
    </row>
    <row r="423" spans="1:13" x14ac:dyDescent="0.25">
      <c r="A423" s="2">
        <f t="shared" si="13"/>
        <v>418</v>
      </c>
      <c r="B423" s="2">
        <v>7098</v>
      </c>
      <c r="C423" s="2" t="s">
        <v>2929</v>
      </c>
      <c r="D423" s="14" t="s">
        <v>419</v>
      </c>
      <c r="E423" s="14">
        <v>0</v>
      </c>
      <c r="F423" s="14">
        <v>0</v>
      </c>
      <c r="G423" s="14">
        <v>0</v>
      </c>
      <c r="H423" s="16">
        <v>0</v>
      </c>
      <c r="I423" s="16">
        <v>0</v>
      </c>
      <c r="J423" s="3" t="s">
        <v>5011</v>
      </c>
      <c r="K423" s="16">
        <v>0</v>
      </c>
      <c r="L423" s="16">
        <v>0</v>
      </c>
      <c r="M423" s="16">
        <v>0</v>
      </c>
    </row>
    <row r="424" spans="1:13" x14ac:dyDescent="0.25">
      <c r="A424" s="2">
        <f t="shared" si="13"/>
        <v>419</v>
      </c>
      <c r="B424" s="2">
        <v>7151</v>
      </c>
      <c r="C424" s="2" t="s">
        <v>2930</v>
      </c>
      <c r="D424" s="14" t="s">
        <v>420</v>
      </c>
      <c r="E424" s="14">
        <v>0</v>
      </c>
      <c r="F424" s="14">
        <v>0</v>
      </c>
      <c r="G424" s="14">
        <v>0</v>
      </c>
      <c r="H424" s="16">
        <v>0</v>
      </c>
      <c r="I424" s="16">
        <v>0</v>
      </c>
      <c r="J424" s="3" t="s">
        <v>5011</v>
      </c>
      <c r="K424" s="16">
        <v>0</v>
      </c>
      <c r="L424" s="16">
        <v>0</v>
      </c>
      <c r="M424" s="16">
        <v>0</v>
      </c>
    </row>
    <row r="425" spans="1:13" x14ac:dyDescent="0.25">
      <c r="A425" s="2">
        <f t="shared" si="13"/>
        <v>420</v>
      </c>
      <c r="B425" s="2">
        <v>7160</v>
      </c>
      <c r="C425" s="2" t="s">
        <v>2931</v>
      </c>
      <c r="D425" s="14" t="s">
        <v>421</v>
      </c>
      <c r="E425" s="14">
        <v>0</v>
      </c>
      <c r="F425" s="14">
        <v>0</v>
      </c>
      <c r="G425" s="14">
        <v>0</v>
      </c>
      <c r="H425" s="16">
        <v>0</v>
      </c>
      <c r="I425" s="16">
        <v>0</v>
      </c>
      <c r="J425" s="3" t="s">
        <v>5011</v>
      </c>
      <c r="K425" s="16">
        <v>0</v>
      </c>
      <c r="L425" s="16">
        <v>0</v>
      </c>
      <c r="M425" s="16">
        <v>0</v>
      </c>
    </row>
    <row r="426" spans="1:13" x14ac:dyDescent="0.25">
      <c r="A426" s="2">
        <f t="shared" si="13"/>
        <v>421</v>
      </c>
      <c r="B426" s="2">
        <v>7188</v>
      </c>
      <c r="C426" s="2" t="s">
        <v>2932</v>
      </c>
      <c r="D426" s="14" t="s">
        <v>422</v>
      </c>
      <c r="E426" s="14">
        <v>0.1661813</v>
      </c>
      <c r="F426" s="14">
        <v>0</v>
      </c>
      <c r="G426" s="14">
        <v>0.1661813</v>
      </c>
      <c r="H426" s="16">
        <v>1.1049452</v>
      </c>
      <c r="I426" s="16">
        <v>1.0049442</v>
      </c>
      <c r="J426" s="3" t="s">
        <v>5011</v>
      </c>
      <c r="K426" s="16">
        <v>141.9768853617</v>
      </c>
      <c r="L426" s="16">
        <v>15.0640456</v>
      </c>
      <c r="M426" s="16">
        <f t="shared" si="12"/>
        <v>13.633296565295728</v>
      </c>
    </row>
    <row r="427" spans="1:13" x14ac:dyDescent="0.25">
      <c r="A427" s="2">
        <f t="shared" si="13"/>
        <v>422</v>
      </c>
      <c r="B427" s="2">
        <v>7214</v>
      </c>
      <c r="C427" s="2" t="s">
        <v>2933</v>
      </c>
      <c r="D427" s="14" t="s">
        <v>423</v>
      </c>
      <c r="E427" s="14">
        <v>1.9300000000000001E-3</v>
      </c>
      <c r="F427" s="14">
        <v>0</v>
      </c>
      <c r="G427" s="14">
        <v>1.9300000000000001E-3</v>
      </c>
      <c r="H427" s="16">
        <v>2.8998550000000001</v>
      </c>
      <c r="I427" s="16">
        <v>2.8998550000000001</v>
      </c>
      <c r="J427" s="3" t="s">
        <v>5011</v>
      </c>
      <c r="K427" s="16">
        <v>6.1793781843</v>
      </c>
      <c r="L427" s="16">
        <v>3.1175159999999997</v>
      </c>
      <c r="M427" s="16">
        <f t="shared" si="12"/>
        <v>1.0750592702048893</v>
      </c>
    </row>
    <row r="428" spans="1:13" x14ac:dyDescent="0.25">
      <c r="A428" s="2">
        <f t="shared" si="13"/>
        <v>423</v>
      </c>
      <c r="B428" s="2">
        <v>7268</v>
      </c>
      <c r="C428" s="2" t="s">
        <v>2934</v>
      </c>
      <c r="D428" s="14" t="s">
        <v>424</v>
      </c>
      <c r="E428" s="14">
        <v>4.4662E-3</v>
      </c>
      <c r="F428" s="14">
        <v>0</v>
      </c>
      <c r="G428" s="14">
        <v>4.4662E-3</v>
      </c>
      <c r="H428" s="16">
        <v>5.8347083999999994</v>
      </c>
      <c r="I428" s="16">
        <v>5.8347083999999994</v>
      </c>
      <c r="J428" s="3" t="s">
        <v>5011</v>
      </c>
      <c r="K428" s="16">
        <v>11.540896139600001</v>
      </c>
      <c r="L428" s="16">
        <v>6.0176316000000005</v>
      </c>
      <c r="M428" s="16">
        <f t="shared" si="12"/>
        <v>1.031350872650294</v>
      </c>
    </row>
    <row r="429" spans="1:13" x14ac:dyDescent="0.25">
      <c r="A429" s="2">
        <f t="shared" si="13"/>
        <v>424</v>
      </c>
      <c r="B429" s="2">
        <v>7319</v>
      </c>
      <c r="C429" s="2" t="s">
        <v>2935</v>
      </c>
      <c r="D429" s="14" t="s">
        <v>425</v>
      </c>
      <c r="E429" s="14">
        <v>7.2732583999999996</v>
      </c>
      <c r="F429" s="14">
        <v>0</v>
      </c>
      <c r="G429" s="14">
        <v>7.2732583999999996</v>
      </c>
      <c r="H429" s="16">
        <v>110.20080779999999</v>
      </c>
      <c r="I429" s="16">
        <v>88.429555499999992</v>
      </c>
      <c r="J429" s="3" t="s">
        <v>5011</v>
      </c>
      <c r="K429" s="16">
        <v>5306.8007433879011</v>
      </c>
      <c r="L429" s="16">
        <v>602.36373630000003</v>
      </c>
      <c r="M429" s="16">
        <f t="shared" si="12"/>
        <v>5.4660555428342334</v>
      </c>
    </row>
    <row r="430" spans="1:13" x14ac:dyDescent="0.25">
      <c r="A430" s="2">
        <f t="shared" si="13"/>
        <v>425</v>
      </c>
      <c r="B430" s="2">
        <v>7434</v>
      </c>
      <c r="C430" s="2" t="s">
        <v>2936</v>
      </c>
      <c r="D430" s="14" t="s">
        <v>426</v>
      </c>
      <c r="E430" s="14">
        <v>1.5356276000000002</v>
      </c>
      <c r="F430" s="14">
        <v>0</v>
      </c>
      <c r="G430" s="14">
        <v>1.5356276000000002</v>
      </c>
      <c r="H430" s="16">
        <v>135.078249</v>
      </c>
      <c r="I430" s="16">
        <v>111.64833940000001</v>
      </c>
      <c r="J430" s="3" t="s">
        <v>5011</v>
      </c>
      <c r="K430" s="16">
        <v>1701.3822003600999</v>
      </c>
      <c r="L430" s="16">
        <v>250.83049879999999</v>
      </c>
      <c r="M430" s="16">
        <f t="shared" si="12"/>
        <v>1.8569273784412172</v>
      </c>
    </row>
    <row r="431" spans="1:13" x14ac:dyDescent="0.25">
      <c r="A431" s="2">
        <f t="shared" si="13"/>
        <v>426</v>
      </c>
      <c r="B431" s="2">
        <v>7466</v>
      </c>
      <c r="C431" s="2" t="s">
        <v>2937</v>
      </c>
      <c r="D431" s="14" t="s">
        <v>427</v>
      </c>
      <c r="E431" s="14">
        <v>0</v>
      </c>
      <c r="F431" s="14">
        <v>0</v>
      </c>
      <c r="G431" s="14">
        <v>0</v>
      </c>
      <c r="H431" s="16">
        <v>0</v>
      </c>
      <c r="I431" s="16">
        <v>0</v>
      </c>
      <c r="J431" s="3" t="s">
        <v>5011</v>
      </c>
      <c r="K431" s="16">
        <v>0</v>
      </c>
      <c r="L431" s="16">
        <v>0</v>
      </c>
      <c r="M431" s="16">
        <v>0</v>
      </c>
    </row>
    <row r="432" spans="1:13" x14ac:dyDescent="0.25">
      <c r="A432" s="2">
        <f t="shared" si="13"/>
        <v>427</v>
      </c>
      <c r="B432" s="2">
        <v>7493</v>
      </c>
      <c r="C432" s="2" t="s">
        <v>2938</v>
      </c>
      <c r="D432" s="14" t="s">
        <v>428</v>
      </c>
      <c r="E432" s="14">
        <v>97.529054200000004</v>
      </c>
      <c r="F432" s="14">
        <v>0</v>
      </c>
      <c r="G432" s="14">
        <v>97.529054200000004</v>
      </c>
      <c r="H432" s="16">
        <v>269.50061949999997</v>
      </c>
      <c r="I432" s="16">
        <v>-4323.4026768000003</v>
      </c>
      <c r="J432" s="3" t="s">
        <v>5011</v>
      </c>
      <c r="K432" s="16">
        <v>65723.719270442409</v>
      </c>
      <c r="L432" s="16">
        <v>5337.6424299999999</v>
      </c>
      <c r="M432" s="16">
        <f t="shared" si="12"/>
        <v>19.805677775074653</v>
      </c>
    </row>
    <row r="433" spans="1:13" x14ac:dyDescent="0.25">
      <c r="A433" s="2">
        <f t="shared" si="13"/>
        <v>428</v>
      </c>
      <c r="B433" s="2">
        <v>7518</v>
      </c>
      <c r="C433" s="2" t="s">
        <v>2939</v>
      </c>
      <c r="D433" s="14" t="s">
        <v>429</v>
      </c>
      <c r="E433" s="14">
        <v>0.29238910000000001</v>
      </c>
      <c r="F433" s="14">
        <v>0</v>
      </c>
      <c r="G433" s="14">
        <v>0.29238910000000001</v>
      </c>
      <c r="H433" s="16">
        <v>48.6618949</v>
      </c>
      <c r="I433" s="16">
        <v>38.333192000000004</v>
      </c>
      <c r="J433" s="3" t="s">
        <v>5011</v>
      </c>
      <c r="K433" s="16">
        <v>454.20867559590005</v>
      </c>
      <c r="L433" s="16">
        <v>71.645855900000001</v>
      </c>
      <c r="M433" s="16">
        <f t="shared" si="12"/>
        <v>1.4723194821581023</v>
      </c>
    </row>
    <row r="434" spans="1:13" x14ac:dyDescent="0.25">
      <c r="A434" s="2">
        <f t="shared" si="13"/>
        <v>429</v>
      </c>
      <c r="B434" s="2">
        <v>7541</v>
      </c>
      <c r="C434" s="2" t="s">
        <v>2940</v>
      </c>
      <c r="D434" s="14" t="s">
        <v>430</v>
      </c>
      <c r="E434" s="14">
        <v>0</v>
      </c>
      <c r="F434" s="14">
        <v>0</v>
      </c>
      <c r="G434" s="14">
        <v>0</v>
      </c>
      <c r="H434" s="16">
        <v>15.0312485</v>
      </c>
      <c r="I434" s="16">
        <v>8.0106481000000009</v>
      </c>
      <c r="J434" s="3" t="s">
        <v>5011</v>
      </c>
      <c r="K434" s="16">
        <v>10.585556065499999</v>
      </c>
      <c r="L434" s="16">
        <v>8.1544179000000003</v>
      </c>
      <c r="M434" s="16">
        <f t="shared" si="12"/>
        <v>0.54249771068584229</v>
      </c>
    </row>
    <row r="435" spans="1:13" x14ac:dyDescent="0.25">
      <c r="A435" s="2">
        <f t="shared" si="13"/>
        <v>430</v>
      </c>
      <c r="B435" s="2">
        <v>7584</v>
      </c>
      <c r="C435" s="2" t="s">
        <v>2941</v>
      </c>
      <c r="D435" s="14" t="s">
        <v>431</v>
      </c>
      <c r="E435" s="14">
        <v>0.94787040000000011</v>
      </c>
      <c r="F435" s="14">
        <v>0</v>
      </c>
      <c r="G435" s="14">
        <v>0.94787040000000011</v>
      </c>
      <c r="H435" s="16">
        <v>9.7745113999999997</v>
      </c>
      <c r="I435" s="16">
        <v>9.5154338999999997</v>
      </c>
      <c r="J435" s="3" t="s">
        <v>5011</v>
      </c>
      <c r="K435" s="16">
        <v>867.20158516430001</v>
      </c>
      <c r="L435" s="16">
        <v>96.153209700000005</v>
      </c>
      <c r="M435" s="16">
        <f t="shared" si="12"/>
        <v>9.8371371995126022</v>
      </c>
    </row>
    <row r="436" spans="1:13" x14ac:dyDescent="0.25">
      <c r="A436" s="2">
        <f t="shared" si="13"/>
        <v>431</v>
      </c>
      <c r="B436" s="2">
        <v>7632</v>
      </c>
      <c r="C436" s="2" t="s">
        <v>2942</v>
      </c>
      <c r="D436" s="14" t="s">
        <v>432</v>
      </c>
      <c r="E436" s="14">
        <v>6.7706799999999998E-2</v>
      </c>
      <c r="F436" s="14">
        <v>0</v>
      </c>
      <c r="G436" s="14">
        <v>6.7706799999999998E-2</v>
      </c>
      <c r="H436" s="16">
        <v>2.8998567999999998</v>
      </c>
      <c r="I436" s="16">
        <v>2.8998567999999998</v>
      </c>
      <c r="J436" s="3" t="s">
        <v>5011</v>
      </c>
      <c r="K436" s="16">
        <v>85.430427560400005</v>
      </c>
      <c r="L436" s="16">
        <v>10.852985</v>
      </c>
      <c r="M436" s="16">
        <f t="shared" si="12"/>
        <v>3.7425934273720003</v>
      </c>
    </row>
    <row r="437" spans="1:13" x14ac:dyDescent="0.25">
      <c r="A437" s="2">
        <f t="shared" si="13"/>
        <v>432</v>
      </c>
      <c r="B437" s="2">
        <v>7685</v>
      </c>
      <c r="C437" s="2" t="s">
        <v>2943</v>
      </c>
      <c r="D437" s="14" t="s">
        <v>433</v>
      </c>
      <c r="E437" s="14">
        <v>0</v>
      </c>
      <c r="F437" s="14">
        <v>0</v>
      </c>
      <c r="G437" s="14">
        <v>0</v>
      </c>
      <c r="H437" s="16">
        <v>0</v>
      </c>
      <c r="I437" s="16">
        <v>0</v>
      </c>
      <c r="J437" s="3" t="s">
        <v>5011</v>
      </c>
      <c r="K437" s="16">
        <v>0</v>
      </c>
      <c r="L437" s="16">
        <v>0</v>
      </c>
      <c r="M437" s="16">
        <v>0</v>
      </c>
    </row>
    <row r="438" spans="1:13" x14ac:dyDescent="0.25">
      <c r="A438" s="2">
        <f t="shared" si="13"/>
        <v>433</v>
      </c>
      <c r="B438" s="2">
        <v>7743</v>
      </c>
      <c r="C438" s="2" t="s">
        <v>2944</v>
      </c>
      <c r="D438" s="14" t="s">
        <v>434</v>
      </c>
      <c r="E438" s="14">
        <v>2.3235554</v>
      </c>
      <c r="F438" s="14">
        <v>0</v>
      </c>
      <c r="G438" s="14">
        <v>2.3235554</v>
      </c>
      <c r="H438" s="16">
        <v>291.22542980000003</v>
      </c>
      <c r="I438" s="16">
        <v>228.6812553</v>
      </c>
      <c r="J438" s="3" t="s">
        <v>5011</v>
      </c>
      <c r="K438" s="16">
        <v>2621.2064863626983</v>
      </c>
      <c r="L438" s="16">
        <v>408.42320990000002</v>
      </c>
      <c r="M438" s="16">
        <f t="shared" si="12"/>
        <v>1.4024297609603871</v>
      </c>
    </row>
    <row r="439" spans="1:13" x14ac:dyDescent="0.25">
      <c r="A439" s="2">
        <f t="shared" si="13"/>
        <v>434</v>
      </c>
      <c r="B439" s="2">
        <v>7818</v>
      </c>
      <c r="C439" s="2" t="s">
        <v>2945</v>
      </c>
      <c r="D439" s="14" t="s">
        <v>435</v>
      </c>
      <c r="E439" s="14">
        <v>0</v>
      </c>
      <c r="F439" s="14">
        <v>0</v>
      </c>
      <c r="G439" s="14">
        <v>0</v>
      </c>
      <c r="H439" s="16">
        <v>0</v>
      </c>
      <c r="I439" s="16">
        <v>0</v>
      </c>
      <c r="J439" s="3" t="s">
        <v>5011</v>
      </c>
      <c r="K439" s="16">
        <v>0</v>
      </c>
      <c r="L439" s="16">
        <v>0</v>
      </c>
      <c r="M439" s="16">
        <v>0</v>
      </c>
    </row>
    <row r="440" spans="1:13" x14ac:dyDescent="0.25">
      <c r="A440" s="2">
        <f t="shared" si="13"/>
        <v>435</v>
      </c>
      <c r="B440" s="2">
        <v>7839</v>
      </c>
      <c r="C440" s="2" t="s">
        <v>2946</v>
      </c>
      <c r="D440" s="14" t="s">
        <v>436</v>
      </c>
      <c r="E440" s="14">
        <v>0.10507559999999999</v>
      </c>
      <c r="F440" s="14">
        <v>0</v>
      </c>
      <c r="G440" s="14">
        <v>0.10507559999999999</v>
      </c>
      <c r="H440" s="16">
        <v>27.770932000000002</v>
      </c>
      <c r="I440" s="16">
        <v>26.577144200000003</v>
      </c>
      <c r="J440" s="3" t="s">
        <v>5011</v>
      </c>
      <c r="K440" s="16">
        <v>181.65333280569996</v>
      </c>
      <c r="L440" s="16">
        <v>39.386178700000002</v>
      </c>
      <c r="M440" s="16">
        <f t="shared" si="12"/>
        <v>1.4182519585586828</v>
      </c>
    </row>
    <row r="441" spans="1:13" x14ac:dyDescent="0.25">
      <c r="A441" s="2">
        <f t="shared" si="13"/>
        <v>436</v>
      </c>
      <c r="B441" s="2">
        <v>7858</v>
      </c>
      <c r="C441" s="2" t="s">
        <v>2947</v>
      </c>
      <c r="D441" s="14" t="s">
        <v>437</v>
      </c>
      <c r="E441" s="14">
        <v>0.26020140000000003</v>
      </c>
      <c r="F441" s="14">
        <v>0</v>
      </c>
      <c r="G441" s="14">
        <v>0.26020140000000003</v>
      </c>
      <c r="H441" s="16">
        <v>37.377422599999996</v>
      </c>
      <c r="I441" s="16">
        <v>17.2621559</v>
      </c>
      <c r="J441" s="3" t="s">
        <v>5011</v>
      </c>
      <c r="K441" s="16">
        <v>382.81880766060004</v>
      </c>
      <c r="L441" s="16">
        <v>47.509402100000003</v>
      </c>
      <c r="M441" s="16">
        <f t="shared" si="12"/>
        <v>1.2710721819540336</v>
      </c>
    </row>
    <row r="442" spans="1:13" x14ac:dyDescent="0.25">
      <c r="A442" s="2">
        <f t="shared" si="13"/>
        <v>437</v>
      </c>
      <c r="B442" s="2">
        <v>7893</v>
      </c>
      <c r="C442" s="2" t="s">
        <v>2948</v>
      </c>
      <c r="D442" s="14" t="s">
        <v>438</v>
      </c>
      <c r="E442" s="14">
        <v>0</v>
      </c>
      <c r="F442" s="14">
        <v>0</v>
      </c>
      <c r="G442" s="14">
        <v>0</v>
      </c>
      <c r="H442" s="16">
        <v>0</v>
      </c>
      <c r="I442" s="16">
        <v>0</v>
      </c>
      <c r="J442" s="3" t="s">
        <v>5011</v>
      </c>
      <c r="K442" s="16">
        <v>0</v>
      </c>
      <c r="L442" s="16">
        <v>0</v>
      </c>
      <c r="M442" s="16">
        <v>0</v>
      </c>
    </row>
    <row r="443" spans="1:13" x14ac:dyDescent="0.25">
      <c r="A443" s="2">
        <f t="shared" si="13"/>
        <v>438</v>
      </c>
      <c r="B443" s="2">
        <v>7895</v>
      </c>
      <c r="C443" s="2" t="s">
        <v>2949</v>
      </c>
      <c r="D443" s="14" t="s">
        <v>439</v>
      </c>
      <c r="E443" s="14">
        <v>0.22529089999999999</v>
      </c>
      <c r="F443" s="14">
        <v>0</v>
      </c>
      <c r="G443" s="14">
        <v>0.22529089999999999</v>
      </c>
      <c r="H443" s="16">
        <v>32.678372400000001</v>
      </c>
      <c r="I443" s="16">
        <v>32.627501000000002</v>
      </c>
      <c r="J443" s="3" t="s">
        <v>5011</v>
      </c>
      <c r="K443" s="16">
        <v>330.48661264470002</v>
      </c>
      <c r="L443" s="16">
        <v>53.669052499999999</v>
      </c>
      <c r="M443" s="16">
        <f t="shared" si="12"/>
        <v>1.6423416638706276</v>
      </c>
    </row>
    <row r="444" spans="1:13" x14ac:dyDescent="0.25">
      <c r="A444" s="2">
        <f t="shared" si="13"/>
        <v>439</v>
      </c>
      <c r="B444" s="2">
        <v>8061</v>
      </c>
      <c r="C444" s="2" t="s">
        <v>2950</v>
      </c>
      <c r="D444" s="14" t="s">
        <v>440</v>
      </c>
      <c r="E444" s="14">
        <v>0</v>
      </c>
      <c r="F444" s="14">
        <v>0</v>
      </c>
      <c r="G444" s="14">
        <v>0</v>
      </c>
      <c r="H444" s="16">
        <v>0</v>
      </c>
      <c r="I444" s="16">
        <v>0</v>
      </c>
      <c r="J444" s="3" t="s">
        <v>5011</v>
      </c>
      <c r="K444" s="16">
        <v>0</v>
      </c>
      <c r="L444" s="16">
        <v>0</v>
      </c>
      <c r="M444" s="16">
        <v>0</v>
      </c>
    </row>
    <row r="445" spans="1:13" x14ac:dyDescent="0.25">
      <c r="A445" s="2">
        <f t="shared" si="13"/>
        <v>440</v>
      </c>
      <c r="B445" s="2">
        <v>8166</v>
      </c>
      <c r="C445" s="2" t="s">
        <v>2951</v>
      </c>
      <c r="D445" s="14" t="s">
        <v>441</v>
      </c>
      <c r="E445" s="14">
        <v>0.73497060000000003</v>
      </c>
      <c r="F445" s="14">
        <v>0</v>
      </c>
      <c r="G445" s="14">
        <v>0.73497060000000003</v>
      </c>
      <c r="H445" s="16">
        <v>87.561268800000008</v>
      </c>
      <c r="I445" s="16">
        <v>75.056278800000001</v>
      </c>
      <c r="J445" s="3" t="s">
        <v>5011</v>
      </c>
      <c r="K445" s="16">
        <v>782.43441216840006</v>
      </c>
      <c r="L445" s="16">
        <v>132.8783674</v>
      </c>
      <c r="M445" s="16">
        <f t="shared" si="12"/>
        <v>1.5175473039741971</v>
      </c>
    </row>
    <row r="446" spans="1:13" x14ac:dyDescent="0.25">
      <c r="A446" s="2">
        <f t="shared" si="13"/>
        <v>441</v>
      </c>
      <c r="B446" s="2">
        <v>8181</v>
      </c>
      <c r="C446" s="2" t="s">
        <v>2952</v>
      </c>
      <c r="D446" s="14" t="s">
        <v>442</v>
      </c>
      <c r="E446" s="14">
        <v>8.2410000000000014E-4</v>
      </c>
      <c r="F446" s="14">
        <v>0</v>
      </c>
      <c r="G446" s="14">
        <v>8.2410000000000014E-4</v>
      </c>
      <c r="H446" s="16">
        <v>8.6510000000000007E-3</v>
      </c>
      <c r="I446" s="16">
        <v>8.6510000000000007E-3</v>
      </c>
      <c r="J446" s="3" t="s">
        <v>5011</v>
      </c>
      <c r="K446" s="16">
        <v>12.510956888600003</v>
      </c>
      <c r="L446" s="16">
        <v>1.2407679</v>
      </c>
      <c r="M446" s="16">
        <f t="shared" si="12"/>
        <v>143.42479482140791</v>
      </c>
    </row>
    <row r="447" spans="1:13" x14ac:dyDescent="0.25">
      <c r="A447" s="2">
        <f t="shared" si="13"/>
        <v>442</v>
      </c>
      <c r="B447" s="2">
        <v>8229</v>
      </c>
      <c r="C447" s="2" t="s">
        <v>2953</v>
      </c>
      <c r="D447" s="14" t="s">
        <v>443</v>
      </c>
      <c r="E447" s="14">
        <v>0.53278360000000002</v>
      </c>
      <c r="F447" s="14">
        <v>0</v>
      </c>
      <c r="G447" s="14">
        <v>0.53278360000000002</v>
      </c>
      <c r="H447" s="16">
        <v>0.99995000000000001</v>
      </c>
      <c r="I447" s="16">
        <v>-5.0001100000000003</v>
      </c>
      <c r="J447" s="3" t="s">
        <v>5011</v>
      </c>
      <c r="K447" s="16">
        <v>391.99535552399999</v>
      </c>
      <c r="L447" s="16">
        <v>36.529741700000002</v>
      </c>
      <c r="M447" s="16">
        <f t="shared" si="12"/>
        <v>36.531568278413921</v>
      </c>
    </row>
    <row r="448" spans="1:13" x14ac:dyDescent="0.25">
      <c r="A448" s="2">
        <f t="shared" si="13"/>
        <v>443</v>
      </c>
      <c r="B448" s="2">
        <v>8331</v>
      </c>
      <c r="C448" s="2" t="s">
        <v>2954</v>
      </c>
      <c r="D448" s="14" t="s">
        <v>444</v>
      </c>
      <c r="E448" s="14">
        <v>0</v>
      </c>
      <c r="F448" s="14">
        <v>0</v>
      </c>
      <c r="G448" s="14">
        <v>0</v>
      </c>
      <c r="H448" s="16">
        <v>0</v>
      </c>
      <c r="I448" s="16">
        <v>0</v>
      </c>
      <c r="J448" s="3" t="s">
        <v>5011</v>
      </c>
      <c r="K448" s="16">
        <v>0</v>
      </c>
      <c r="L448" s="16">
        <v>0</v>
      </c>
      <c r="M448" s="16">
        <v>0</v>
      </c>
    </row>
    <row r="449" spans="1:13" x14ac:dyDescent="0.25">
      <c r="A449" s="2">
        <f t="shared" si="13"/>
        <v>444</v>
      </c>
      <c r="B449" s="2">
        <v>8337</v>
      </c>
      <c r="C449" s="2" t="s">
        <v>2955</v>
      </c>
      <c r="D449" s="14" t="s">
        <v>445</v>
      </c>
      <c r="E449" s="14">
        <v>4.1006472999999994</v>
      </c>
      <c r="F449" s="14">
        <v>0</v>
      </c>
      <c r="G449" s="14">
        <v>4.1006472999999994</v>
      </c>
      <c r="H449" s="16">
        <v>252.51331730000001</v>
      </c>
      <c r="I449" s="16">
        <v>236.8935309</v>
      </c>
      <c r="J449" s="3" t="s">
        <v>5011</v>
      </c>
      <c r="K449" s="16">
        <v>3060.8831945608999</v>
      </c>
      <c r="L449" s="16">
        <v>349.62899829999998</v>
      </c>
      <c r="M449" s="16">
        <f t="shared" si="12"/>
        <v>1.3845962741229252</v>
      </c>
    </row>
    <row r="450" spans="1:13" x14ac:dyDescent="0.25">
      <c r="A450" s="2">
        <f t="shared" si="13"/>
        <v>445</v>
      </c>
      <c r="B450" s="2">
        <v>8417</v>
      </c>
      <c r="C450" s="2" t="s">
        <v>2956</v>
      </c>
      <c r="D450" s="14" t="s">
        <v>446</v>
      </c>
      <c r="E450" s="14">
        <v>0.18680049999999998</v>
      </c>
      <c r="F450" s="14">
        <v>0</v>
      </c>
      <c r="G450" s="14">
        <v>0.18680049999999998</v>
      </c>
      <c r="H450" s="16">
        <v>3.9298040000000003</v>
      </c>
      <c r="I450" s="16">
        <v>1.9738778000000003</v>
      </c>
      <c r="J450" s="3" t="s">
        <v>5011</v>
      </c>
      <c r="K450" s="16">
        <v>210.07919591219999</v>
      </c>
      <c r="L450" s="16">
        <v>21.046124800000001</v>
      </c>
      <c r="M450" s="16">
        <f t="shared" si="12"/>
        <v>5.3555151351059749</v>
      </c>
    </row>
    <row r="451" spans="1:13" x14ac:dyDescent="0.25">
      <c r="A451" s="2">
        <f t="shared" si="13"/>
        <v>446</v>
      </c>
      <c r="B451" s="2">
        <v>8418</v>
      </c>
      <c r="C451" s="2" t="s">
        <v>2957</v>
      </c>
      <c r="D451" s="14" t="s">
        <v>447</v>
      </c>
      <c r="E451" s="14">
        <v>0</v>
      </c>
      <c r="F451" s="14">
        <v>0</v>
      </c>
      <c r="G451" s="14">
        <v>0</v>
      </c>
      <c r="H451" s="16">
        <v>0</v>
      </c>
      <c r="I451" s="16">
        <v>0</v>
      </c>
      <c r="J451" s="3" t="s">
        <v>5011</v>
      </c>
      <c r="K451" s="16">
        <v>0</v>
      </c>
      <c r="L451" s="16">
        <v>0</v>
      </c>
      <c r="M451" s="16">
        <v>0</v>
      </c>
    </row>
    <row r="452" spans="1:13" x14ac:dyDescent="0.25">
      <c r="A452" s="2">
        <f t="shared" si="13"/>
        <v>447</v>
      </c>
      <c r="B452" s="2">
        <v>8466</v>
      </c>
      <c r="C452" s="2" t="s">
        <v>2958</v>
      </c>
      <c r="D452" s="14" t="s">
        <v>448</v>
      </c>
      <c r="E452" s="14">
        <v>1.6969609999999997</v>
      </c>
      <c r="F452" s="14">
        <v>0</v>
      </c>
      <c r="G452" s="14">
        <v>1.6969609999999997</v>
      </c>
      <c r="H452" s="16">
        <v>349.26577979999996</v>
      </c>
      <c r="I452" s="16">
        <v>281.01797569999997</v>
      </c>
      <c r="J452" s="3" t="s">
        <v>5011</v>
      </c>
      <c r="K452" s="16">
        <v>2214.5936522948009</v>
      </c>
      <c r="L452" s="16">
        <v>404.98149380000001</v>
      </c>
      <c r="M452" s="16">
        <f t="shared" si="12"/>
        <v>1.1595223959012089</v>
      </c>
    </row>
    <row r="453" spans="1:13" x14ac:dyDescent="0.25">
      <c r="A453" s="2">
        <f t="shared" si="13"/>
        <v>448</v>
      </c>
      <c r="B453" s="2">
        <v>8467</v>
      </c>
      <c r="C453" s="2" t="s">
        <v>2959</v>
      </c>
      <c r="D453" s="14" t="s">
        <v>449</v>
      </c>
      <c r="E453" s="14">
        <v>0.9518008</v>
      </c>
      <c r="F453" s="14">
        <v>0</v>
      </c>
      <c r="G453" s="14">
        <v>0.9518008</v>
      </c>
      <c r="H453" s="16">
        <v>147.0877314</v>
      </c>
      <c r="I453" s="16">
        <v>104.58404220000001</v>
      </c>
      <c r="J453" s="3" t="s">
        <v>5011</v>
      </c>
      <c r="K453" s="16">
        <v>1246.4588489820001</v>
      </c>
      <c r="L453" s="16">
        <v>186.8676146</v>
      </c>
      <c r="M453" s="16">
        <f t="shared" si="12"/>
        <v>1.2704500424431728</v>
      </c>
    </row>
    <row r="454" spans="1:13" x14ac:dyDescent="0.25">
      <c r="A454" s="2">
        <f t="shared" si="13"/>
        <v>449</v>
      </c>
      <c r="B454" s="2">
        <v>8490</v>
      </c>
      <c r="C454" s="2" t="s">
        <v>2960</v>
      </c>
      <c r="D454" s="14" t="s">
        <v>450</v>
      </c>
      <c r="E454" s="14">
        <v>0</v>
      </c>
      <c r="F454" s="14">
        <v>0</v>
      </c>
      <c r="G454" s="14">
        <v>0</v>
      </c>
      <c r="H454" s="16">
        <v>0</v>
      </c>
      <c r="I454" s="16">
        <v>0</v>
      </c>
      <c r="J454" s="3" t="s">
        <v>5011</v>
      </c>
      <c r="K454" s="16">
        <v>0</v>
      </c>
      <c r="L454" s="16">
        <v>0</v>
      </c>
      <c r="M454" s="16">
        <v>0</v>
      </c>
    </row>
    <row r="455" spans="1:13" x14ac:dyDescent="0.25">
      <c r="A455" s="2">
        <f t="shared" si="13"/>
        <v>450</v>
      </c>
      <c r="B455" s="2">
        <v>8492</v>
      </c>
      <c r="C455" s="2" t="s">
        <v>2961</v>
      </c>
      <c r="D455" s="14" t="s">
        <v>451</v>
      </c>
      <c r="E455" s="14">
        <v>1.3633654000000002</v>
      </c>
      <c r="F455" s="14">
        <v>0</v>
      </c>
      <c r="G455" s="14">
        <v>1.3633654000000002</v>
      </c>
      <c r="H455" s="16">
        <v>152.02643460000002</v>
      </c>
      <c r="I455" s="16">
        <v>95.887570699999998</v>
      </c>
      <c r="J455" s="3" t="s">
        <v>5011</v>
      </c>
      <c r="K455" s="16">
        <v>1505.5775593234002</v>
      </c>
      <c r="L455" s="16">
        <v>242.3743269</v>
      </c>
      <c r="M455" s="16">
        <f t="shared" ref="M455:M518" si="14">L455/H455</f>
        <v>1.5942906741035943</v>
      </c>
    </row>
    <row r="456" spans="1:13" x14ac:dyDescent="0.25">
      <c r="A456" s="2">
        <f t="shared" ref="A456:A519" si="15">A455+1</f>
        <v>451</v>
      </c>
      <c r="B456" s="2">
        <v>8509</v>
      </c>
      <c r="C456" s="2" t="s">
        <v>2962</v>
      </c>
      <c r="D456" s="14" t="s">
        <v>208</v>
      </c>
      <c r="E456" s="14">
        <v>0</v>
      </c>
      <c r="F456" s="14">
        <v>0</v>
      </c>
      <c r="G456" s="14">
        <v>0</v>
      </c>
      <c r="H456" s="16">
        <v>0</v>
      </c>
      <c r="I456" s="16">
        <v>0</v>
      </c>
      <c r="J456" s="3" t="s">
        <v>5011</v>
      </c>
      <c r="K456" s="16">
        <v>0</v>
      </c>
      <c r="L456" s="16">
        <v>0</v>
      </c>
      <c r="M456" s="16">
        <v>0</v>
      </c>
    </row>
    <row r="457" spans="1:13" x14ac:dyDescent="0.25">
      <c r="A457" s="2">
        <f t="shared" si="15"/>
        <v>452</v>
      </c>
      <c r="B457" s="2">
        <v>8523</v>
      </c>
      <c r="C457" s="2" t="s">
        <v>2963</v>
      </c>
      <c r="D457" s="14" t="s">
        <v>452</v>
      </c>
      <c r="E457" s="14">
        <v>0</v>
      </c>
      <c r="F457" s="14">
        <v>0</v>
      </c>
      <c r="G457" s="14">
        <v>0</v>
      </c>
      <c r="H457" s="16">
        <v>0</v>
      </c>
      <c r="I457" s="16">
        <v>0</v>
      </c>
      <c r="J457" s="3" t="s">
        <v>5011</v>
      </c>
      <c r="K457" s="16">
        <v>0</v>
      </c>
      <c r="L457" s="16">
        <v>0</v>
      </c>
      <c r="M457" s="16">
        <v>0</v>
      </c>
    </row>
    <row r="458" spans="1:13" x14ac:dyDescent="0.25">
      <c r="A458" s="2">
        <f t="shared" si="15"/>
        <v>453</v>
      </c>
      <c r="B458" s="2">
        <v>8559</v>
      </c>
      <c r="C458" s="2" t="s">
        <v>2964</v>
      </c>
      <c r="D458" s="14" t="s">
        <v>453</v>
      </c>
      <c r="E458" s="14">
        <v>2.9926099999999997E-2</v>
      </c>
      <c r="F458" s="14">
        <v>0</v>
      </c>
      <c r="G458" s="14">
        <v>2.9926099999999997E-2</v>
      </c>
      <c r="H458" s="16">
        <v>6.1896905000000002</v>
      </c>
      <c r="I458" s="16">
        <v>6.1896905000000002</v>
      </c>
      <c r="J458" s="3" t="s">
        <v>5011</v>
      </c>
      <c r="K458" s="16">
        <v>46.602486465999995</v>
      </c>
      <c r="L458" s="16">
        <v>8.3626538999999998</v>
      </c>
      <c r="M458" s="16">
        <f t="shared" si="14"/>
        <v>1.351061721098979</v>
      </c>
    </row>
    <row r="459" spans="1:13" x14ac:dyDescent="0.25">
      <c r="A459" s="2">
        <f t="shared" si="15"/>
        <v>454</v>
      </c>
      <c r="B459" s="2">
        <v>8596</v>
      </c>
      <c r="C459" s="2" t="s">
        <v>2965</v>
      </c>
      <c r="D459" s="14" t="s">
        <v>454</v>
      </c>
      <c r="E459" s="14">
        <v>2.8632119000000005</v>
      </c>
      <c r="F459" s="14">
        <v>0</v>
      </c>
      <c r="G459" s="14">
        <v>2.8632119000000005</v>
      </c>
      <c r="H459" s="16">
        <v>79.846010000000007</v>
      </c>
      <c r="I459" s="16">
        <v>77.724365599999999</v>
      </c>
      <c r="J459" s="3" t="s">
        <v>5011</v>
      </c>
      <c r="K459" s="16">
        <v>2247.7088984899001</v>
      </c>
      <c r="L459" s="16">
        <v>277.40656969999998</v>
      </c>
      <c r="M459" s="16">
        <f t="shared" si="14"/>
        <v>3.4742696560541968</v>
      </c>
    </row>
    <row r="460" spans="1:13" x14ac:dyDescent="0.25">
      <c r="A460" s="2">
        <f t="shared" si="15"/>
        <v>455</v>
      </c>
      <c r="B460" s="2">
        <v>8600</v>
      </c>
      <c r="C460" s="2" t="s">
        <v>2966</v>
      </c>
      <c r="D460" s="14" t="s">
        <v>455</v>
      </c>
      <c r="E460" s="14">
        <v>0.77256029999999998</v>
      </c>
      <c r="F460" s="14">
        <v>0</v>
      </c>
      <c r="G460" s="14">
        <v>0.77256029999999998</v>
      </c>
      <c r="H460" s="16">
        <v>81.581865300000004</v>
      </c>
      <c r="I460" s="16">
        <v>61.170498600000002</v>
      </c>
      <c r="J460" s="3" t="s">
        <v>5011</v>
      </c>
      <c r="K460" s="16">
        <v>647.27141488550001</v>
      </c>
      <c r="L460" s="16">
        <v>105.2728128</v>
      </c>
      <c r="M460" s="16">
        <f t="shared" si="14"/>
        <v>1.2903947760066721</v>
      </c>
    </row>
    <row r="461" spans="1:13" x14ac:dyDescent="0.25">
      <c r="A461" s="2">
        <f t="shared" si="15"/>
        <v>456</v>
      </c>
      <c r="B461" s="2">
        <v>8664</v>
      </c>
      <c r="C461" s="2" t="s">
        <v>2967</v>
      </c>
      <c r="D461" s="14" t="s">
        <v>456</v>
      </c>
      <c r="E461" s="14">
        <v>0</v>
      </c>
      <c r="F461" s="14">
        <v>0</v>
      </c>
      <c r="G461" s="14">
        <v>0</v>
      </c>
      <c r="H461" s="16">
        <v>0.10999450000000001</v>
      </c>
      <c r="I461" s="16">
        <v>0.10999450000000001</v>
      </c>
      <c r="J461" s="3" t="s">
        <v>5011</v>
      </c>
      <c r="K461" s="16">
        <v>5.9269951500000001E-2</v>
      </c>
      <c r="L461" s="16">
        <v>0.10958040000000001</v>
      </c>
      <c r="M461" s="16">
        <f t="shared" si="14"/>
        <v>0.99623526630877002</v>
      </c>
    </row>
    <row r="462" spans="1:13" x14ac:dyDescent="0.25">
      <c r="A462" s="2">
        <f t="shared" si="15"/>
        <v>457</v>
      </c>
      <c r="B462" s="2">
        <v>8718</v>
      </c>
      <c r="C462" s="2" t="s">
        <v>2968</v>
      </c>
      <c r="D462" s="14" t="s">
        <v>457</v>
      </c>
      <c r="E462" s="14">
        <v>0</v>
      </c>
      <c r="F462" s="14">
        <v>0</v>
      </c>
      <c r="G462" s="14">
        <v>0</v>
      </c>
      <c r="H462" s="16">
        <v>0</v>
      </c>
      <c r="I462" s="16">
        <v>0</v>
      </c>
      <c r="J462" s="3" t="s">
        <v>5011</v>
      </c>
      <c r="K462" s="16">
        <v>0</v>
      </c>
      <c r="L462" s="16">
        <v>0</v>
      </c>
      <c r="M462" s="16">
        <v>0</v>
      </c>
    </row>
    <row r="463" spans="1:13" x14ac:dyDescent="0.25">
      <c r="A463" s="2">
        <f t="shared" si="15"/>
        <v>458</v>
      </c>
      <c r="B463" s="2">
        <v>8783</v>
      </c>
      <c r="C463" s="2" t="s">
        <v>2969</v>
      </c>
      <c r="D463" s="14" t="s">
        <v>458</v>
      </c>
      <c r="E463" s="14">
        <v>0.15548640000000002</v>
      </c>
      <c r="F463" s="14">
        <v>0</v>
      </c>
      <c r="G463" s="14">
        <v>0.15548640000000002</v>
      </c>
      <c r="H463" s="16">
        <v>63.366831699999999</v>
      </c>
      <c r="I463" s="16">
        <v>61.056831699999996</v>
      </c>
      <c r="J463" s="3" t="s">
        <v>5011</v>
      </c>
      <c r="K463" s="16">
        <v>226.17774952209999</v>
      </c>
      <c r="L463" s="16">
        <v>71.105704200000005</v>
      </c>
      <c r="M463" s="16">
        <f t="shared" si="14"/>
        <v>1.1221281274821888</v>
      </c>
    </row>
    <row r="464" spans="1:13" x14ac:dyDescent="0.25">
      <c r="A464" s="2">
        <f t="shared" si="15"/>
        <v>459</v>
      </c>
      <c r="B464" s="2">
        <v>8798</v>
      </c>
      <c r="C464" s="2" t="s">
        <v>2970</v>
      </c>
      <c r="D464" s="14" t="s">
        <v>459</v>
      </c>
      <c r="E464" s="14">
        <v>0</v>
      </c>
      <c r="F464" s="14">
        <v>0</v>
      </c>
      <c r="G464" s="14">
        <v>0</v>
      </c>
      <c r="H464" s="16">
        <v>0</v>
      </c>
      <c r="I464" s="16">
        <v>0</v>
      </c>
      <c r="J464" s="3" t="s">
        <v>5011</v>
      </c>
      <c r="K464" s="16">
        <v>0</v>
      </c>
      <c r="L464" s="16">
        <v>0</v>
      </c>
      <c r="M464" s="16">
        <v>0</v>
      </c>
    </row>
    <row r="465" spans="1:13" x14ac:dyDescent="0.25">
      <c r="A465" s="2">
        <f t="shared" si="15"/>
        <v>460</v>
      </c>
      <c r="B465" s="2">
        <v>8799</v>
      </c>
      <c r="C465" s="2" t="s">
        <v>2971</v>
      </c>
      <c r="D465" s="14" t="s">
        <v>460</v>
      </c>
      <c r="E465" s="14">
        <v>3.5229684000000003</v>
      </c>
      <c r="F465" s="14">
        <v>0</v>
      </c>
      <c r="G465" s="14">
        <v>3.5229684000000003</v>
      </c>
      <c r="H465" s="16">
        <v>170.41573219999998</v>
      </c>
      <c r="I465" s="16">
        <v>148.95011499999998</v>
      </c>
      <c r="J465" s="3" t="s">
        <v>5011</v>
      </c>
      <c r="K465" s="16">
        <v>3002.4294684724</v>
      </c>
      <c r="L465" s="16">
        <v>395.24533289999999</v>
      </c>
      <c r="M465" s="16">
        <f t="shared" si="14"/>
        <v>2.3193007347240679</v>
      </c>
    </row>
    <row r="466" spans="1:13" x14ac:dyDescent="0.25">
      <c r="A466" s="2">
        <f t="shared" si="15"/>
        <v>461</v>
      </c>
      <c r="B466" s="2">
        <v>8801</v>
      </c>
      <c r="C466" s="2" t="s">
        <v>2972</v>
      </c>
      <c r="D466" s="14" t="s">
        <v>461</v>
      </c>
      <c r="E466" s="14">
        <v>0</v>
      </c>
      <c r="F466" s="14">
        <v>0</v>
      </c>
      <c r="G466" s="14">
        <v>0</v>
      </c>
      <c r="H466" s="16">
        <v>0</v>
      </c>
      <c r="I466" s="16">
        <v>0</v>
      </c>
      <c r="J466" s="3" t="s">
        <v>5011</v>
      </c>
      <c r="K466" s="16">
        <v>0</v>
      </c>
      <c r="L466" s="16">
        <v>0</v>
      </c>
      <c r="M466" s="16">
        <v>0</v>
      </c>
    </row>
    <row r="467" spans="1:13" x14ac:dyDescent="0.25">
      <c r="A467" s="2">
        <f t="shared" si="15"/>
        <v>462</v>
      </c>
      <c r="B467" s="2">
        <v>8812</v>
      </c>
      <c r="C467" s="2" t="s">
        <v>2973</v>
      </c>
      <c r="D467" s="14" t="s">
        <v>462</v>
      </c>
      <c r="E467" s="14">
        <v>0.35290559999999999</v>
      </c>
      <c r="F467" s="14">
        <v>0</v>
      </c>
      <c r="G467" s="14">
        <v>0.35290559999999999</v>
      </c>
      <c r="H467" s="16">
        <v>29.3757248</v>
      </c>
      <c r="I467" s="16">
        <v>26.748618499999999</v>
      </c>
      <c r="J467" s="3" t="s">
        <v>5011</v>
      </c>
      <c r="K467" s="16">
        <v>392.53708253320008</v>
      </c>
      <c r="L467" s="16">
        <v>60.483052000000001</v>
      </c>
      <c r="M467" s="16">
        <f t="shared" si="14"/>
        <v>2.0589467123548215</v>
      </c>
    </row>
    <row r="468" spans="1:13" x14ac:dyDescent="0.25">
      <c r="A468" s="2">
        <f t="shared" si="15"/>
        <v>463</v>
      </c>
      <c r="B468" s="2">
        <v>8893</v>
      </c>
      <c r="C468" s="2" t="s">
        <v>2974</v>
      </c>
      <c r="D468" s="14" t="s">
        <v>463</v>
      </c>
      <c r="E468" s="14">
        <v>0.1189915</v>
      </c>
      <c r="F468" s="14">
        <v>0</v>
      </c>
      <c r="G468" s="14">
        <v>0.1189915</v>
      </c>
      <c r="H468" s="16">
        <v>12.6493675</v>
      </c>
      <c r="I468" s="16">
        <v>12.6493675</v>
      </c>
      <c r="J468" s="3" t="s">
        <v>5011</v>
      </c>
      <c r="K468" s="16">
        <v>145.82335232270003</v>
      </c>
      <c r="L468" s="16">
        <v>18.295331100000002</v>
      </c>
      <c r="M468" s="16">
        <f t="shared" si="14"/>
        <v>1.4463435503791</v>
      </c>
    </row>
    <row r="469" spans="1:13" x14ac:dyDescent="0.25">
      <c r="A469" s="2">
        <f t="shared" si="15"/>
        <v>464</v>
      </c>
      <c r="B469" s="2">
        <v>8983</v>
      </c>
      <c r="C469" s="2" t="s">
        <v>2975</v>
      </c>
      <c r="D469" s="14" t="s">
        <v>464</v>
      </c>
      <c r="E469" s="14">
        <v>0</v>
      </c>
      <c r="F469" s="14">
        <v>0</v>
      </c>
      <c r="G469" s="14">
        <v>0</v>
      </c>
      <c r="H469" s="16">
        <v>0</v>
      </c>
      <c r="I469" s="16">
        <v>0</v>
      </c>
      <c r="J469" s="3" t="s">
        <v>5011</v>
      </c>
      <c r="K469" s="16">
        <v>0</v>
      </c>
      <c r="L469" s="16">
        <v>0</v>
      </c>
      <c r="M469" s="16">
        <v>0</v>
      </c>
    </row>
    <row r="470" spans="1:13" x14ac:dyDescent="0.25">
      <c r="A470" s="2">
        <f t="shared" si="15"/>
        <v>465</v>
      </c>
      <c r="B470" s="2">
        <v>9054</v>
      </c>
      <c r="C470" s="2" t="s">
        <v>2976</v>
      </c>
      <c r="D470" s="14" t="s">
        <v>465</v>
      </c>
      <c r="E470" s="14">
        <v>4.3924999999999997E-3</v>
      </c>
      <c r="F470" s="14">
        <v>0</v>
      </c>
      <c r="G470" s="14">
        <v>4.3924999999999997E-3</v>
      </c>
      <c r="H470" s="16">
        <v>3.9398029999999999</v>
      </c>
      <c r="I470" s="16">
        <v>3.9398029999999999</v>
      </c>
      <c r="J470" s="3" t="s">
        <v>5011</v>
      </c>
      <c r="K470" s="16">
        <v>26.137172647699998</v>
      </c>
      <c r="L470" s="16">
        <v>5.7763863000000004</v>
      </c>
      <c r="M470" s="16">
        <f t="shared" si="14"/>
        <v>1.4661612014610883</v>
      </c>
    </row>
    <row r="471" spans="1:13" x14ac:dyDescent="0.25">
      <c r="A471" s="2">
        <f t="shared" si="15"/>
        <v>466</v>
      </c>
      <c r="B471" s="2">
        <v>9095</v>
      </c>
      <c r="C471" s="2" t="s">
        <v>2977</v>
      </c>
      <c r="D471" s="14" t="s">
        <v>466</v>
      </c>
      <c r="E471" s="14">
        <v>1.0625471</v>
      </c>
      <c r="F471" s="14">
        <v>0</v>
      </c>
      <c r="G471" s="14">
        <v>1.0625471</v>
      </c>
      <c r="H471" s="16">
        <v>4.9316094000000001</v>
      </c>
      <c r="I471" s="16">
        <v>-8.0346323999999996</v>
      </c>
      <c r="J471" s="3" t="s">
        <v>5011</v>
      </c>
      <c r="K471" s="16">
        <v>835.11623874769998</v>
      </c>
      <c r="L471" s="16">
        <v>83.315359999999998</v>
      </c>
      <c r="M471" s="16">
        <f t="shared" si="14"/>
        <v>16.89415224165969</v>
      </c>
    </row>
    <row r="472" spans="1:13" x14ac:dyDescent="0.25">
      <c r="A472" s="2">
        <f t="shared" si="15"/>
        <v>467</v>
      </c>
      <c r="B472" s="2">
        <v>9109</v>
      </c>
      <c r="C472" s="2" t="s">
        <v>2978</v>
      </c>
      <c r="D472" s="14" t="s">
        <v>467</v>
      </c>
      <c r="E472" s="14">
        <v>0</v>
      </c>
      <c r="F472" s="14">
        <v>0</v>
      </c>
      <c r="G472" s="14">
        <v>0</v>
      </c>
      <c r="H472" s="16">
        <v>0</v>
      </c>
      <c r="I472" s="16">
        <v>0</v>
      </c>
      <c r="J472" s="3" t="s">
        <v>5011</v>
      </c>
      <c r="K472" s="16">
        <v>0</v>
      </c>
      <c r="L472" s="16">
        <v>0</v>
      </c>
      <c r="M472" s="16">
        <v>0</v>
      </c>
    </row>
    <row r="473" spans="1:13" x14ac:dyDescent="0.25">
      <c r="A473" s="2">
        <f t="shared" si="15"/>
        <v>468</v>
      </c>
      <c r="B473" s="2">
        <v>9156</v>
      </c>
      <c r="C473" s="2" t="s">
        <v>2979</v>
      </c>
      <c r="D473" s="14" t="s">
        <v>468</v>
      </c>
      <c r="E473" s="14">
        <v>2.5899999999999999E-5</v>
      </c>
      <c r="F473" s="14">
        <v>0</v>
      </c>
      <c r="G473" s="14">
        <v>2.5899999999999999E-5</v>
      </c>
      <c r="H473" s="16">
        <v>9.9995000000000001E-2</v>
      </c>
      <c r="I473" s="16">
        <v>9.9995000000000001E-2</v>
      </c>
      <c r="J473" s="3" t="s">
        <v>5011</v>
      </c>
      <c r="K473" s="16">
        <v>0.13790250609999999</v>
      </c>
      <c r="L473" s="16">
        <v>0.10044260000000001</v>
      </c>
      <c r="M473" s="16">
        <f t="shared" si="14"/>
        <v>1.0044762238111906</v>
      </c>
    </row>
    <row r="474" spans="1:13" x14ac:dyDescent="0.25">
      <c r="A474" s="2">
        <f t="shared" si="15"/>
        <v>469</v>
      </c>
      <c r="B474" s="2">
        <v>9270</v>
      </c>
      <c r="C474" s="2" t="s">
        <v>2980</v>
      </c>
      <c r="D474" s="14" t="s">
        <v>469</v>
      </c>
      <c r="E474" s="14">
        <v>3.2440188999999999</v>
      </c>
      <c r="F474" s="14">
        <v>0</v>
      </c>
      <c r="G474" s="14">
        <v>3.2440188999999999</v>
      </c>
      <c r="H474" s="16">
        <v>97.967363800000001</v>
      </c>
      <c r="I474" s="16">
        <v>54.409013800000011</v>
      </c>
      <c r="J474" s="3" t="s">
        <v>5011</v>
      </c>
      <c r="K474" s="16">
        <v>3088.2933273404005</v>
      </c>
      <c r="L474" s="16">
        <v>335.0900972</v>
      </c>
      <c r="M474" s="16">
        <f t="shared" si="14"/>
        <v>3.4204257846938209</v>
      </c>
    </row>
    <row r="475" spans="1:13" x14ac:dyDescent="0.25">
      <c r="A475" s="2">
        <f t="shared" si="15"/>
        <v>470</v>
      </c>
      <c r="B475" s="2">
        <v>9305</v>
      </c>
      <c r="C475" s="2" t="s">
        <v>2981</v>
      </c>
      <c r="D475" s="14" t="s">
        <v>470</v>
      </c>
      <c r="E475" s="14">
        <v>0</v>
      </c>
      <c r="F475" s="14">
        <v>0</v>
      </c>
      <c r="G475" s="14">
        <v>0</v>
      </c>
      <c r="H475" s="16">
        <v>0</v>
      </c>
      <c r="I475" s="16">
        <v>0</v>
      </c>
      <c r="J475" s="3" t="s">
        <v>5011</v>
      </c>
      <c r="K475" s="16">
        <v>0</v>
      </c>
      <c r="L475" s="16">
        <v>0</v>
      </c>
      <c r="M475" s="16">
        <v>0</v>
      </c>
    </row>
    <row r="476" spans="1:13" x14ac:dyDescent="0.25">
      <c r="A476" s="2">
        <f t="shared" si="15"/>
        <v>471</v>
      </c>
      <c r="B476" s="2">
        <v>9308</v>
      </c>
      <c r="C476" s="2" t="s">
        <v>2982</v>
      </c>
      <c r="D476" s="14" t="s">
        <v>471</v>
      </c>
      <c r="E476" s="14">
        <v>9.2119999999999997E-3</v>
      </c>
      <c r="F476" s="14">
        <v>0</v>
      </c>
      <c r="G476" s="14">
        <v>9.2119999999999997E-3</v>
      </c>
      <c r="H476" s="16">
        <v>7.3296334999999999</v>
      </c>
      <c r="I476" s="16">
        <v>7.2496334999999998</v>
      </c>
      <c r="J476" s="3" t="s">
        <v>5011</v>
      </c>
      <c r="K476" s="16">
        <v>21.193267974899999</v>
      </c>
      <c r="L476" s="16">
        <v>7.7954862</v>
      </c>
      <c r="M476" s="16">
        <f t="shared" si="14"/>
        <v>1.0635574343519358</v>
      </c>
    </row>
    <row r="477" spans="1:13" x14ac:dyDescent="0.25">
      <c r="A477" s="2">
        <f t="shared" si="15"/>
        <v>472</v>
      </c>
      <c r="B477" s="2">
        <v>9342</v>
      </c>
      <c r="C477" s="2" t="s">
        <v>2983</v>
      </c>
      <c r="D477" s="14" t="s">
        <v>472</v>
      </c>
      <c r="E477" s="14">
        <v>1.2464061</v>
      </c>
      <c r="F477" s="14">
        <v>0</v>
      </c>
      <c r="G477" s="14">
        <v>1.2464061</v>
      </c>
      <c r="H477" s="16">
        <v>94.436896500000003</v>
      </c>
      <c r="I477" s="16">
        <v>91.285280900000004</v>
      </c>
      <c r="J477" s="3" t="s">
        <v>5011</v>
      </c>
      <c r="K477" s="16">
        <v>1099.0249207490997</v>
      </c>
      <c r="L477" s="16">
        <v>198.97268829999999</v>
      </c>
      <c r="M477" s="16">
        <f t="shared" si="14"/>
        <v>2.1069380260711976</v>
      </c>
    </row>
    <row r="478" spans="1:13" x14ac:dyDescent="0.25">
      <c r="A478" s="2">
        <f t="shared" si="15"/>
        <v>473</v>
      </c>
      <c r="B478" s="2">
        <v>9350</v>
      </c>
      <c r="C478" s="2" t="s">
        <v>2984</v>
      </c>
      <c r="D478" s="14" t="s">
        <v>473</v>
      </c>
      <c r="E478" s="14">
        <v>0</v>
      </c>
      <c r="F478" s="14">
        <v>0</v>
      </c>
      <c r="G478" s="14">
        <v>0</v>
      </c>
      <c r="H478" s="16">
        <v>0</v>
      </c>
      <c r="I478" s="16">
        <v>0</v>
      </c>
      <c r="J478" s="3" t="s">
        <v>5011</v>
      </c>
      <c r="K478" s="16">
        <v>0</v>
      </c>
      <c r="L478" s="16">
        <v>0</v>
      </c>
      <c r="M478" s="16">
        <v>0</v>
      </c>
    </row>
    <row r="479" spans="1:13" x14ac:dyDescent="0.25">
      <c r="A479" s="2">
        <f t="shared" si="15"/>
        <v>474</v>
      </c>
      <c r="B479" s="2">
        <v>9374</v>
      </c>
      <c r="C479" s="2" t="s">
        <v>2985</v>
      </c>
      <c r="D479" s="14" t="s">
        <v>474</v>
      </c>
      <c r="E479" s="14">
        <v>0.20399700000000001</v>
      </c>
      <c r="F479" s="14">
        <v>0</v>
      </c>
      <c r="G479" s="14">
        <v>0.20399700000000001</v>
      </c>
      <c r="H479" s="16">
        <v>24.098794999999999</v>
      </c>
      <c r="I479" s="16">
        <v>17.3530914</v>
      </c>
      <c r="J479" s="3" t="s">
        <v>5011</v>
      </c>
      <c r="K479" s="16">
        <v>214.46524275809998</v>
      </c>
      <c r="L479" s="16">
        <v>43.3798879</v>
      </c>
      <c r="M479" s="16">
        <f t="shared" si="14"/>
        <v>1.8000853528153586</v>
      </c>
    </row>
    <row r="480" spans="1:13" x14ac:dyDescent="0.25">
      <c r="A480" s="2">
        <f t="shared" si="15"/>
        <v>475</v>
      </c>
      <c r="B480" s="2">
        <v>9534</v>
      </c>
      <c r="C480" s="2" t="s">
        <v>2986</v>
      </c>
      <c r="D480" s="14" t="s">
        <v>475</v>
      </c>
      <c r="E480" s="14">
        <v>5.8819999999999999E-4</v>
      </c>
      <c r="F480" s="14">
        <v>0</v>
      </c>
      <c r="G480" s="14">
        <v>5.8819999999999999E-4</v>
      </c>
      <c r="H480" s="16">
        <v>0.299985</v>
      </c>
      <c r="I480" s="16">
        <v>0.299985</v>
      </c>
      <c r="J480" s="3" t="s">
        <v>5011</v>
      </c>
      <c r="K480" s="16">
        <v>1.2901396030000001</v>
      </c>
      <c r="L480" s="16">
        <v>0.34092440000000002</v>
      </c>
      <c r="M480" s="16">
        <f t="shared" si="14"/>
        <v>1.1364714902411788</v>
      </c>
    </row>
    <row r="481" spans="1:13" x14ac:dyDescent="0.25">
      <c r="A481" s="2">
        <f t="shared" si="15"/>
        <v>476</v>
      </c>
      <c r="B481" s="2">
        <v>9587</v>
      </c>
      <c r="C481" s="2" t="s">
        <v>2987</v>
      </c>
      <c r="D481" s="14" t="s">
        <v>476</v>
      </c>
      <c r="E481" s="14">
        <v>8.6341690999999994</v>
      </c>
      <c r="F481" s="14">
        <v>0</v>
      </c>
      <c r="G481" s="14">
        <v>8.6341690999999994</v>
      </c>
      <c r="H481" s="16">
        <v>1322.3402096</v>
      </c>
      <c r="I481" s="16">
        <v>762.62113060000001</v>
      </c>
      <c r="J481" s="3" t="s">
        <v>5011</v>
      </c>
      <c r="K481" s="16">
        <v>10779.678049194599</v>
      </c>
      <c r="L481" s="16">
        <v>1396.8269786000001</v>
      </c>
      <c r="M481" s="16">
        <f t="shared" si="14"/>
        <v>1.0563295046609313</v>
      </c>
    </row>
    <row r="482" spans="1:13" x14ac:dyDescent="0.25">
      <c r="A482" s="2">
        <f t="shared" si="15"/>
        <v>477</v>
      </c>
      <c r="B482" s="2">
        <v>9611</v>
      </c>
      <c r="C482" s="2" t="s">
        <v>2988</v>
      </c>
      <c r="D482" s="14" t="s">
        <v>477</v>
      </c>
      <c r="E482" s="14">
        <v>0</v>
      </c>
      <c r="F482" s="14">
        <v>0</v>
      </c>
      <c r="G482" s="14">
        <v>0</v>
      </c>
      <c r="H482" s="16">
        <v>0</v>
      </c>
      <c r="I482" s="16">
        <v>0</v>
      </c>
      <c r="J482" s="3" t="s">
        <v>5011</v>
      </c>
      <c r="K482" s="16">
        <v>0</v>
      </c>
      <c r="L482" s="16">
        <v>0</v>
      </c>
      <c r="M482" s="16">
        <v>0</v>
      </c>
    </row>
    <row r="483" spans="1:13" x14ac:dyDescent="0.25">
      <c r="A483" s="2">
        <f t="shared" si="15"/>
        <v>478</v>
      </c>
      <c r="B483" s="2">
        <v>9635</v>
      </c>
      <c r="C483" s="2" t="s">
        <v>2989</v>
      </c>
      <c r="D483" s="14" t="s">
        <v>478</v>
      </c>
      <c r="E483" s="14">
        <v>1.7789099999999999E-2</v>
      </c>
      <c r="F483" s="14">
        <v>0</v>
      </c>
      <c r="G483" s="14">
        <v>1.7789099999999999E-2</v>
      </c>
      <c r="H483" s="16">
        <v>24.998750099999999</v>
      </c>
      <c r="I483" s="16">
        <v>24.998750099999999</v>
      </c>
      <c r="J483" s="3" t="s">
        <v>5011</v>
      </c>
      <c r="K483" s="16">
        <v>57.720325696799996</v>
      </c>
      <c r="L483" s="16">
        <v>26.170706200000001</v>
      </c>
      <c r="M483" s="16">
        <f t="shared" si="14"/>
        <v>1.0468805878418699</v>
      </c>
    </row>
    <row r="484" spans="1:13" x14ac:dyDescent="0.25">
      <c r="A484" s="2">
        <f t="shared" si="15"/>
        <v>479</v>
      </c>
      <c r="B484" s="2">
        <v>9682</v>
      </c>
      <c r="C484" s="2" t="s">
        <v>2990</v>
      </c>
      <c r="D484" s="14" t="s">
        <v>479</v>
      </c>
      <c r="E484" s="14">
        <v>0.35625089999999998</v>
      </c>
      <c r="F484" s="14">
        <v>0</v>
      </c>
      <c r="G484" s="14">
        <v>0.35625089999999998</v>
      </c>
      <c r="H484" s="16">
        <v>18.277234099999998</v>
      </c>
      <c r="I484" s="16">
        <v>10.767833699999999</v>
      </c>
      <c r="J484" s="3" t="s">
        <v>5011</v>
      </c>
      <c r="K484" s="16">
        <v>321.109846662</v>
      </c>
      <c r="L484" s="16">
        <v>40.847701800000003</v>
      </c>
      <c r="M484" s="16">
        <f t="shared" si="14"/>
        <v>2.2348951475103123</v>
      </c>
    </row>
    <row r="485" spans="1:13" x14ac:dyDescent="0.25">
      <c r="A485" s="2">
        <f t="shared" si="15"/>
        <v>480</v>
      </c>
      <c r="B485" s="2">
        <v>9749</v>
      </c>
      <c r="C485" s="2" t="s">
        <v>2991</v>
      </c>
      <c r="D485" s="14" t="s">
        <v>480</v>
      </c>
      <c r="E485" s="14">
        <v>2.7949600000000005E-2</v>
      </c>
      <c r="F485" s="14">
        <v>0</v>
      </c>
      <c r="G485" s="14">
        <v>2.7949600000000005E-2</v>
      </c>
      <c r="H485" s="16">
        <v>6.9446531000000009</v>
      </c>
      <c r="I485" s="16">
        <v>6.9446531000000009</v>
      </c>
      <c r="J485" s="3" t="s">
        <v>5011</v>
      </c>
      <c r="K485" s="16">
        <v>46.678639202700005</v>
      </c>
      <c r="L485" s="16">
        <v>8.6247673999999996</v>
      </c>
      <c r="M485" s="16">
        <f t="shared" si="14"/>
        <v>1.2419291900987823</v>
      </c>
    </row>
    <row r="486" spans="1:13" x14ac:dyDescent="0.25">
      <c r="A486" s="2">
        <f t="shared" si="15"/>
        <v>481</v>
      </c>
      <c r="B486" s="2">
        <v>9750</v>
      </c>
      <c r="C486" s="2" t="s">
        <v>2992</v>
      </c>
      <c r="D486" s="14" t="s">
        <v>481</v>
      </c>
      <c r="E486" s="14">
        <v>1.2376954</v>
      </c>
      <c r="F486" s="14">
        <v>0</v>
      </c>
      <c r="G486" s="14">
        <v>1.2376954</v>
      </c>
      <c r="H486" s="16">
        <v>12.958622</v>
      </c>
      <c r="I486" s="16">
        <v>11.8141436</v>
      </c>
      <c r="J486" s="3" t="s">
        <v>5011</v>
      </c>
      <c r="K486" s="16">
        <v>1011.6417286326</v>
      </c>
      <c r="L486" s="16">
        <v>109.7051173</v>
      </c>
      <c r="M486" s="16">
        <f t="shared" si="14"/>
        <v>8.4658011708343679</v>
      </c>
    </row>
    <row r="487" spans="1:13" x14ac:dyDescent="0.25">
      <c r="A487" s="2">
        <f t="shared" si="15"/>
        <v>482</v>
      </c>
      <c r="B487" s="2">
        <v>9760</v>
      </c>
      <c r="C487" s="2" t="s">
        <v>2993</v>
      </c>
      <c r="D487" s="14" t="s">
        <v>482</v>
      </c>
      <c r="E487" s="14">
        <v>0</v>
      </c>
      <c r="F487" s="14">
        <v>0</v>
      </c>
      <c r="G487" s="14">
        <v>0</v>
      </c>
      <c r="H487" s="16">
        <v>0</v>
      </c>
      <c r="I487" s="16">
        <v>-5.8419700000000005E-2</v>
      </c>
      <c r="J487" s="3" t="s">
        <v>5011</v>
      </c>
      <c r="K487" s="16">
        <v>19.813443701800001</v>
      </c>
      <c r="L487" s="16">
        <v>2.0001921</v>
      </c>
      <c r="M487" s="16">
        <v>0</v>
      </c>
    </row>
    <row r="488" spans="1:13" x14ac:dyDescent="0.25">
      <c r="A488" s="2">
        <f t="shared" si="15"/>
        <v>483</v>
      </c>
      <c r="B488" s="2">
        <v>9794</v>
      </c>
      <c r="C488" s="2" t="s">
        <v>2994</v>
      </c>
      <c r="D488" s="14" t="s">
        <v>483</v>
      </c>
      <c r="E488" s="14">
        <v>0</v>
      </c>
      <c r="F488" s="14">
        <v>0</v>
      </c>
      <c r="G488" s="14">
        <v>0</v>
      </c>
      <c r="H488" s="16">
        <v>0</v>
      </c>
      <c r="I488" s="16">
        <v>0</v>
      </c>
      <c r="J488" s="3" t="s">
        <v>5011</v>
      </c>
      <c r="K488" s="16">
        <v>0</v>
      </c>
      <c r="L488" s="16">
        <v>0</v>
      </c>
      <c r="M488" s="16">
        <v>0</v>
      </c>
    </row>
    <row r="489" spans="1:13" x14ac:dyDescent="0.25">
      <c r="A489" s="2">
        <f t="shared" si="15"/>
        <v>484</v>
      </c>
      <c r="B489" s="2">
        <v>9807</v>
      </c>
      <c r="C489" s="2" t="s">
        <v>2995</v>
      </c>
      <c r="D489" s="14" t="s">
        <v>484</v>
      </c>
      <c r="E489" s="14">
        <v>84.770096699999996</v>
      </c>
      <c r="F489" s="14">
        <v>0</v>
      </c>
      <c r="G489" s="14">
        <v>84.770096699999996</v>
      </c>
      <c r="H489" s="16">
        <v>4335.3555004</v>
      </c>
      <c r="I489" s="16">
        <v>3469.0673175000002</v>
      </c>
      <c r="J489" s="3" t="s">
        <v>5011</v>
      </c>
      <c r="K489" s="16">
        <v>68644.347439106525</v>
      </c>
      <c r="L489" s="16">
        <v>9432.3713074999996</v>
      </c>
      <c r="M489" s="16">
        <f t="shared" si="14"/>
        <v>2.1756857786240889</v>
      </c>
    </row>
    <row r="490" spans="1:13" x14ac:dyDescent="0.25">
      <c r="A490" s="2">
        <f t="shared" si="15"/>
        <v>485</v>
      </c>
      <c r="B490" s="2">
        <v>9859</v>
      </c>
      <c r="C490" s="2" t="s">
        <v>2996</v>
      </c>
      <c r="D490" s="14" t="s">
        <v>485</v>
      </c>
      <c r="E490" s="14">
        <v>0.12711779999999998</v>
      </c>
      <c r="F490" s="14">
        <v>0</v>
      </c>
      <c r="G490" s="14">
        <v>0.12711779999999998</v>
      </c>
      <c r="H490" s="16">
        <v>48.618594000000002</v>
      </c>
      <c r="I490" s="16">
        <v>45.055537000000001</v>
      </c>
      <c r="J490" s="3" t="s">
        <v>5011</v>
      </c>
      <c r="K490" s="16">
        <v>1065.1757991304</v>
      </c>
      <c r="L490" s="16">
        <v>134.7383682</v>
      </c>
      <c r="M490" s="16">
        <f t="shared" si="14"/>
        <v>2.7713341155032167</v>
      </c>
    </row>
    <row r="491" spans="1:13" x14ac:dyDescent="0.25">
      <c r="A491" s="2">
        <f t="shared" si="15"/>
        <v>486</v>
      </c>
      <c r="B491" s="2">
        <v>9945</v>
      </c>
      <c r="C491" s="2" t="s">
        <v>2997</v>
      </c>
      <c r="D491" s="14" t="s">
        <v>486</v>
      </c>
      <c r="E491" s="14">
        <v>0</v>
      </c>
      <c r="F491" s="14">
        <v>0</v>
      </c>
      <c r="G491" s="14">
        <v>0</v>
      </c>
      <c r="H491" s="16">
        <v>0</v>
      </c>
      <c r="I491" s="16">
        <v>0</v>
      </c>
      <c r="J491" s="3" t="s">
        <v>5011</v>
      </c>
      <c r="K491" s="16">
        <v>0</v>
      </c>
      <c r="L491" s="16">
        <v>0</v>
      </c>
      <c r="M491" s="16">
        <v>0</v>
      </c>
    </row>
    <row r="492" spans="1:13" x14ac:dyDescent="0.25">
      <c r="A492" s="2">
        <f t="shared" si="15"/>
        <v>487</v>
      </c>
      <c r="B492" s="2">
        <v>9951</v>
      </c>
      <c r="C492" s="2" t="s">
        <v>2998</v>
      </c>
      <c r="D492" s="14" t="s">
        <v>487</v>
      </c>
      <c r="E492" s="14">
        <v>0</v>
      </c>
      <c r="F492" s="14">
        <v>0</v>
      </c>
      <c r="G492" s="14">
        <v>0</v>
      </c>
      <c r="H492" s="16">
        <v>0</v>
      </c>
      <c r="I492" s="16">
        <v>0</v>
      </c>
      <c r="J492" s="3" t="s">
        <v>5011</v>
      </c>
      <c r="K492" s="16">
        <v>0</v>
      </c>
      <c r="L492" s="16">
        <v>0</v>
      </c>
      <c r="M492" s="16">
        <v>0</v>
      </c>
    </row>
    <row r="493" spans="1:13" x14ac:dyDescent="0.25">
      <c r="A493" s="2">
        <f t="shared" si="15"/>
        <v>488</v>
      </c>
      <c r="B493" s="2">
        <v>9992</v>
      </c>
      <c r="C493" s="2" t="s">
        <v>2999</v>
      </c>
      <c r="D493" s="14" t="s">
        <v>488</v>
      </c>
      <c r="E493" s="14">
        <v>406.37577119999997</v>
      </c>
      <c r="F493" s="14">
        <v>0</v>
      </c>
      <c r="G493" s="14">
        <v>406.37577119999997</v>
      </c>
      <c r="H493" s="16">
        <v>42414.293537600002</v>
      </c>
      <c r="I493" s="16">
        <v>32989.471934000001</v>
      </c>
      <c r="J493" s="3" t="s">
        <v>5011</v>
      </c>
      <c r="K493" s="16">
        <v>406495.79689835716</v>
      </c>
      <c r="L493" s="16">
        <v>62908.813801299999</v>
      </c>
      <c r="M493" s="16">
        <f t="shared" si="14"/>
        <v>1.4831984351108367</v>
      </c>
    </row>
    <row r="494" spans="1:13" x14ac:dyDescent="0.25">
      <c r="A494" s="2">
        <f t="shared" si="15"/>
        <v>489</v>
      </c>
      <c r="B494" s="2">
        <v>10021</v>
      </c>
      <c r="C494" s="2" t="s">
        <v>3000</v>
      </c>
      <c r="D494" s="14" t="s">
        <v>489</v>
      </c>
      <c r="E494" s="14">
        <v>6.8780300000000003E-2</v>
      </c>
      <c r="F494" s="14">
        <v>0</v>
      </c>
      <c r="G494" s="14">
        <v>6.8780300000000003E-2</v>
      </c>
      <c r="H494" s="16">
        <v>9.2995350000000006</v>
      </c>
      <c r="I494" s="16">
        <v>7.4495165000000005</v>
      </c>
      <c r="J494" s="3" t="s">
        <v>5011</v>
      </c>
      <c r="K494" s="16">
        <v>79.846010087799996</v>
      </c>
      <c r="L494" s="16">
        <v>14.489090800000001</v>
      </c>
      <c r="M494" s="16">
        <f t="shared" si="14"/>
        <v>1.5580446549209181</v>
      </c>
    </row>
    <row r="495" spans="1:13" x14ac:dyDescent="0.25">
      <c r="A495" s="2">
        <f t="shared" si="15"/>
        <v>490</v>
      </c>
      <c r="B495" s="2">
        <v>10064</v>
      </c>
      <c r="C495" s="2" t="s">
        <v>3001</v>
      </c>
      <c r="D495" s="14" t="s">
        <v>490</v>
      </c>
      <c r="E495" s="14">
        <v>0</v>
      </c>
      <c r="F495" s="14">
        <v>0</v>
      </c>
      <c r="G495" s="14">
        <v>0</v>
      </c>
      <c r="H495" s="16">
        <v>0</v>
      </c>
      <c r="I495" s="16">
        <v>0</v>
      </c>
      <c r="J495" s="3" t="s">
        <v>5011</v>
      </c>
      <c r="K495" s="16">
        <v>0</v>
      </c>
      <c r="L495" s="16">
        <v>0</v>
      </c>
      <c r="M495" s="16">
        <v>0</v>
      </c>
    </row>
    <row r="496" spans="1:13" x14ac:dyDescent="0.25">
      <c r="A496" s="2">
        <f t="shared" si="15"/>
        <v>491</v>
      </c>
      <c r="B496" s="2">
        <v>10095</v>
      </c>
      <c r="C496" s="2" t="s">
        <v>3002</v>
      </c>
      <c r="D496" s="14" t="s">
        <v>491</v>
      </c>
      <c r="E496" s="14">
        <v>0.40742459999999997</v>
      </c>
      <c r="F496" s="14">
        <v>0</v>
      </c>
      <c r="G496" s="14">
        <v>0.40742459999999997</v>
      </c>
      <c r="H496" s="16">
        <v>158.52116359999999</v>
      </c>
      <c r="I496" s="16">
        <v>91.857077599999997</v>
      </c>
      <c r="J496" s="3" t="s">
        <v>5011</v>
      </c>
      <c r="K496" s="16">
        <v>721.1228145834998</v>
      </c>
      <c r="L496" s="16">
        <v>125.6618857</v>
      </c>
      <c r="M496" s="16">
        <f t="shared" si="14"/>
        <v>0.79271362161512671</v>
      </c>
    </row>
    <row r="497" spans="1:13" x14ac:dyDescent="0.25">
      <c r="A497" s="2">
        <f t="shared" si="15"/>
        <v>492</v>
      </c>
      <c r="B497" s="2">
        <v>10155</v>
      </c>
      <c r="C497" s="2" t="s">
        <v>3003</v>
      </c>
      <c r="D497" s="14" t="s">
        <v>492</v>
      </c>
      <c r="E497" s="14">
        <v>31.379688400000003</v>
      </c>
      <c r="F497" s="14">
        <v>0</v>
      </c>
      <c r="G497" s="14">
        <v>31.379688400000003</v>
      </c>
      <c r="H497" s="16">
        <v>47.497624999999999</v>
      </c>
      <c r="I497" s="16">
        <v>14.033485600000001</v>
      </c>
      <c r="J497" s="3" t="s">
        <v>5011</v>
      </c>
      <c r="K497" s="16">
        <v>20218.199833450995</v>
      </c>
      <c r="L497" s="16">
        <v>2112.6587312000001</v>
      </c>
      <c r="M497" s="16">
        <f t="shared" si="14"/>
        <v>44.47924988249413</v>
      </c>
    </row>
    <row r="498" spans="1:13" x14ac:dyDescent="0.25">
      <c r="A498" s="2">
        <f t="shared" si="15"/>
        <v>493</v>
      </c>
      <c r="B498" s="2">
        <v>10167</v>
      </c>
      <c r="C498" s="2" t="s">
        <v>3004</v>
      </c>
      <c r="D498" s="14" t="s">
        <v>493</v>
      </c>
      <c r="E498" s="14">
        <v>0.21916879999999997</v>
      </c>
      <c r="F498" s="14">
        <v>0</v>
      </c>
      <c r="G498" s="14">
        <v>0.21916879999999997</v>
      </c>
      <c r="H498" s="16">
        <v>24.104559399999999</v>
      </c>
      <c r="I498" s="16">
        <v>19.734706299999999</v>
      </c>
      <c r="J498" s="3" t="s">
        <v>5011</v>
      </c>
      <c r="K498" s="16">
        <v>205.040684322</v>
      </c>
      <c r="L498" s="16">
        <v>34.551712799999997</v>
      </c>
      <c r="M498" s="16">
        <f t="shared" si="14"/>
        <v>1.4334098469354308</v>
      </c>
    </row>
    <row r="499" spans="1:13" x14ac:dyDescent="0.25">
      <c r="A499" s="2">
        <f t="shared" si="15"/>
        <v>494</v>
      </c>
      <c r="B499" s="2">
        <v>10170</v>
      </c>
      <c r="C499" s="2" t="s">
        <v>3005</v>
      </c>
      <c r="D499" s="14" t="s">
        <v>494</v>
      </c>
      <c r="E499" s="14">
        <v>0</v>
      </c>
      <c r="F499" s="14">
        <v>0</v>
      </c>
      <c r="G499" s="14">
        <v>0</v>
      </c>
      <c r="H499" s="16">
        <v>0</v>
      </c>
      <c r="I499" s="16">
        <v>0</v>
      </c>
      <c r="J499" s="3" t="s">
        <v>5011</v>
      </c>
      <c r="K499" s="16">
        <v>0</v>
      </c>
      <c r="L499" s="16">
        <v>0</v>
      </c>
      <c r="M499" s="16">
        <v>0</v>
      </c>
    </row>
    <row r="500" spans="1:13" x14ac:dyDescent="0.25">
      <c r="A500" s="2">
        <f t="shared" si="15"/>
        <v>495</v>
      </c>
      <c r="B500" s="2">
        <v>10195</v>
      </c>
      <c r="C500" s="2" t="s">
        <v>3006</v>
      </c>
      <c r="D500" s="14" t="s">
        <v>495</v>
      </c>
      <c r="E500" s="14">
        <v>1.0356110999999999</v>
      </c>
      <c r="F500" s="14">
        <v>0</v>
      </c>
      <c r="G500" s="14">
        <v>1.0356110999999999</v>
      </c>
      <c r="H500" s="16">
        <v>233.23334750000001</v>
      </c>
      <c r="I500" s="16">
        <v>218.03582219999998</v>
      </c>
      <c r="J500" s="3" t="s">
        <v>5011</v>
      </c>
      <c r="K500" s="16">
        <v>1357.9480460978996</v>
      </c>
      <c r="L500" s="16">
        <v>298.3480285</v>
      </c>
      <c r="M500" s="16">
        <f t="shared" si="14"/>
        <v>1.2791825512858961</v>
      </c>
    </row>
    <row r="501" spans="1:13" x14ac:dyDescent="0.25">
      <c r="A501" s="2">
        <f t="shared" si="15"/>
        <v>496</v>
      </c>
      <c r="B501" s="2">
        <v>10239</v>
      </c>
      <c r="C501" s="2" t="s">
        <v>3007</v>
      </c>
      <c r="D501" s="14" t="s">
        <v>496</v>
      </c>
      <c r="E501" s="14">
        <v>4.6849500000000009E-2</v>
      </c>
      <c r="F501" s="14">
        <v>0</v>
      </c>
      <c r="G501" s="14">
        <v>4.6849500000000009E-2</v>
      </c>
      <c r="H501" s="16">
        <v>2.7498624999999999</v>
      </c>
      <c r="I501" s="16">
        <v>2.7498624999999999</v>
      </c>
      <c r="J501" s="3" t="s">
        <v>5011</v>
      </c>
      <c r="K501" s="16">
        <v>43.957080553300003</v>
      </c>
      <c r="L501" s="16">
        <v>5.7446890000000002</v>
      </c>
      <c r="M501" s="16">
        <f t="shared" si="14"/>
        <v>2.0890822722954332</v>
      </c>
    </row>
    <row r="502" spans="1:13" x14ac:dyDescent="0.25">
      <c r="A502" s="2">
        <f t="shared" si="15"/>
        <v>497</v>
      </c>
      <c r="B502" s="2">
        <v>10251</v>
      </c>
      <c r="C502" s="2" t="s">
        <v>3008</v>
      </c>
      <c r="D502" s="14" t="s">
        <v>497</v>
      </c>
      <c r="E502" s="14">
        <v>0.33342319999999998</v>
      </c>
      <c r="F502" s="14">
        <v>0</v>
      </c>
      <c r="G502" s="14">
        <v>0.33342319999999998</v>
      </c>
      <c r="H502" s="16">
        <v>4.1997900000000001</v>
      </c>
      <c r="I502" s="16">
        <v>0.19979</v>
      </c>
      <c r="J502" s="3" t="s">
        <v>5011</v>
      </c>
      <c r="K502" s="16">
        <v>356.89487209830003</v>
      </c>
      <c r="L502" s="16">
        <v>34.6825641</v>
      </c>
      <c r="M502" s="16">
        <f t="shared" si="14"/>
        <v>8.2581662654561292</v>
      </c>
    </row>
    <row r="503" spans="1:13" x14ac:dyDescent="0.25">
      <c r="A503" s="2">
        <f t="shared" si="15"/>
        <v>498</v>
      </c>
      <c r="B503" s="2">
        <v>10268</v>
      </c>
      <c r="C503" s="2" t="s">
        <v>3009</v>
      </c>
      <c r="D503" s="14" t="s">
        <v>498</v>
      </c>
      <c r="E503" s="14">
        <v>0</v>
      </c>
      <c r="F503" s="14">
        <v>0</v>
      </c>
      <c r="G503" s="14">
        <v>0</v>
      </c>
      <c r="H503" s="16">
        <v>0</v>
      </c>
      <c r="I503" s="16">
        <v>0</v>
      </c>
      <c r="J503" s="3" t="s">
        <v>5011</v>
      </c>
      <c r="K503" s="16">
        <v>0</v>
      </c>
      <c r="L503" s="16">
        <v>0</v>
      </c>
      <c r="M503" s="16">
        <v>0</v>
      </c>
    </row>
    <row r="504" spans="1:13" x14ac:dyDescent="0.25">
      <c r="A504" s="2">
        <f t="shared" si="15"/>
        <v>499</v>
      </c>
      <c r="B504" s="2">
        <v>10394</v>
      </c>
      <c r="C504" s="2" t="s">
        <v>3010</v>
      </c>
      <c r="D504" s="14" t="s">
        <v>499</v>
      </c>
      <c r="E504" s="14">
        <v>0.33185510000000001</v>
      </c>
      <c r="F504" s="14">
        <v>0</v>
      </c>
      <c r="G504" s="14">
        <v>0.33185510000000001</v>
      </c>
      <c r="H504" s="16">
        <v>90.495474999999999</v>
      </c>
      <c r="I504" s="16">
        <v>90.495474999999999</v>
      </c>
      <c r="J504" s="3" t="s">
        <v>5011</v>
      </c>
      <c r="K504" s="16">
        <v>431.14429548709995</v>
      </c>
      <c r="L504" s="16">
        <v>114.2949593</v>
      </c>
      <c r="M504" s="16">
        <f t="shared" si="14"/>
        <v>1.2629908766156541</v>
      </c>
    </row>
    <row r="505" spans="1:13" x14ac:dyDescent="0.25">
      <c r="A505" s="2">
        <f t="shared" si="15"/>
        <v>500</v>
      </c>
      <c r="B505" s="2">
        <v>10402</v>
      </c>
      <c r="C505" s="2" t="s">
        <v>3011</v>
      </c>
      <c r="D505" s="14" t="s">
        <v>500</v>
      </c>
      <c r="E505" s="14">
        <v>32.451831800000001</v>
      </c>
      <c r="F505" s="14">
        <v>0</v>
      </c>
      <c r="G505" s="14">
        <v>32.451831800000001</v>
      </c>
      <c r="H505" s="16">
        <v>334.7735136</v>
      </c>
      <c r="I505" s="16">
        <v>173.77722109999999</v>
      </c>
      <c r="J505" s="3" t="s">
        <v>5011</v>
      </c>
      <c r="K505" s="16">
        <v>28197.757276163502</v>
      </c>
      <c r="L505" s="16">
        <v>3021.8381414</v>
      </c>
      <c r="M505" s="16">
        <f t="shared" si="14"/>
        <v>9.0265149978698922</v>
      </c>
    </row>
    <row r="506" spans="1:13" x14ac:dyDescent="0.25">
      <c r="A506" s="2">
        <f t="shared" si="15"/>
        <v>501</v>
      </c>
      <c r="B506" s="2">
        <v>10439</v>
      </c>
      <c r="C506" s="2" t="s">
        <v>3012</v>
      </c>
      <c r="D506" s="14" t="s">
        <v>501</v>
      </c>
      <c r="E506" s="14">
        <v>0.16589020000000002</v>
      </c>
      <c r="F506" s="14">
        <v>0</v>
      </c>
      <c r="G506" s="14">
        <v>0.16589020000000002</v>
      </c>
      <c r="H506" s="16">
        <v>82.522064700000001</v>
      </c>
      <c r="I506" s="16">
        <v>65.979798599999995</v>
      </c>
      <c r="J506" s="3" t="s">
        <v>5011</v>
      </c>
      <c r="K506" s="16">
        <v>303.79480512300006</v>
      </c>
      <c r="L506" s="16">
        <v>82.8846645</v>
      </c>
      <c r="M506" s="16">
        <f t="shared" si="14"/>
        <v>1.0043939739185901</v>
      </c>
    </row>
    <row r="507" spans="1:13" x14ac:dyDescent="0.25">
      <c r="A507" s="2">
        <f t="shared" si="15"/>
        <v>502</v>
      </c>
      <c r="B507" s="2">
        <v>10520</v>
      </c>
      <c r="C507" s="2" t="s">
        <v>3013</v>
      </c>
      <c r="D507" s="14" t="s">
        <v>502</v>
      </c>
      <c r="E507" s="14">
        <v>0.35792629999999998</v>
      </c>
      <c r="F507" s="14">
        <v>0</v>
      </c>
      <c r="G507" s="14">
        <v>0.35792629999999998</v>
      </c>
      <c r="H507" s="16">
        <v>33.408329500000001</v>
      </c>
      <c r="I507" s="16">
        <v>30.579273400000002</v>
      </c>
      <c r="J507" s="3" t="s">
        <v>5011</v>
      </c>
      <c r="K507" s="16">
        <v>331.16369509950005</v>
      </c>
      <c r="L507" s="16">
        <v>45.029100599999992</v>
      </c>
      <c r="M507" s="16">
        <f t="shared" si="14"/>
        <v>1.3478405318050994</v>
      </c>
    </row>
    <row r="508" spans="1:13" x14ac:dyDescent="0.25">
      <c r="A508" s="2">
        <f t="shared" si="15"/>
        <v>503</v>
      </c>
      <c r="B508" s="2">
        <v>10523</v>
      </c>
      <c r="C508" s="2" t="s">
        <v>3014</v>
      </c>
      <c r="D508" s="14" t="s">
        <v>503</v>
      </c>
      <c r="E508" s="14">
        <v>0</v>
      </c>
      <c r="F508" s="14">
        <v>0</v>
      </c>
      <c r="G508" s="14">
        <v>0</v>
      </c>
      <c r="H508" s="16">
        <v>0</v>
      </c>
      <c r="I508" s="16">
        <v>0</v>
      </c>
      <c r="J508" s="3" t="s">
        <v>5011</v>
      </c>
      <c r="K508" s="16">
        <v>0</v>
      </c>
      <c r="L508" s="16">
        <v>0</v>
      </c>
      <c r="M508" s="16">
        <v>0</v>
      </c>
    </row>
    <row r="509" spans="1:13" x14ac:dyDescent="0.25">
      <c r="A509" s="2">
        <f t="shared" si="15"/>
        <v>504</v>
      </c>
      <c r="B509" s="2">
        <v>10617</v>
      </c>
      <c r="C509" s="2" t="s">
        <v>3015</v>
      </c>
      <c r="D509" s="14" t="s">
        <v>504</v>
      </c>
      <c r="E509" s="14">
        <v>0.48732130000000007</v>
      </c>
      <c r="F509" s="14">
        <v>0</v>
      </c>
      <c r="G509" s="14">
        <v>0.48732130000000007</v>
      </c>
      <c r="H509" s="16">
        <v>124.8410973</v>
      </c>
      <c r="I509" s="16">
        <v>57.526148600000006</v>
      </c>
      <c r="J509" s="3" t="s">
        <v>5011</v>
      </c>
      <c r="K509" s="16">
        <v>810.75671700949999</v>
      </c>
      <c r="L509" s="16">
        <v>134.06134169999999</v>
      </c>
      <c r="M509" s="16">
        <f t="shared" si="14"/>
        <v>1.0738558423420712</v>
      </c>
    </row>
    <row r="510" spans="1:13" x14ac:dyDescent="0.25">
      <c r="A510" s="2">
        <f t="shared" si="15"/>
        <v>505</v>
      </c>
      <c r="B510" s="2">
        <v>10621</v>
      </c>
      <c r="C510" s="2" t="s">
        <v>3016</v>
      </c>
      <c r="D510" s="14" t="s">
        <v>505</v>
      </c>
      <c r="E510" s="14">
        <v>0</v>
      </c>
      <c r="F510" s="14">
        <v>0</v>
      </c>
      <c r="G510" s="14">
        <v>0</v>
      </c>
      <c r="H510" s="16">
        <v>0</v>
      </c>
      <c r="I510" s="16">
        <v>0</v>
      </c>
      <c r="J510" s="3" t="s">
        <v>5011</v>
      </c>
      <c r="K510" s="16">
        <v>0</v>
      </c>
      <c r="L510" s="16">
        <v>0</v>
      </c>
      <c r="M510" s="16">
        <v>0</v>
      </c>
    </row>
    <row r="511" spans="1:13" x14ac:dyDescent="0.25">
      <c r="A511" s="2">
        <f t="shared" si="15"/>
        <v>506</v>
      </c>
      <c r="B511" s="2">
        <v>10770</v>
      </c>
      <c r="C511" s="2" t="s">
        <v>3017</v>
      </c>
      <c r="D511" s="14" t="s">
        <v>506</v>
      </c>
      <c r="E511" s="14">
        <v>2.94548E-2</v>
      </c>
      <c r="F511" s="14">
        <v>0</v>
      </c>
      <c r="G511" s="14">
        <v>2.94548E-2</v>
      </c>
      <c r="H511" s="16">
        <v>5.6677922000000001</v>
      </c>
      <c r="I511" s="16">
        <v>1.9641508999999997</v>
      </c>
      <c r="J511" s="3" t="s">
        <v>5011</v>
      </c>
      <c r="K511" s="16">
        <v>33.982976052699996</v>
      </c>
      <c r="L511" s="16">
        <v>3.1493584999999999</v>
      </c>
      <c r="M511" s="16">
        <f t="shared" si="14"/>
        <v>0.55565878015076131</v>
      </c>
    </row>
    <row r="512" spans="1:13" x14ac:dyDescent="0.25">
      <c r="A512" s="2">
        <f t="shared" si="15"/>
        <v>507</v>
      </c>
      <c r="B512" s="2">
        <v>10773</v>
      </c>
      <c r="C512" s="2" t="s">
        <v>3018</v>
      </c>
      <c r="D512" s="14" t="s">
        <v>507</v>
      </c>
      <c r="E512" s="14">
        <v>0.32507609999999998</v>
      </c>
      <c r="F512" s="14">
        <v>0</v>
      </c>
      <c r="G512" s="14">
        <v>0.32507609999999998</v>
      </c>
      <c r="H512" s="16">
        <v>26.798660000000002</v>
      </c>
      <c r="I512" s="16">
        <v>26.798660000000002</v>
      </c>
      <c r="J512" s="3" t="s">
        <v>5011</v>
      </c>
      <c r="K512" s="16">
        <v>295.36445054149999</v>
      </c>
      <c r="L512" s="16">
        <v>52.592451900000007</v>
      </c>
      <c r="M512" s="16">
        <f t="shared" si="14"/>
        <v>1.9625030467941309</v>
      </c>
    </row>
    <row r="513" spans="1:13" x14ac:dyDescent="0.25">
      <c r="A513" s="2">
        <f t="shared" si="15"/>
        <v>508</v>
      </c>
      <c r="B513" s="2">
        <v>10781</v>
      </c>
      <c r="C513" s="2" t="s">
        <v>3019</v>
      </c>
      <c r="D513" s="14" t="s">
        <v>508</v>
      </c>
      <c r="E513" s="14">
        <v>2.0917190999999997</v>
      </c>
      <c r="F513" s="14">
        <v>0</v>
      </c>
      <c r="G513" s="14">
        <v>2.0917190999999997</v>
      </c>
      <c r="H513" s="16">
        <v>83.750814800000001</v>
      </c>
      <c r="I513" s="16">
        <v>78.749394100000004</v>
      </c>
      <c r="J513" s="3" t="s">
        <v>5011</v>
      </c>
      <c r="K513" s="16">
        <v>2355.0006526479001</v>
      </c>
      <c r="L513" s="16">
        <v>265.73751269999997</v>
      </c>
      <c r="M513" s="16">
        <f t="shared" si="14"/>
        <v>3.172954356737792</v>
      </c>
    </row>
    <row r="514" spans="1:13" x14ac:dyDescent="0.25">
      <c r="A514" s="2">
        <f t="shared" si="15"/>
        <v>509</v>
      </c>
      <c r="B514" s="2">
        <v>10784</v>
      </c>
      <c r="C514" s="2" t="s">
        <v>3020</v>
      </c>
      <c r="D514" s="14" t="s">
        <v>509</v>
      </c>
      <c r="E514" s="14">
        <v>0</v>
      </c>
      <c r="F514" s="14">
        <v>0</v>
      </c>
      <c r="G514" s="14">
        <v>0</v>
      </c>
      <c r="H514" s="16">
        <v>0.74996249999999998</v>
      </c>
      <c r="I514" s="16">
        <v>0.74996249999999998</v>
      </c>
      <c r="J514" s="3" t="s">
        <v>5011</v>
      </c>
      <c r="K514" s="16">
        <v>0.47285636129999997</v>
      </c>
      <c r="L514" s="16">
        <v>0.74684419999999996</v>
      </c>
      <c r="M514" s="16">
        <f t="shared" si="14"/>
        <v>0.99584205876960508</v>
      </c>
    </row>
    <row r="515" spans="1:13" x14ac:dyDescent="0.25">
      <c r="A515" s="2">
        <f t="shared" si="15"/>
        <v>510</v>
      </c>
      <c r="B515" s="2">
        <v>10836</v>
      </c>
      <c r="C515" s="2" t="s">
        <v>3021</v>
      </c>
      <c r="D515" s="14" t="s">
        <v>510</v>
      </c>
      <c r="E515" s="14">
        <v>0.1151609</v>
      </c>
      <c r="F515" s="14">
        <v>0</v>
      </c>
      <c r="G515" s="14">
        <v>0.1151609</v>
      </c>
      <c r="H515" s="16">
        <v>82.345882599999996</v>
      </c>
      <c r="I515" s="16">
        <v>74.595882599999996</v>
      </c>
      <c r="J515" s="3" t="s">
        <v>5011</v>
      </c>
      <c r="K515" s="16">
        <v>347.060607205</v>
      </c>
      <c r="L515" s="16">
        <v>86.179198100000008</v>
      </c>
      <c r="M515" s="16">
        <f t="shared" si="14"/>
        <v>1.0465513924797014</v>
      </c>
    </row>
    <row r="516" spans="1:13" x14ac:dyDescent="0.25">
      <c r="A516" s="2">
        <f t="shared" si="15"/>
        <v>511</v>
      </c>
      <c r="B516" s="2">
        <v>10844</v>
      </c>
      <c r="C516" s="2" t="s">
        <v>3022</v>
      </c>
      <c r="D516" s="14" t="s">
        <v>511</v>
      </c>
      <c r="E516" s="14">
        <v>7.1623799999999987E-2</v>
      </c>
      <c r="F516" s="14">
        <v>0</v>
      </c>
      <c r="G516" s="14">
        <v>7.1623799999999987E-2</v>
      </c>
      <c r="H516" s="16">
        <v>17.632405299999999</v>
      </c>
      <c r="I516" s="16">
        <v>9.8825064000000005</v>
      </c>
      <c r="J516" s="3" t="s">
        <v>5011</v>
      </c>
      <c r="K516" s="16">
        <v>108.658789068</v>
      </c>
      <c r="L516" s="16">
        <v>13.482248100000001</v>
      </c>
      <c r="M516" s="16">
        <f t="shared" si="14"/>
        <v>0.76462898116344924</v>
      </c>
    </row>
    <row r="517" spans="1:13" x14ac:dyDescent="0.25">
      <c r="A517" s="2">
        <f t="shared" si="15"/>
        <v>512</v>
      </c>
      <c r="B517" s="2">
        <v>10852</v>
      </c>
      <c r="C517" s="2" t="s">
        <v>3023</v>
      </c>
      <c r="D517" s="14" t="s">
        <v>512</v>
      </c>
      <c r="E517" s="14">
        <v>0.12145620000000001</v>
      </c>
      <c r="F517" s="14">
        <v>0</v>
      </c>
      <c r="G517" s="14">
        <v>0.12145620000000001</v>
      </c>
      <c r="H517" s="16">
        <v>76.875016700000003</v>
      </c>
      <c r="I517" s="16">
        <v>46.479762400000006</v>
      </c>
      <c r="J517" s="3" t="s">
        <v>5011</v>
      </c>
      <c r="K517" s="16">
        <v>276.51227421469997</v>
      </c>
      <c r="L517" s="16">
        <v>58.497576100000003</v>
      </c>
      <c r="M517" s="16">
        <f t="shared" si="14"/>
        <v>0.76094391404535466</v>
      </c>
    </row>
    <row r="518" spans="1:13" x14ac:dyDescent="0.25">
      <c r="A518" s="2">
        <f t="shared" si="15"/>
        <v>513</v>
      </c>
      <c r="B518" s="2">
        <v>10882</v>
      </c>
      <c r="C518" s="2" t="s">
        <v>3024</v>
      </c>
      <c r="D518" s="14" t="s">
        <v>513</v>
      </c>
      <c r="E518" s="14">
        <v>2.7633017999999998</v>
      </c>
      <c r="F518" s="14">
        <v>0</v>
      </c>
      <c r="G518" s="14">
        <v>2.7633017999999998</v>
      </c>
      <c r="H518" s="16">
        <v>403.54251779999998</v>
      </c>
      <c r="I518" s="16">
        <v>376.4648072</v>
      </c>
      <c r="J518" s="3" t="s">
        <v>5011</v>
      </c>
      <c r="K518" s="16">
        <v>3308.5425138969995</v>
      </c>
      <c r="L518" s="16">
        <v>529.66585539999994</v>
      </c>
      <c r="M518" s="16">
        <f t="shared" si="14"/>
        <v>1.312540394225592</v>
      </c>
    </row>
    <row r="519" spans="1:13" x14ac:dyDescent="0.25">
      <c r="A519" s="2">
        <f t="shared" si="15"/>
        <v>514</v>
      </c>
      <c r="B519" s="2">
        <v>10980</v>
      </c>
      <c r="C519" s="2" t="s">
        <v>3025</v>
      </c>
      <c r="D519" s="14" t="s">
        <v>514</v>
      </c>
      <c r="E519" s="14">
        <v>0</v>
      </c>
      <c r="F519" s="14">
        <v>0</v>
      </c>
      <c r="G519" s="14">
        <v>0</v>
      </c>
      <c r="H519" s="16">
        <v>0</v>
      </c>
      <c r="I519" s="16">
        <v>0</v>
      </c>
      <c r="J519" s="3" t="s">
        <v>5011</v>
      </c>
      <c r="K519" s="16">
        <v>0</v>
      </c>
      <c r="L519" s="16">
        <v>0</v>
      </c>
      <c r="M519" s="16">
        <v>0</v>
      </c>
    </row>
    <row r="520" spans="1:13" x14ac:dyDescent="0.25">
      <c r="A520" s="2">
        <f t="shared" ref="A520:A583" si="16">A519+1</f>
        <v>515</v>
      </c>
      <c r="B520" s="2">
        <v>11052</v>
      </c>
      <c r="C520" s="2" t="s">
        <v>3026</v>
      </c>
      <c r="D520" s="14" t="s">
        <v>515</v>
      </c>
      <c r="E520" s="14">
        <v>0</v>
      </c>
      <c r="F520" s="14">
        <v>0</v>
      </c>
      <c r="G520" s="14">
        <v>0</v>
      </c>
      <c r="H520" s="16">
        <v>0</v>
      </c>
      <c r="I520" s="16">
        <v>0</v>
      </c>
      <c r="J520" s="3" t="s">
        <v>5011</v>
      </c>
      <c r="K520" s="16">
        <v>0</v>
      </c>
      <c r="L520" s="16">
        <v>0</v>
      </c>
      <c r="M520" s="16">
        <v>0</v>
      </c>
    </row>
    <row r="521" spans="1:13" x14ac:dyDescent="0.25">
      <c r="A521" s="2">
        <f t="shared" si="16"/>
        <v>516</v>
      </c>
      <c r="B521" s="2">
        <v>11129</v>
      </c>
      <c r="C521" s="2" t="s">
        <v>3027</v>
      </c>
      <c r="D521" s="14" t="s">
        <v>516</v>
      </c>
      <c r="E521" s="14">
        <v>3.1072999999999996E-2</v>
      </c>
      <c r="F521" s="14">
        <v>0</v>
      </c>
      <c r="G521" s="14">
        <v>3.1072999999999996E-2</v>
      </c>
      <c r="H521" s="16">
        <v>7.7296140000000007</v>
      </c>
      <c r="I521" s="16">
        <v>7.7296140000000007</v>
      </c>
      <c r="J521" s="3" t="s">
        <v>5011</v>
      </c>
      <c r="K521" s="16">
        <v>45.144429500599998</v>
      </c>
      <c r="L521" s="16">
        <v>9.7562815999999994</v>
      </c>
      <c r="M521" s="16">
        <f t="shared" ref="M519:M582" si="17">L521/H521</f>
        <v>1.2621951885307596</v>
      </c>
    </row>
    <row r="522" spans="1:13" x14ac:dyDescent="0.25">
      <c r="A522" s="2">
        <f t="shared" si="16"/>
        <v>517</v>
      </c>
      <c r="B522" s="2">
        <v>11131</v>
      </c>
      <c r="C522" s="2" t="s">
        <v>3028</v>
      </c>
      <c r="D522" s="14" t="s">
        <v>517</v>
      </c>
      <c r="E522" s="14">
        <v>0</v>
      </c>
      <c r="F522" s="14">
        <v>0</v>
      </c>
      <c r="G522" s="14">
        <v>0</v>
      </c>
      <c r="H522" s="16">
        <v>0</v>
      </c>
      <c r="I522" s="16">
        <v>0</v>
      </c>
      <c r="J522" s="3" t="s">
        <v>5011</v>
      </c>
      <c r="K522" s="16">
        <v>0</v>
      </c>
      <c r="L522" s="16">
        <v>0</v>
      </c>
      <c r="M522" s="16">
        <v>0</v>
      </c>
    </row>
    <row r="523" spans="1:13" x14ac:dyDescent="0.25">
      <c r="A523" s="2">
        <f t="shared" si="16"/>
        <v>518</v>
      </c>
      <c r="B523" s="2">
        <v>11256</v>
      </c>
      <c r="C523" s="2" t="s">
        <v>3029</v>
      </c>
      <c r="D523" s="14" t="s">
        <v>518</v>
      </c>
      <c r="E523" s="14">
        <v>0</v>
      </c>
      <c r="F523" s="14">
        <v>0</v>
      </c>
      <c r="G523" s="14">
        <v>0</v>
      </c>
      <c r="H523" s="16">
        <v>0</v>
      </c>
      <c r="I523" s="16">
        <v>0</v>
      </c>
      <c r="J523" s="3" t="s">
        <v>5011</v>
      </c>
      <c r="K523" s="16">
        <v>0</v>
      </c>
      <c r="L523" s="16">
        <v>0</v>
      </c>
      <c r="M523" s="16">
        <v>0</v>
      </c>
    </row>
    <row r="524" spans="1:13" x14ac:dyDescent="0.25">
      <c r="A524" s="2">
        <f t="shared" si="16"/>
        <v>519</v>
      </c>
      <c r="B524" s="2">
        <v>11257</v>
      </c>
      <c r="C524" s="2" t="s">
        <v>3030</v>
      </c>
      <c r="D524" s="14" t="s">
        <v>519</v>
      </c>
      <c r="E524" s="14">
        <v>0</v>
      </c>
      <c r="F524" s="14">
        <v>0</v>
      </c>
      <c r="G524" s="14">
        <v>0</v>
      </c>
      <c r="H524" s="16">
        <v>0</v>
      </c>
      <c r="I524" s="16">
        <v>0</v>
      </c>
      <c r="J524" s="3" t="s">
        <v>5011</v>
      </c>
      <c r="K524" s="16">
        <v>0</v>
      </c>
      <c r="L524" s="16">
        <v>0</v>
      </c>
      <c r="M524" s="16">
        <v>0</v>
      </c>
    </row>
    <row r="525" spans="1:13" x14ac:dyDescent="0.25">
      <c r="A525" s="2">
        <f t="shared" si="16"/>
        <v>520</v>
      </c>
      <c r="B525" s="2">
        <v>11282</v>
      </c>
      <c r="C525" s="2" t="s">
        <v>3031</v>
      </c>
      <c r="D525" s="14" t="s">
        <v>520</v>
      </c>
      <c r="E525" s="14">
        <v>5.3484137</v>
      </c>
      <c r="F525" s="14">
        <v>0</v>
      </c>
      <c r="G525" s="14">
        <v>5.3484137</v>
      </c>
      <c r="H525" s="16">
        <v>470.0595849</v>
      </c>
      <c r="I525" s="16">
        <v>239.76045040000002</v>
      </c>
      <c r="J525" s="3" t="s">
        <v>5011</v>
      </c>
      <c r="K525" s="16">
        <v>4984.8301526261012</v>
      </c>
      <c r="L525" s="16">
        <v>685.51847280000004</v>
      </c>
      <c r="M525" s="16">
        <f t="shared" si="17"/>
        <v>1.4583650558808126</v>
      </c>
    </row>
    <row r="526" spans="1:13" x14ac:dyDescent="0.25">
      <c r="A526" s="2">
        <f t="shared" si="16"/>
        <v>521</v>
      </c>
      <c r="B526" s="2">
        <v>11392</v>
      </c>
      <c r="C526" s="2" t="s">
        <v>3032</v>
      </c>
      <c r="D526" s="14" t="s">
        <v>521</v>
      </c>
      <c r="E526" s="14">
        <v>4.3729999999999995E-4</v>
      </c>
      <c r="F526" s="14">
        <v>0</v>
      </c>
      <c r="G526" s="14">
        <v>4.3729999999999995E-4</v>
      </c>
      <c r="H526" s="16">
        <v>39.9480498</v>
      </c>
      <c r="I526" s="16">
        <v>38.048049800000001</v>
      </c>
      <c r="J526" s="3" t="s">
        <v>5011</v>
      </c>
      <c r="K526" s="16">
        <v>19.889659909899997</v>
      </c>
      <c r="L526" s="16">
        <v>38.180699700000005</v>
      </c>
      <c r="M526" s="16">
        <f t="shared" si="17"/>
        <v>0.95575878900601563</v>
      </c>
    </row>
    <row r="527" spans="1:13" x14ac:dyDescent="0.25">
      <c r="A527" s="2">
        <f t="shared" si="16"/>
        <v>522</v>
      </c>
      <c r="B527" s="2">
        <v>11439</v>
      </c>
      <c r="C527" s="2" t="s">
        <v>3033</v>
      </c>
      <c r="D527" s="14" t="s">
        <v>522</v>
      </c>
      <c r="E527" s="14">
        <v>0.7208924000000001</v>
      </c>
      <c r="F527" s="14">
        <v>0</v>
      </c>
      <c r="G527" s="14">
        <v>0.7208924000000001</v>
      </c>
      <c r="H527" s="16">
        <v>121.2080425</v>
      </c>
      <c r="I527" s="16">
        <v>106.7714184</v>
      </c>
      <c r="J527" s="3" t="s">
        <v>5011</v>
      </c>
      <c r="K527" s="16">
        <v>780.33421157930036</v>
      </c>
      <c r="L527" s="16">
        <v>164.23243220000001</v>
      </c>
      <c r="M527" s="16">
        <f t="shared" si="17"/>
        <v>1.354963159313459</v>
      </c>
    </row>
    <row r="528" spans="1:13" x14ac:dyDescent="0.25">
      <c r="A528" s="2">
        <f t="shared" si="16"/>
        <v>523</v>
      </c>
      <c r="B528" s="2">
        <v>11460</v>
      </c>
      <c r="C528" s="2" t="s">
        <v>3034</v>
      </c>
      <c r="D528" s="14" t="s">
        <v>523</v>
      </c>
      <c r="E528" s="14">
        <v>11.0447033</v>
      </c>
      <c r="F528" s="14">
        <v>0</v>
      </c>
      <c r="G528" s="14">
        <v>11.0447033</v>
      </c>
      <c r="H528" s="16">
        <v>302.1767423</v>
      </c>
      <c r="I528" s="16">
        <v>229.6732982</v>
      </c>
      <c r="J528" s="3" t="s">
        <v>5011</v>
      </c>
      <c r="K528" s="16">
        <v>8541.6941201839982</v>
      </c>
      <c r="L528" s="16">
        <v>1004.2977144</v>
      </c>
      <c r="M528" s="16">
        <f t="shared" si="17"/>
        <v>3.3235440515899692</v>
      </c>
    </row>
    <row r="529" spans="1:13" x14ac:dyDescent="0.25">
      <c r="A529" s="2">
        <f t="shared" si="16"/>
        <v>524</v>
      </c>
      <c r="B529" s="2">
        <v>11462</v>
      </c>
      <c r="C529" s="2" t="s">
        <v>3035</v>
      </c>
      <c r="D529" s="14" t="s">
        <v>524</v>
      </c>
      <c r="E529" s="14">
        <v>0</v>
      </c>
      <c r="F529" s="14">
        <v>0</v>
      </c>
      <c r="G529" s="14">
        <v>0</v>
      </c>
      <c r="H529" s="16">
        <v>0</v>
      </c>
      <c r="I529" s="16">
        <v>0</v>
      </c>
      <c r="J529" s="3" t="s">
        <v>5011</v>
      </c>
      <c r="K529" s="16">
        <v>0</v>
      </c>
      <c r="L529" s="16">
        <v>0</v>
      </c>
      <c r="M529" s="16">
        <v>0</v>
      </c>
    </row>
    <row r="530" spans="1:13" x14ac:dyDescent="0.25">
      <c r="A530" s="2">
        <f t="shared" si="16"/>
        <v>525</v>
      </c>
      <c r="B530" s="2">
        <v>11502</v>
      </c>
      <c r="C530" s="2" t="s">
        <v>3036</v>
      </c>
      <c r="D530" s="14" t="s">
        <v>525</v>
      </c>
      <c r="E530" s="14">
        <v>0.36277550000000003</v>
      </c>
      <c r="F530" s="14">
        <v>0</v>
      </c>
      <c r="G530" s="14">
        <v>0.36277550000000003</v>
      </c>
      <c r="H530" s="16">
        <v>60.002517999999995</v>
      </c>
      <c r="I530" s="16">
        <v>59.034520599999993</v>
      </c>
      <c r="J530" s="3" t="s">
        <v>5011</v>
      </c>
      <c r="K530" s="16">
        <v>486.06982203180007</v>
      </c>
      <c r="L530" s="16">
        <v>87.32045939999999</v>
      </c>
      <c r="M530" s="16">
        <f t="shared" si="17"/>
        <v>1.455279916752827</v>
      </c>
    </row>
    <row r="531" spans="1:13" x14ac:dyDescent="0.25">
      <c r="A531" s="2">
        <f t="shared" si="16"/>
        <v>526</v>
      </c>
      <c r="B531" s="2">
        <v>11538</v>
      </c>
      <c r="C531" s="2" t="s">
        <v>3037</v>
      </c>
      <c r="D531" s="14" t="s">
        <v>526</v>
      </c>
      <c r="E531" s="14">
        <v>0.84603419999999985</v>
      </c>
      <c r="F531" s="14">
        <v>0</v>
      </c>
      <c r="G531" s="14">
        <v>0.84603419999999985</v>
      </c>
      <c r="H531" s="16">
        <v>98.162846400000006</v>
      </c>
      <c r="I531" s="16">
        <v>68.748278299999996</v>
      </c>
      <c r="J531" s="3" t="s">
        <v>5011</v>
      </c>
      <c r="K531" s="16">
        <v>975.16179352949996</v>
      </c>
      <c r="L531" s="16">
        <v>136.92006409999999</v>
      </c>
      <c r="M531" s="16">
        <f t="shared" si="17"/>
        <v>1.3948257321519559</v>
      </c>
    </row>
    <row r="532" spans="1:13" x14ac:dyDescent="0.25">
      <c r="A532" s="2">
        <f t="shared" si="16"/>
        <v>527</v>
      </c>
      <c r="B532" s="2">
        <v>11554</v>
      </c>
      <c r="C532" s="2" t="s">
        <v>3038</v>
      </c>
      <c r="D532" s="14" t="s">
        <v>527</v>
      </c>
      <c r="E532" s="14">
        <v>0.71967330000000007</v>
      </c>
      <c r="F532" s="14">
        <v>0</v>
      </c>
      <c r="G532" s="14">
        <v>0.71967330000000007</v>
      </c>
      <c r="H532" s="16">
        <v>49.123172699999998</v>
      </c>
      <c r="I532" s="16">
        <v>33.933057499999997</v>
      </c>
      <c r="J532" s="3" t="s">
        <v>5011</v>
      </c>
      <c r="K532" s="16">
        <v>712.10612628829995</v>
      </c>
      <c r="L532" s="16">
        <v>93.814891300000014</v>
      </c>
      <c r="M532" s="16">
        <f t="shared" si="17"/>
        <v>1.9097889273752062</v>
      </c>
    </row>
    <row r="533" spans="1:13" x14ac:dyDescent="0.25">
      <c r="A533" s="2">
        <f t="shared" si="16"/>
        <v>528</v>
      </c>
      <c r="B533" s="2">
        <v>11572</v>
      </c>
      <c r="C533" s="2" t="s">
        <v>3039</v>
      </c>
      <c r="D533" s="14" t="s">
        <v>528</v>
      </c>
      <c r="E533" s="14">
        <v>1.7126820999999999</v>
      </c>
      <c r="F533" s="14">
        <v>0</v>
      </c>
      <c r="G533" s="14">
        <v>1.7126820999999999</v>
      </c>
      <c r="H533" s="16">
        <v>106.6777154</v>
      </c>
      <c r="I533" s="16">
        <v>98.404669999999996</v>
      </c>
      <c r="J533" s="3" t="s">
        <v>5011</v>
      </c>
      <c r="K533" s="16">
        <v>1524.0968209749999</v>
      </c>
      <c r="L533" s="16">
        <v>199.28562789999998</v>
      </c>
      <c r="M533" s="16">
        <f t="shared" si="17"/>
        <v>1.8681092593027164</v>
      </c>
    </row>
    <row r="534" spans="1:13" x14ac:dyDescent="0.25">
      <c r="A534" s="2">
        <f t="shared" si="16"/>
        <v>529</v>
      </c>
      <c r="B534" s="2">
        <v>11660</v>
      </c>
      <c r="C534" s="2" t="s">
        <v>3040</v>
      </c>
      <c r="D534" s="14" t="s">
        <v>529</v>
      </c>
      <c r="E534" s="14">
        <v>0</v>
      </c>
      <c r="F534" s="14">
        <v>0</v>
      </c>
      <c r="G534" s="14">
        <v>0</v>
      </c>
      <c r="H534" s="16">
        <v>0</v>
      </c>
      <c r="I534" s="16">
        <v>0</v>
      </c>
      <c r="J534" s="3" t="s">
        <v>5011</v>
      </c>
      <c r="K534" s="16">
        <v>0</v>
      </c>
      <c r="L534" s="16">
        <v>0</v>
      </c>
      <c r="M534" s="16">
        <v>0</v>
      </c>
    </row>
    <row r="535" spans="1:13" x14ac:dyDescent="0.25">
      <c r="A535" s="2">
        <f t="shared" si="16"/>
        <v>530</v>
      </c>
      <c r="B535" s="2">
        <v>11681</v>
      </c>
      <c r="C535" s="2" t="s">
        <v>3041</v>
      </c>
      <c r="D535" s="14" t="s">
        <v>530</v>
      </c>
      <c r="E535" s="14">
        <v>1.4551E-3</v>
      </c>
      <c r="F535" s="14">
        <v>0</v>
      </c>
      <c r="G535" s="14">
        <v>1.4551E-3</v>
      </c>
      <c r="H535" s="16">
        <v>17.499124999999999</v>
      </c>
      <c r="I535" s="16">
        <v>17.499124999999999</v>
      </c>
      <c r="J535" s="3" t="s">
        <v>5011</v>
      </c>
      <c r="K535" s="16">
        <v>17.398594854500001</v>
      </c>
      <c r="L535" s="16">
        <v>18.854901999999999</v>
      </c>
      <c r="M535" s="16">
        <f t="shared" si="17"/>
        <v>1.077476845270835</v>
      </c>
    </row>
    <row r="536" spans="1:13" x14ac:dyDescent="0.25">
      <c r="A536" s="2">
        <f t="shared" si="16"/>
        <v>531</v>
      </c>
      <c r="B536" s="2">
        <v>11694</v>
      </c>
      <c r="C536" s="2" t="s">
        <v>3042</v>
      </c>
      <c r="D536" s="14" t="s">
        <v>531</v>
      </c>
      <c r="E536" s="14">
        <v>0</v>
      </c>
      <c r="F536" s="14">
        <v>0</v>
      </c>
      <c r="G536" s="14">
        <v>0</v>
      </c>
      <c r="H536" s="16">
        <v>0</v>
      </c>
      <c r="I536" s="16">
        <v>0</v>
      </c>
      <c r="J536" s="3" t="s">
        <v>5011</v>
      </c>
      <c r="K536" s="16">
        <v>0</v>
      </c>
      <c r="L536" s="16">
        <v>0</v>
      </c>
      <c r="M536" s="16">
        <v>0</v>
      </c>
    </row>
    <row r="537" spans="1:13" x14ac:dyDescent="0.25">
      <c r="A537" s="2">
        <f t="shared" si="16"/>
        <v>532</v>
      </c>
      <c r="B537" s="2">
        <v>11777</v>
      </c>
      <c r="C537" s="2" t="s">
        <v>3043</v>
      </c>
      <c r="D537" s="14" t="s">
        <v>532</v>
      </c>
      <c r="E537" s="14">
        <v>0.43651549999999995</v>
      </c>
      <c r="F537" s="14">
        <v>0</v>
      </c>
      <c r="G537" s="14">
        <v>0.43651549999999995</v>
      </c>
      <c r="H537" s="16">
        <v>27.271837200000004</v>
      </c>
      <c r="I537" s="16">
        <v>24.961356700000003</v>
      </c>
      <c r="J537" s="3" t="s">
        <v>5011</v>
      </c>
      <c r="K537" s="16">
        <v>493.18297738760003</v>
      </c>
      <c r="L537" s="16">
        <v>66.918870499999997</v>
      </c>
      <c r="M537" s="16">
        <f t="shared" si="17"/>
        <v>2.453771999636313</v>
      </c>
    </row>
    <row r="538" spans="1:13" x14ac:dyDescent="0.25">
      <c r="A538" s="2">
        <f t="shared" si="16"/>
        <v>533</v>
      </c>
      <c r="B538" s="2">
        <v>11782</v>
      </c>
      <c r="C538" s="2" t="s">
        <v>3044</v>
      </c>
      <c r="D538" s="14" t="s">
        <v>533</v>
      </c>
      <c r="E538" s="14">
        <v>6.2077764000000011</v>
      </c>
      <c r="F538" s="14">
        <v>0</v>
      </c>
      <c r="G538" s="14">
        <v>6.2077764000000011</v>
      </c>
      <c r="H538" s="16">
        <v>537.14923069999998</v>
      </c>
      <c r="I538" s="16">
        <v>457.7853508</v>
      </c>
      <c r="J538" s="3" t="s">
        <v>5011</v>
      </c>
      <c r="K538" s="16">
        <v>5350.1097975901976</v>
      </c>
      <c r="L538" s="16">
        <v>903.03722310000001</v>
      </c>
      <c r="M538" s="16">
        <f t="shared" si="17"/>
        <v>1.6811663714442699</v>
      </c>
    </row>
    <row r="539" spans="1:13" x14ac:dyDescent="0.25">
      <c r="A539" s="2">
        <f t="shared" si="16"/>
        <v>534</v>
      </c>
      <c r="B539" s="2">
        <v>11815</v>
      </c>
      <c r="C539" s="2" t="s">
        <v>3045</v>
      </c>
      <c r="D539" s="14" t="s">
        <v>534</v>
      </c>
      <c r="E539" s="14">
        <v>0</v>
      </c>
      <c r="F539" s="14">
        <v>0</v>
      </c>
      <c r="G539" s="14">
        <v>0</v>
      </c>
      <c r="H539" s="16">
        <v>0</v>
      </c>
      <c r="I539" s="16">
        <v>0</v>
      </c>
      <c r="J539" s="3" t="s">
        <v>5011</v>
      </c>
      <c r="K539" s="16">
        <v>0</v>
      </c>
      <c r="L539" s="16">
        <v>0</v>
      </c>
      <c r="M539" s="16">
        <v>0</v>
      </c>
    </row>
    <row r="540" spans="1:13" x14ac:dyDescent="0.25">
      <c r="A540" s="2">
        <f t="shared" si="16"/>
        <v>535</v>
      </c>
      <c r="B540" s="2">
        <v>11899</v>
      </c>
      <c r="C540" s="2" t="s">
        <v>3046</v>
      </c>
      <c r="D540" s="14" t="s">
        <v>535</v>
      </c>
      <c r="E540" s="14">
        <v>0</v>
      </c>
      <c r="F540" s="14">
        <v>0</v>
      </c>
      <c r="G540" s="14">
        <v>0</v>
      </c>
      <c r="H540" s="16">
        <v>0</v>
      </c>
      <c r="I540" s="16">
        <v>0</v>
      </c>
      <c r="J540" s="3" t="s">
        <v>5011</v>
      </c>
      <c r="K540" s="16">
        <v>0</v>
      </c>
      <c r="L540" s="16">
        <v>0</v>
      </c>
      <c r="M540" s="16">
        <v>0</v>
      </c>
    </row>
    <row r="541" spans="1:13" x14ac:dyDescent="0.25">
      <c r="A541" s="2">
        <f t="shared" si="16"/>
        <v>536</v>
      </c>
      <c r="B541" s="2">
        <v>11941</v>
      </c>
      <c r="C541" s="2" t="s">
        <v>3047</v>
      </c>
      <c r="D541" s="14" t="s">
        <v>536</v>
      </c>
      <c r="E541" s="14">
        <v>5.3015837000000001</v>
      </c>
      <c r="F541" s="14">
        <v>0</v>
      </c>
      <c r="G541" s="14">
        <v>5.3015837000000001</v>
      </c>
      <c r="H541" s="16">
        <v>1228.0466417</v>
      </c>
      <c r="I541" s="16">
        <v>861.04206539999996</v>
      </c>
      <c r="J541" s="3" t="s">
        <v>5011</v>
      </c>
      <c r="K541" s="16">
        <v>5648.3174294518994</v>
      </c>
      <c r="L541" s="16">
        <v>1034.8854896</v>
      </c>
      <c r="M541" s="16">
        <f t="shared" si="17"/>
        <v>0.84270861908583161</v>
      </c>
    </row>
    <row r="542" spans="1:13" x14ac:dyDescent="0.25">
      <c r="A542" s="2">
        <f t="shared" si="16"/>
        <v>537</v>
      </c>
      <c r="B542" s="2">
        <v>11991</v>
      </c>
      <c r="C542" s="2" t="s">
        <v>3048</v>
      </c>
      <c r="D542" s="14" t="s">
        <v>537</v>
      </c>
      <c r="E542" s="14">
        <v>1.2889199999999998E-2</v>
      </c>
      <c r="F542" s="14">
        <v>0</v>
      </c>
      <c r="G542" s="14">
        <v>1.2889199999999998E-2</v>
      </c>
      <c r="H542" s="16">
        <v>4.7647620000000002</v>
      </c>
      <c r="I542" s="16">
        <v>4.0494523999999998</v>
      </c>
      <c r="J542" s="3" t="s">
        <v>5011</v>
      </c>
      <c r="K542" s="16">
        <v>22.013434202300001</v>
      </c>
      <c r="L542" s="16">
        <v>5.4997952000000003</v>
      </c>
      <c r="M542" s="16">
        <f t="shared" si="17"/>
        <v>1.1542644102685506</v>
      </c>
    </row>
    <row r="543" spans="1:13" x14ac:dyDescent="0.25">
      <c r="A543" s="2">
        <f t="shared" si="16"/>
        <v>538</v>
      </c>
      <c r="B543" s="2">
        <v>12001</v>
      </c>
      <c r="C543" s="2" t="s">
        <v>3049</v>
      </c>
      <c r="D543" s="14" t="s">
        <v>538</v>
      </c>
      <c r="E543" s="14">
        <v>0</v>
      </c>
      <c r="F543" s="14">
        <v>0</v>
      </c>
      <c r="G543" s="14">
        <v>0</v>
      </c>
      <c r="H543" s="16">
        <v>0</v>
      </c>
      <c r="I543" s="16">
        <v>0</v>
      </c>
      <c r="J543" s="3" t="s">
        <v>5011</v>
      </c>
      <c r="K543" s="16">
        <v>0</v>
      </c>
      <c r="L543" s="16">
        <v>0</v>
      </c>
      <c r="M543" s="16">
        <v>0</v>
      </c>
    </row>
    <row r="544" spans="1:13" x14ac:dyDescent="0.25">
      <c r="A544" s="2">
        <f t="shared" si="16"/>
        <v>539</v>
      </c>
      <c r="B544" s="2">
        <v>12143</v>
      </c>
      <c r="C544" s="2" t="s">
        <v>3050</v>
      </c>
      <c r="D544" s="14" t="s">
        <v>539</v>
      </c>
      <c r="E544" s="14">
        <v>0</v>
      </c>
      <c r="F544" s="14">
        <v>0</v>
      </c>
      <c r="G544" s="14">
        <v>0</v>
      </c>
      <c r="H544" s="16">
        <v>0</v>
      </c>
      <c r="I544" s="16">
        <v>0</v>
      </c>
      <c r="J544" s="3" t="s">
        <v>5011</v>
      </c>
      <c r="K544" s="16">
        <v>0</v>
      </c>
      <c r="L544" s="16">
        <v>0</v>
      </c>
      <c r="M544" s="16">
        <v>0</v>
      </c>
    </row>
    <row r="545" spans="1:13" x14ac:dyDescent="0.25">
      <c r="A545" s="2">
        <f t="shared" si="16"/>
        <v>540</v>
      </c>
      <c r="B545" s="2">
        <v>12165</v>
      </c>
      <c r="C545" s="2" t="s">
        <v>3051</v>
      </c>
      <c r="D545" s="14" t="s">
        <v>540</v>
      </c>
      <c r="E545" s="14">
        <v>6.4045500000000005E-2</v>
      </c>
      <c r="F545" s="14">
        <v>0</v>
      </c>
      <c r="G545" s="14">
        <v>6.4045500000000005E-2</v>
      </c>
      <c r="H545" s="16">
        <v>0</v>
      </c>
      <c r="I545" s="16">
        <v>0</v>
      </c>
      <c r="J545" s="3" t="s">
        <v>5011</v>
      </c>
      <c r="K545" s="16">
        <v>392.27539523640002</v>
      </c>
      <c r="L545" s="16">
        <v>41.906180899999995</v>
      </c>
      <c r="M545" s="16">
        <v>0</v>
      </c>
    </row>
    <row r="546" spans="1:13" x14ac:dyDescent="0.25">
      <c r="A546" s="2">
        <f t="shared" si="16"/>
        <v>541</v>
      </c>
      <c r="B546" s="2">
        <v>12176</v>
      </c>
      <c r="C546" s="2" t="s">
        <v>3052</v>
      </c>
      <c r="D546" s="14" t="s">
        <v>541</v>
      </c>
      <c r="E546" s="14">
        <v>4.6233317999999999</v>
      </c>
      <c r="F546" s="14">
        <v>0</v>
      </c>
      <c r="G546" s="14">
        <v>4.6233317999999999</v>
      </c>
      <c r="H546" s="16">
        <v>280.91538389999999</v>
      </c>
      <c r="I546" s="16">
        <v>267.90391340000002</v>
      </c>
      <c r="J546" s="3" t="s">
        <v>5011</v>
      </c>
      <c r="K546" s="16">
        <v>3820.5115664535992</v>
      </c>
      <c r="L546" s="16">
        <v>567.38448779999999</v>
      </c>
      <c r="M546" s="16">
        <f t="shared" si="17"/>
        <v>2.0197700813778749</v>
      </c>
    </row>
    <row r="547" spans="1:13" x14ac:dyDescent="0.25">
      <c r="A547" s="2">
        <f t="shared" si="16"/>
        <v>542</v>
      </c>
      <c r="B547" s="2">
        <v>12195</v>
      </c>
      <c r="C547" s="2" t="s">
        <v>3053</v>
      </c>
      <c r="D547" s="14" t="s">
        <v>542</v>
      </c>
      <c r="E547" s="14">
        <v>9.4943199999999991E-2</v>
      </c>
      <c r="F547" s="14">
        <v>0</v>
      </c>
      <c r="G547" s="14">
        <v>9.4943199999999991E-2</v>
      </c>
      <c r="H547" s="16">
        <v>157.12763289999998</v>
      </c>
      <c r="I547" s="16">
        <v>-1.9583237000000104</v>
      </c>
      <c r="J547" s="3" t="s">
        <v>5011</v>
      </c>
      <c r="K547" s="16">
        <v>1748.6580978405</v>
      </c>
      <c r="L547" s="16">
        <v>276.67204320000002</v>
      </c>
      <c r="M547" s="16">
        <f t="shared" si="17"/>
        <v>1.7608108649869443</v>
      </c>
    </row>
    <row r="548" spans="1:13" x14ac:dyDescent="0.25">
      <c r="A548" s="2">
        <f t="shared" si="16"/>
        <v>543</v>
      </c>
      <c r="B548" s="2">
        <v>12298</v>
      </c>
      <c r="C548" s="2" t="s">
        <v>3054</v>
      </c>
      <c r="D548" s="14" t="s">
        <v>543</v>
      </c>
      <c r="E548" s="14">
        <v>6.0931799999999994E-2</v>
      </c>
      <c r="F548" s="14">
        <v>0</v>
      </c>
      <c r="G548" s="14">
        <v>6.0931799999999994E-2</v>
      </c>
      <c r="H548" s="16">
        <v>0</v>
      </c>
      <c r="I548" s="16">
        <v>0</v>
      </c>
      <c r="J548" s="3" t="s">
        <v>5011</v>
      </c>
      <c r="K548" s="16">
        <v>152.26941279639999</v>
      </c>
      <c r="L548" s="16">
        <v>16.1111538</v>
      </c>
      <c r="M548" s="16">
        <v>0</v>
      </c>
    </row>
    <row r="549" spans="1:13" x14ac:dyDescent="0.25">
      <c r="A549" s="2">
        <f t="shared" si="16"/>
        <v>544</v>
      </c>
      <c r="B549" s="2">
        <v>12370</v>
      </c>
      <c r="C549" s="2" t="s">
        <v>3055</v>
      </c>
      <c r="D549" s="14" t="s">
        <v>544</v>
      </c>
      <c r="E549" s="14">
        <v>0.77688559999999995</v>
      </c>
      <c r="F549" s="14">
        <v>0</v>
      </c>
      <c r="G549" s="14">
        <v>0.77688559999999995</v>
      </c>
      <c r="H549" s="16">
        <v>48.096320300000002</v>
      </c>
      <c r="I549" s="16">
        <v>39.416145200000003</v>
      </c>
      <c r="J549" s="3" t="s">
        <v>5011</v>
      </c>
      <c r="K549" s="16">
        <v>723.60339586960004</v>
      </c>
      <c r="L549" s="16">
        <v>89.625637100000006</v>
      </c>
      <c r="M549" s="16">
        <f t="shared" si="17"/>
        <v>1.8634614153632041</v>
      </c>
    </row>
    <row r="550" spans="1:13" x14ac:dyDescent="0.25">
      <c r="A550" s="2">
        <f t="shared" si="16"/>
        <v>545</v>
      </c>
      <c r="B550" s="2">
        <v>12371</v>
      </c>
      <c r="C550" s="2" t="s">
        <v>3056</v>
      </c>
      <c r="D550" s="14" t="s">
        <v>545</v>
      </c>
      <c r="E550" s="14">
        <v>0</v>
      </c>
      <c r="F550" s="14">
        <v>0</v>
      </c>
      <c r="G550" s="14">
        <v>0</v>
      </c>
      <c r="H550" s="16">
        <v>0</v>
      </c>
      <c r="I550" s="16">
        <v>0</v>
      </c>
      <c r="J550" s="3" t="s">
        <v>5011</v>
      </c>
      <c r="K550" s="16">
        <v>0</v>
      </c>
      <c r="L550" s="16">
        <v>0</v>
      </c>
      <c r="M550" s="16">
        <v>0</v>
      </c>
    </row>
    <row r="551" spans="1:13" x14ac:dyDescent="0.25">
      <c r="A551" s="2">
        <f t="shared" si="16"/>
        <v>546</v>
      </c>
      <c r="B551" s="2">
        <v>12417</v>
      </c>
      <c r="C551" s="2" t="s">
        <v>3057</v>
      </c>
      <c r="D551" s="14" t="s">
        <v>546</v>
      </c>
      <c r="E551" s="14">
        <v>25.5157627</v>
      </c>
      <c r="F551" s="14">
        <v>0</v>
      </c>
      <c r="G551" s="14">
        <v>25.5157627</v>
      </c>
      <c r="H551" s="16">
        <v>5352.4013392000006</v>
      </c>
      <c r="I551" s="16">
        <v>427.63018850000026</v>
      </c>
      <c r="J551" s="3" t="s">
        <v>5011</v>
      </c>
      <c r="K551" s="16">
        <v>25085.553850956905</v>
      </c>
      <c r="L551" s="16">
        <v>2468.6758508000003</v>
      </c>
      <c r="M551" s="16">
        <f t="shared" si="17"/>
        <v>0.46122771712200905</v>
      </c>
    </row>
    <row r="552" spans="1:13" x14ac:dyDescent="0.25">
      <c r="A552" s="2">
        <f t="shared" si="16"/>
        <v>547</v>
      </c>
      <c r="B552" s="2">
        <v>12434</v>
      </c>
      <c r="C552" s="2" t="s">
        <v>3058</v>
      </c>
      <c r="D552" s="14" t="s">
        <v>547</v>
      </c>
      <c r="E552" s="14">
        <v>0</v>
      </c>
      <c r="F552" s="14">
        <v>0</v>
      </c>
      <c r="G552" s="14">
        <v>0</v>
      </c>
      <c r="H552" s="16">
        <v>0</v>
      </c>
      <c r="I552" s="16">
        <v>0</v>
      </c>
      <c r="J552" s="3" t="s">
        <v>5011</v>
      </c>
      <c r="K552" s="16">
        <v>0</v>
      </c>
      <c r="L552" s="16">
        <v>0</v>
      </c>
      <c r="M552" s="16">
        <v>0</v>
      </c>
    </row>
    <row r="553" spans="1:13" x14ac:dyDescent="0.25">
      <c r="A553" s="2">
        <f t="shared" si="16"/>
        <v>548</v>
      </c>
      <c r="B553" s="2">
        <v>12439</v>
      </c>
      <c r="C553" s="2" t="s">
        <v>3059</v>
      </c>
      <c r="D553" s="14" t="s">
        <v>548</v>
      </c>
      <c r="E553" s="14">
        <v>0</v>
      </c>
      <c r="F553" s="14">
        <v>0</v>
      </c>
      <c r="G553" s="14">
        <v>0</v>
      </c>
      <c r="H553" s="16">
        <v>0</v>
      </c>
      <c r="I553" s="16">
        <v>0</v>
      </c>
      <c r="J553" s="3" t="s">
        <v>5011</v>
      </c>
      <c r="K553" s="16">
        <v>0</v>
      </c>
      <c r="L553" s="16">
        <v>0</v>
      </c>
      <c r="M553" s="16">
        <v>0</v>
      </c>
    </row>
    <row r="554" spans="1:13" x14ac:dyDescent="0.25">
      <c r="A554" s="2">
        <f t="shared" si="16"/>
        <v>549</v>
      </c>
      <c r="B554" s="2">
        <v>12525</v>
      </c>
      <c r="C554" s="2" t="s">
        <v>3060</v>
      </c>
      <c r="D554" s="14" t="s">
        <v>549</v>
      </c>
      <c r="E554" s="14">
        <v>0</v>
      </c>
      <c r="F554" s="14">
        <v>0</v>
      </c>
      <c r="G554" s="14">
        <v>0</v>
      </c>
      <c r="H554" s="16">
        <v>0</v>
      </c>
      <c r="I554" s="16">
        <v>0</v>
      </c>
      <c r="J554" s="3" t="s">
        <v>5011</v>
      </c>
      <c r="K554" s="16">
        <v>0</v>
      </c>
      <c r="L554" s="16">
        <v>0</v>
      </c>
      <c r="M554" s="16">
        <v>0</v>
      </c>
    </row>
    <row r="555" spans="1:13" x14ac:dyDescent="0.25">
      <c r="A555" s="2">
        <f t="shared" si="16"/>
        <v>550</v>
      </c>
      <c r="B555" s="2">
        <v>12558</v>
      </c>
      <c r="C555" s="2" t="s">
        <v>3061</v>
      </c>
      <c r="D555" s="14" t="s">
        <v>550</v>
      </c>
      <c r="E555" s="14">
        <v>1.1085156</v>
      </c>
      <c r="F555" s="14">
        <v>0</v>
      </c>
      <c r="G555" s="14">
        <v>1.1085156</v>
      </c>
      <c r="H555" s="16">
        <v>228.35784129999999</v>
      </c>
      <c r="I555" s="16">
        <v>186.3392446</v>
      </c>
      <c r="J555" s="3" t="s">
        <v>5011</v>
      </c>
      <c r="K555" s="16">
        <v>1417.2724857626004</v>
      </c>
      <c r="L555" s="16">
        <v>250.6393339</v>
      </c>
      <c r="M555" s="16">
        <f t="shared" si="17"/>
        <v>1.0975727063855372</v>
      </c>
    </row>
    <row r="556" spans="1:13" x14ac:dyDescent="0.25">
      <c r="A556" s="2">
        <f t="shared" si="16"/>
        <v>551</v>
      </c>
      <c r="B556" s="2">
        <v>12572</v>
      </c>
      <c r="C556" s="2" t="s">
        <v>3062</v>
      </c>
      <c r="D556" s="14" t="s">
        <v>551</v>
      </c>
      <c r="E556" s="14">
        <v>0.6615179000000001</v>
      </c>
      <c r="F556" s="14">
        <v>0</v>
      </c>
      <c r="G556" s="14">
        <v>0.6615179000000001</v>
      </c>
      <c r="H556" s="16">
        <v>34.8553791</v>
      </c>
      <c r="I556" s="16">
        <v>27.4027323</v>
      </c>
      <c r="J556" s="3" t="s">
        <v>5011</v>
      </c>
      <c r="K556" s="16">
        <v>1215.6343503989001</v>
      </c>
      <c r="L556" s="16">
        <v>142.74671460000002</v>
      </c>
      <c r="M556" s="16">
        <f t="shared" si="17"/>
        <v>4.0953998575215618</v>
      </c>
    </row>
    <row r="557" spans="1:13" x14ac:dyDescent="0.25">
      <c r="A557" s="2">
        <f t="shared" si="16"/>
        <v>552</v>
      </c>
      <c r="B557" s="2">
        <v>12576</v>
      </c>
      <c r="C557" s="2" t="s">
        <v>3063</v>
      </c>
      <c r="D557" s="14" t="s">
        <v>552</v>
      </c>
      <c r="E557" s="14">
        <v>0.1151657</v>
      </c>
      <c r="F557" s="14">
        <v>0</v>
      </c>
      <c r="G557" s="14">
        <v>0.1151657</v>
      </c>
      <c r="H557" s="16">
        <v>9.8845068000000005</v>
      </c>
      <c r="I557" s="16">
        <v>9.8145061000000009</v>
      </c>
      <c r="J557" s="3" t="s">
        <v>5011</v>
      </c>
      <c r="K557" s="16">
        <v>126.70672051290001</v>
      </c>
      <c r="L557" s="16">
        <v>18.060078799999999</v>
      </c>
      <c r="M557" s="16">
        <f t="shared" si="17"/>
        <v>1.8271097552383695</v>
      </c>
    </row>
    <row r="558" spans="1:13" x14ac:dyDescent="0.25">
      <c r="A558" s="2">
        <f t="shared" si="16"/>
        <v>553</v>
      </c>
      <c r="B558" s="2">
        <v>12758</v>
      </c>
      <c r="C558" s="2" t="s">
        <v>3064</v>
      </c>
      <c r="D558" s="14" t="s">
        <v>553</v>
      </c>
      <c r="E558" s="14">
        <v>2.9500000000000002E-5</v>
      </c>
      <c r="F558" s="14">
        <v>0</v>
      </c>
      <c r="G558" s="14">
        <v>2.9500000000000002E-5</v>
      </c>
      <c r="H558" s="16">
        <v>0.19999</v>
      </c>
      <c r="I558" s="16">
        <v>0.19999</v>
      </c>
      <c r="J558" s="3" t="s">
        <v>5011</v>
      </c>
      <c r="K558" s="16">
        <v>5.942988304</v>
      </c>
      <c r="L558" s="16">
        <v>0.71017369999999991</v>
      </c>
      <c r="M558" s="16">
        <f t="shared" si="17"/>
        <v>3.5510460523026146</v>
      </c>
    </row>
    <row r="559" spans="1:13" x14ac:dyDescent="0.25">
      <c r="A559" s="2">
        <f t="shared" si="16"/>
        <v>554</v>
      </c>
      <c r="B559" s="2">
        <v>12836</v>
      </c>
      <c r="C559" s="2" t="s">
        <v>3065</v>
      </c>
      <c r="D559" s="14" t="s">
        <v>554</v>
      </c>
      <c r="E559" s="14">
        <v>6.5531245000000009</v>
      </c>
      <c r="F559" s="14">
        <v>0</v>
      </c>
      <c r="G559" s="14">
        <v>6.5531245000000009</v>
      </c>
      <c r="H559" s="16">
        <v>85.20974369999999</v>
      </c>
      <c r="I559" s="16">
        <v>49.381846199999991</v>
      </c>
      <c r="J559" s="3" t="s">
        <v>5011</v>
      </c>
      <c r="K559" s="16">
        <v>3721.7137497116</v>
      </c>
      <c r="L559" s="16">
        <v>421.5326771</v>
      </c>
      <c r="M559" s="16">
        <f t="shared" si="17"/>
        <v>4.9470008803699761</v>
      </c>
    </row>
    <row r="560" spans="1:13" x14ac:dyDescent="0.25">
      <c r="A560" s="2">
        <f t="shared" si="16"/>
        <v>555</v>
      </c>
      <c r="B560" s="2">
        <v>12881</v>
      </c>
      <c r="C560" s="2" t="s">
        <v>3066</v>
      </c>
      <c r="D560" s="14" t="s">
        <v>555</v>
      </c>
      <c r="E560" s="14">
        <v>0</v>
      </c>
      <c r="F560" s="14">
        <v>0</v>
      </c>
      <c r="G560" s="14">
        <v>0</v>
      </c>
      <c r="H560" s="16">
        <v>0</v>
      </c>
      <c r="I560" s="16">
        <v>0</v>
      </c>
      <c r="J560" s="3" t="s">
        <v>5011</v>
      </c>
      <c r="K560" s="16">
        <v>0</v>
      </c>
      <c r="L560" s="16">
        <v>0</v>
      </c>
      <c r="M560" s="16">
        <v>0</v>
      </c>
    </row>
    <row r="561" spans="1:13" x14ac:dyDescent="0.25">
      <c r="A561" s="2">
        <f t="shared" si="16"/>
        <v>556</v>
      </c>
      <c r="B561" s="2">
        <v>12899</v>
      </c>
      <c r="C561" s="2" t="s">
        <v>3067</v>
      </c>
      <c r="D561" s="14" t="s">
        <v>556</v>
      </c>
      <c r="E561" s="14">
        <v>0</v>
      </c>
      <c r="F561" s="14">
        <v>0</v>
      </c>
      <c r="G561" s="14">
        <v>0</v>
      </c>
      <c r="H561" s="16">
        <v>0</v>
      </c>
      <c r="I561" s="16">
        <v>0</v>
      </c>
      <c r="J561" s="3" t="s">
        <v>5011</v>
      </c>
      <c r="K561" s="16">
        <v>0</v>
      </c>
      <c r="L561" s="16">
        <v>0</v>
      </c>
      <c r="M561" s="16">
        <v>0</v>
      </c>
    </row>
    <row r="562" spans="1:13" x14ac:dyDescent="0.25">
      <c r="A562" s="2">
        <f t="shared" si="16"/>
        <v>557</v>
      </c>
      <c r="B562" s="2">
        <v>12933</v>
      </c>
      <c r="C562" s="2" t="s">
        <v>3068</v>
      </c>
      <c r="D562" s="14" t="s">
        <v>557</v>
      </c>
      <c r="E562" s="14">
        <v>0</v>
      </c>
      <c r="F562" s="14">
        <v>0</v>
      </c>
      <c r="G562" s="14">
        <v>0</v>
      </c>
      <c r="H562" s="16">
        <v>0</v>
      </c>
      <c r="I562" s="16">
        <v>0</v>
      </c>
      <c r="J562" s="3" t="s">
        <v>5011</v>
      </c>
      <c r="K562" s="16">
        <v>0</v>
      </c>
      <c r="L562" s="16">
        <v>0</v>
      </c>
      <c r="M562" s="16">
        <v>0</v>
      </c>
    </row>
    <row r="563" spans="1:13" x14ac:dyDescent="0.25">
      <c r="A563" s="2">
        <f t="shared" si="16"/>
        <v>558</v>
      </c>
      <c r="B563" s="2">
        <v>12992</v>
      </c>
      <c r="C563" s="2" t="s">
        <v>3069</v>
      </c>
      <c r="D563" s="14" t="s">
        <v>558</v>
      </c>
      <c r="E563" s="14">
        <v>0.12153140000000001</v>
      </c>
      <c r="F563" s="14">
        <v>0</v>
      </c>
      <c r="G563" s="14">
        <v>0.12153140000000001</v>
      </c>
      <c r="H563" s="16">
        <v>2.3598820000000003</v>
      </c>
      <c r="I563" s="16">
        <v>2.3598820000000003</v>
      </c>
      <c r="J563" s="3" t="s">
        <v>5011</v>
      </c>
      <c r="K563" s="16">
        <v>156.45910136480001</v>
      </c>
      <c r="L563" s="16">
        <v>17.082155400000001</v>
      </c>
      <c r="M563" s="16">
        <f t="shared" si="17"/>
        <v>7.2385633688464086</v>
      </c>
    </row>
    <row r="564" spans="1:13" x14ac:dyDescent="0.25">
      <c r="A564" s="2">
        <f t="shared" si="16"/>
        <v>559</v>
      </c>
      <c r="B564" s="2">
        <v>13004</v>
      </c>
      <c r="C564" s="2" t="s">
        <v>3070</v>
      </c>
      <c r="D564" s="14" t="s">
        <v>559</v>
      </c>
      <c r="E564" s="14">
        <v>0.92799589999999998</v>
      </c>
      <c r="F564" s="14">
        <v>0</v>
      </c>
      <c r="G564" s="14">
        <v>0.92799589999999998</v>
      </c>
      <c r="H564" s="16">
        <v>360.40071460000001</v>
      </c>
      <c r="I564" s="16">
        <v>116.48072810000002</v>
      </c>
      <c r="J564" s="3" t="s">
        <v>5011</v>
      </c>
      <c r="K564" s="16">
        <v>1635.3214847577001</v>
      </c>
      <c r="L564" s="16">
        <v>148.02181529999999</v>
      </c>
      <c r="M564" s="16">
        <f t="shared" si="17"/>
        <v>0.41071454440451316</v>
      </c>
    </row>
    <row r="565" spans="1:13" x14ac:dyDescent="0.25">
      <c r="A565" s="2">
        <f t="shared" si="16"/>
        <v>560</v>
      </c>
      <c r="B565" s="2">
        <v>13135</v>
      </c>
      <c r="C565" s="2" t="s">
        <v>3071</v>
      </c>
      <c r="D565" s="14" t="s">
        <v>560</v>
      </c>
      <c r="E565" s="14">
        <v>0.29622120000000002</v>
      </c>
      <c r="F565" s="14">
        <v>0</v>
      </c>
      <c r="G565" s="14">
        <v>0.29622120000000002</v>
      </c>
      <c r="H565" s="16">
        <v>49.377783200000003</v>
      </c>
      <c r="I565" s="16">
        <v>34.004756100000002</v>
      </c>
      <c r="J565" s="3" t="s">
        <v>5011</v>
      </c>
      <c r="K565" s="16">
        <v>519.79328436560013</v>
      </c>
      <c r="L565" s="16">
        <v>63.328888800000001</v>
      </c>
      <c r="M565" s="16">
        <f t="shared" si="17"/>
        <v>1.2825381111884342</v>
      </c>
    </row>
    <row r="566" spans="1:13" x14ac:dyDescent="0.25">
      <c r="A566" s="2">
        <f t="shared" si="16"/>
        <v>561</v>
      </c>
      <c r="B566" s="2">
        <v>13286</v>
      </c>
      <c r="C566" s="2" t="s">
        <v>3072</v>
      </c>
      <c r="D566" s="14" t="s">
        <v>561</v>
      </c>
      <c r="E566" s="14">
        <v>0.81384630000000002</v>
      </c>
      <c r="F566" s="14">
        <v>0</v>
      </c>
      <c r="G566" s="14">
        <v>0.81384630000000002</v>
      </c>
      <c r="H566" s="16">
        <v>164.91832490000002</v>
      </c>
      <c r="I566" s="16">
        <v>157.6889315</v>
      </c>
      <c r="J566" s="3" t="s">
        <v>5011</v>
      </c>
      <c r="K566" s="16">
        <v>1129.6888116011</v>
      </c>
      <c r="L566" s="16">
        <v>218.49622600000001</v>
      </c>
      <c r="M566" s="16">
        <f t="shared" si="17"/>
        <v>1.3248753656240901</v>
      </c>
    </row>
    <row r="567" spans="1:13" x14ac:dyDescent="0.25">
      <c r="A567" s="2">
        <f t="shared" si="16"/>
        <v>562</v>
      </c>
      <c r="B567" s="2">
        <v>13345</v>
      </c>
      <c r="C567" s="2" t="s">
        <v>3073</v>
      </c>
      <c r="D567" s="14" t="s">
        <v>562</v>
      </c>
      <c r="E567" s="14">
        <v>0</v>
      </c>
      <c r="F567" s="14">
        <v>0</v>
      </c>
      <c r="G567" s="14">
        <v>0</v>
      </c>
      <c r="H567" s="16">
        <v>0</v>
      </c>
      <c r="I567" s="16">
        <v>0</v>
      </c>
      <c r="J567" s="3" t="s">
        <v>5011</v>
      </c>
      <c r="K567" s="16">
        <v>0</v>
      </c>
      <c r="L567" s="16">
        <v>0</v>
      </c>
      <c r="M567" s="16">
        <v>0</v>
      </c>
    </row>
    <row r="568" spans="1:13" x14ac:dyDescent="0.25">
      <c r="A568" s="2">
        <f t="shared" si="16"/>
        <v>563</v>
      </c>
      <c r="B568" s="2">
        <v>13376</v>
      </c>
      <c r="C568" s="2" t="s">
        <v>3074</v>
      </c>
      <c r="D568" s="14" t="s">
        <v>563</v>
      </c>
      <c r="E568" s="14">
        <v>4.5203514999999994</v>
      </c>
      <c r="F568" s="14">
        <v>0</v>
      </c>
      <c r="G568" s="14">
        <v>4.5203514999999994</v>
      </c>
      <c r="H568" s="16">
        <v>412.73035899999996</v>
      </c>
      <c r="I568" s="16">
        <v>312.15231869999997</v>
      </c>
      <c r="J568" s="3" t="s">
        <v>5011</v>
      </c>
      <c r="K568" s="16">
        <v>4656.8888196654998</v>
      </c>
      <c r="L568" s="16">
        <v>649.04427820000001</v>
      </c>
      <c r="M568" s="16">
        <f t="shared" si="17"/>
        <v>1.5725624831004983</v>
      </c>
    </row>
    <row r="569" spans="1:13" x14ac:dyDescent="0.25">
      <c r="A569" s="2">
        <f t="shared" si="16"/>
        <v>564</v>
      </c>
      <c r="B569" s="2">
        <v>13384</v>
      </c>
      <c r="C569" s="2" t="s">
        <v>3075</v>
      </c>
      <c r="D569" s="14" t="s">
        <v>564</v>
      </c>
      <c r="E569" s="14">
        <v>6.6342999999999992E-3</v>
      </c>
      <c r="F569" s="14">
        <v>0</v>
      </c>
      <c r="G569" s="14">
        <v>6.6342999999999992E-3</v>
      </c>
      <c r="H569" s="16">
        <v>0</v>
      </c>
      <c r="I569" s="16">
        <v>0</v>
      </c>
      <c r="J569" s="3" t="s">
        <v>5011</v>
      </c>
      <c r="K569" s="16">
        <v>6.6316108889000001</v>
      </c>
      <c r="L569" s="16">
        <v>0.67971110000000001</v>
      </c>
      <c r="M569" s="16">
        <v>0</v>
      </c>
    </row>
    <row r="570" spans="1:13" x14ac:dyDescent="0.25">
      <c r="A570" s="2">
        <f t="shared" si="16"/>
        <v>565</v>
      </c>
      <c r="B570" s="2">
        <v>13495</v>
      </c>
      <c r="C570" s="2" t="s">
        <v>3076</v>
      </c>
      <c r="D570" s="14" t="s">
        <v>565</v>
      </c>
      <c r="E570" s="14">
        <v>1.2049000000000001E-3</v>
      </c>
      <c r="F570" s="14">
        <v>0</v>
      </c>
      <c r="G570" s="14">
        <v>1.2049000000000001E-3</v>
      </c>
      <c r="H570" s="16">
        <v>0.19999</v>
      </c>
      <c r="I570" s="16">
        <v>0.19999</v>
      </c>
      <c r="J570" s="3" t="s">
        <v>5011</v>
      </c>
      <c r="K570" s="16">
        <v>1.8740883554000001</v>
      </c>
      <c r="L570" s="16">
        <v>0.26420070000000001</v>
      </c>
      <c r="M570" s="16">
        <f t="shared" si="17"/>
        <v>1.321069553477674</v>
      </c>
    </row>
    <row r="571" spans="1:13" x14ac:dyDescent="0.25">
      <c r="A571" s="2">
        <f t="shared" si="16"/>
        <v>566</v>
      </c>
      <c r="B571" s="2">
        <v>13515</v>
      </c>
      <c r="C571" s="2" t="s">
        <v>3077</v>
      </c>
      <c r="D571" s="14" t="s">
        <v>566</v>
      </c>
      <c r="E571" s="14">
        <v>0</v>
      </c>
      <c r="F571" s="14">
        <v>0</v>
      </c>
      <c r="G571" s="14">
        <v>0</v>
      </c>
      <c r="H571" s="16">
        <v>0</v>
      </c>
      <c r="I571" s="16">
        <v>0</v>
      </c>
      <c r="J571" s="3" t="s">
        <v>5011</v>
      </c>
      <c r="K571" s="16">
        <v>0</v>
      </c>
      <c r="L571" s="16">
        <v>0</v>
      </c>
      <c r="M571" s="16">
        <v>0</v>
      </c>
    </row>
    <row r="572" spans="1:13" x14ac:dyDescent="0.25">
      <c r="A572" s="2">
        <f t="shared" si="16"/>
        <v>567</v>
      </c>
      <c r="B572" s="2">
        <v>13549</v>
      </c>
      <c r="C572" s="2" t="s">
        <v>3078</v>
      </c>
      <c r="D572" s="14" t="s">
        <v>567</v>
      </c>
      <c r="E572" s="14">
        <v>137.27130629999999</v>
      </c>
      <c r="F572" s="14">
        <v>0</v>
      </c>
      <c r="G572" s="14">
        <v>137.27130629999999</v>
      </c>
      <c r="H572" s="16">
        <v>19060.8040029</v>
      </c>
      <c r="I572" s="16">
        <v>15544.361789500001</v>
      </c>
      <c r="J572" s="3" t="s">
        <v>5011</v>
      </c>
      <c r="K572" s="16">
        <v>142674.39422689032</v>
      </c>
      <c r="L572" s="16">
        <v>24963.406555400001</v>
      </c>
      <c r="M572" s="16">
        <f t="shared" si="17"/>
        <v>1.3096722757131309</v>
      </c>
    </row>
    <row r="573" spans="1:13" x14ac:dyDescent="0.25">
      <c r="A573" s="2">
        <f t="shared" si="16"/>
        <v>568</v>
      </c>
      <c r="B573" s="2">
        <v>13595</v>
      </c>
      <c r="C573" s="2" t="s">
        <v>3079</v>
      </c>
      <c r="D573" s="14" t="s">
        <v>568</v>
      </c>
      <c r="E573" s="14">
        <v>1671.6037814999997</v>
      </c>
      <c r="F573" s="14">
        <v>0</v>
      </c>
      <c r="G573" s="14">
        <v>1671.6037814999997</v>
      </c>
      <c r="H573" s="16">
        <v>129007.63447420001</v>
      </c>
      <c r="I573" s="16">
        <v>38853.942994699995</v>
      </c>
      <c r="J573" s="3" t="s">
        <v>5011</v>
      </c>
      <c r="K573" s="16">
        <v>1382455.825374665</v>
      </c>
      <c r="L573" s="16">
        <v>163535.6307758</v>
      </c>
      <c r="M573" s="16">
        <f t="shared" si="17"/>
        <v>1.2676430464160258</v>
      </c>
    </row>
    <row r="574" spans="1:13" x14ac:dyDescent="0.25">
      <c r="A574" s="2">
        <f t="shared" si="16"/>
        <v>569</v>
      </c>
      <c r="B574" s="2">
        <v>13796</v>
      </c>
      <c r="C574" s="2" t="s">
        <v>3080</v>
      </c>
      <c r="D574" s="14" t="s">
        <v>569</v>
      </c>
      <c r="E574" s="14">
        <v>0</v>
      </c>
      <c r="F574" s="14">
        <v>0</v>
      </c>
      <c r="G574" s="14">
        <v>0</v>
      </c>
      <c r="H574" s="16">
        <v>0</v>
      </c>
      <c r="I574" s="16">
        <v>0</v>
      </c>
      <c r="J574" s="3" t="s">
        <v>5011</v>
      </c>
      <c r="K574" s="16">
        <v>0</v>
      </c>
      <c r="L574" s="16">
        <v>0</v>
      </c>
      <c r="M574" s="16">
        <v>0</v>
      </c>
    </row>
    <row r="575" spans="1:13" x14ac:dyDescent="0.25">
      <c r="A575" s="2">
        <f t="shared" si="16"/>
        <v>570</v>
      </c>
      <c r="B575" s="2">
        <v>13799</v>
      </c>
      <c r="C575" s="2" t="s">
        <v>3081</v>
      </c>
      <c r="D575" s="14" t="s">
        <v>570</v>
      </c>
      <c r="E575" s="14">
        <v>0</v>
      </c>
      <c r="F575" s="14">
        <v>0</v>
      </c>
      <c r="G575" s="14">
        <v>0</v>
      </c>
      <c r="H575" s="16">
        <v>0</v>
      </c>
      <c r="I575" s="16">
        <v>0</v>
      </c>
      <c r="J575" s="3" t="s">
        <v>5011</v>
      </c>
      <c r="K575" s="16">
        <v>0</v>
      </c>
      <c r="L575" s="16">
        <v>0</v>
      </c>
      <c r="M575" s="16">
        <v>0</v>
      </c>
    </row>
    <row r="576" spans="1:13" x14ac:dyDescent="0.25">
      <c r="A576" s="2">
        <f t="shared" si="16"/>
        <v>571</v>
      </c>
      <c r="B576" s="2">
        <v>13829</v>
      </c>
      <c r="C576" s="2" t="s">
        <v>3082</v>
      </c>
      <c r="D576" s="14" t="s">
        <v>571</v>
      </c>
      <c r="E576" s="14">
        <v>0.16691980000000001</v>
      </c>
      <c r="F576" s="14">
        <v>0</v>
      </c>
      <c r="G576" s="14">
        <v>0.16691980000000001</v>
      </c>
      <c r="H576" s="16">
        <v>72.377006300000005</v>
      </c>
      <c r="I576" s="16">
        <v>67.473592199999999</v>
      </c>
      <c r="J576" s="3" t="s">
        <v>5011</v>
      </c>
      <c r="K576" s="16">
        <v>304.11390766110003</v>
      </c>
      <c r="L576" s="16">
        <v>81.425525399999998</v>
      </c>
      <c r="M576" s="16">
        <f t="shared" si="17"/>
        <v>1.1250192507616883</v>
      </c>
    </row>
    <row r="577" spans="1:13" x14ac:dyDescent="0.25">
      <c r="A577" s="2">
        <f t="shared" si="16"/>
        <v>572</v>
      </c>
      <c r="B577" s="2">
        <v>13831</v>
      </c>
      <c r="C577" s="2" t="s">
        <v>3083</v>
      </c>
      <c r="D577" s="14" t="s">
        <v>572</v>
      </c>
      <c r="E577" s="14">
        <v>0</v>
      </c>
      <c r="F577" s="14">
        <v>0</v>
      </c>
      <c r="G577" s="14">
        <v>0</v>
      </c>
      <c r="H577" s="16">
        <v>0</v>
      </c>
      <c r="I577" s="16">
        <v>0</v>
      </c>
      <c r="J577" s="3" t="s">
        <v>5011</v>
      </c>
      <c r="K577" s="16">
        <v>0</v>
      </c>
      <c r="L577" s="16">
        <v>0</v>
      </c>
      <c r="M577" s="16">
        <v>0</v>
      </c>
    </row>
    <row r="578" spans="1:13" x14ac:dyDescent="0.25">
      <c r="A578" s="2">
        <f t="shared" si="16"/>
        <v>573</v>
      </c>
      <c r="B578" s="2">
        <v>13895</v>
      </c>
      <c r="C578" s="2" t="s">
        <v>3084</v>
      </c>
      <c r="D578" s="14" t="s">
        <v>573</v>
      </c>
      <c r="E578" s="14">
        <v>0</v>
      </c>
      <c r="F578" s="14">
        <v>0</v>
      </c>
      <c r="G578" s="14">
        <v>0</v>
      </c>
      <c r="H578" s="16">
        <v>0</v>
      </c>
      <c r="I578" s="16">
        <v>0</v>
      </c>
      <c r="J578" s="3" t="s">
        <v>5011</v>
      </c>
      <c r="K578" s="16">
        <v>0</v>
      </c>
      <c r="L578" s="16">
        <v>0</v>
      </c>
      <c r="M578" s="16">
        <v>0</v>
      </c>
    </row>
    <row r="579" spans="1:13" x14ac:dyDescent="0.25">
      <c r="A579" s="2">
        <f t="shared" si="16"/>
        <v>574</v>
      </c>
      <c r="B579" s="2">
        <v>13912</v>
      </c>
      <c r="C579" s="2" t="s">
        <v>3085</v>
      </c>
      <c r="D579" s="14" t="s">
        <v>574</v>
      </c>
      <c r="E579" s="14">
        <v>0</v>
      </c>
      <c r="F579" s="14">
        <v>0</v>
      </c>
      <c r="G579" s="14">
        <v>0</v>
      </c>
      <c r="H579" s="16">
        <v>0</v>
      </c>
      <c r="I579" s="16">
        <v>0</v>
      </c>
      <c r="J579" s="3" t="s">
        <v>5011</v>
      </c>
      <c r="K579" s="16">
        <v>0</v>
      </c>
      <c r="L579" s="16">
        <v>0</v>
      </c>
      <c r="M579" s="16">
        <v>0</v>
      </c>
    </row>
    <row r="580" spans="1:13" x14ac:dyDescent="0.25">
      <c r="A580" s="2">
        <f t="shared" si="16"/>
        <v>575</v>
      </c>
      <c r="B580" s="2">
        <v>13913</v>
      </c>
      <c r="C580" s="2" t="s">
        <v>3086</v>
      </c>
      <c r="D580" s="14" t="s">
        <v>575</v>
      </c>
      <c r="E580" s="14">
        <v>0</v>
      </c>
      <c r="F580" s="14">
        <v>0</v>
      </c>
      <c r="G580" s="14">
        <v>0</v>
      </c>
      <c r="H580" s="16">
        <v>0</v>
      </c>
      <c r="I580" s="16">
        <v>0</v>
      </c>
      <c r="J580" s="3" t="s">
        <v>5011</v>
      </c>
      <c r="K580" s="16">
        <v>0</v>
      </c>
      <c r="L580" s="16">
        <v>0</v>
      </c>
      <c r="M580" s="16">
        <v>0</v>
      </c>
    </row>
    <row r="581" spans="1:13" x14ac:dyDescent="0.25">
      <c r="A581" s="2">
        <f t="shared" si="16"/>
        <v>576</v>
      </c>
      <c r="B581" s="2">
        <v>13996</v>
      </c>
      <c r="C581" s="2" t="s">
        <v>3087</v>
      </c>
      <c r="D581" s="14" t="s">
        <v>576</v>
      </c>
      <c r="E581" s="14">
        <v>0.61982610000000005</v>
      </c>
      <c r="F581" s="14">
        <v>0</v>
      </c>
      <c r="G581" s="14">
        <v>0.61982610000000005</v>
      </c>
      <c r="H581" s="16">
        <v>42.544826900000004</v>
      </c>
      <c r="I581" s="16">
        <v>39.678900200000008</v>
      </c>
      <c r="J581" s="3" t="s">
        <v>5011</v>
      </c>
      <c r="K581" s="16">
        <v>609.62134220079997</v>
      </c>
      <c r="L581" s="16">
        <v>88.733858499999997</v>
      </c>
      <c r="M581" s="16">
        <f t="shared" si="17"/>
        <v>2.085655647596488</v>
      </c>
    </row>
    <row r="582" spans="1:13" x14ac:dyDescent="0.25">
      <c r="A582" s="2">
        <f t="shared" si="16"/>
        <v>577</v>
      </c>
      <c r="B582" s="2">
        <v>14034</v>
      </c>
      <c r="C582" s="2" t="s">
        <v>3088</v>
      </c>
      <c r="D582" s="14" t="s">
        <v>577</v>
      </c>
      <c r="E582" s="14">
        <v>5.3539999999999994E-3</v>
      </c>
      <c r="F582" s="14">
        <v>0</v>
      </c>
      <c r="G582" s="14">
        <v>5.3539999999999994E-3</v>
      </c>
      <c r="H582" s="16">
        <v>0</v>
      </c>
      <c r="I582" s="16">
        <v>0</v>
      </c>
      <c r="J582" s="3" t="s">
        <v>5011</v>
      </c>
      <c r="K582" s="16">
        <v>13.322286614899998</v>
      </c>
      <c r="L582" s="16">
        <v>1.3714401999999999</v>
      </c>
      <c r="M582" s="16">
        <v>0</v>
      </c>
    </row>
    <row r="583" spans="1:13" x14ac:dyDescent="0.25">
      <c r="A583" s="2">
        <f t="shared" si="16"/>
        <v>578</v>
      </c>
      <c r="B583" s="2">
        <v>14038</v>
      </c>
      <c r="C583" s="2" t="s">
        <v>3089</v>
      </c>
      <c r="D583" s="14" t="s">
        <v>578</v>
      </c>
      <c r="E583" s="14">
        <v>0</v>
      </c>
      <c r="F583" s="14">
        <v>0</v>
      </c>
      <c r="G583" s="14">
        <v>0</v>
      </c>
      <c r="H583" s="16">
        <v>0</v>
      </c>
      <c r="I583" s="16">
        <v>0</v>
      </c>
      <c r="J583" s="3" t="s">
        <v>5011</v>
      </c>
      <c r="K583" s="16">
        <v>0</v>
      </c>
      <c r="L583" s="16">
        <v>0</v>
      </c>
      <c r="M583" s="16">
        <v>0</v>
      </c>
    </row>
    <row r="584" spans="1:13" x14ac:dyDescent="0.25">
      <c r="A584" s="2">
        <f t="shared" ref="A584:A647" si="18">A583+1</f>
        <v>579</v>
      </c>
      <c r="B584" s="2">
        <v>14243</v>
      </c>
      <c r="C584" s="2" t="s">
        <v>3090</v>
      </c>
      <c r="D584" s="14" t="s">
        <v>579</v>
      </c>
      <c r="E584" s="14">
        <v>0</v>
      </c>
      <c r="F584" s="14">
        <v>0</v>
      </c>
      <c r="G584" s="14">
        <v>0</v>
      </c>
      <c r="H584" s="16">
        <v>0</v>
      </c>
      <c r="I584" s="16">
        <v>0</v>
      </c>
      <c r="J584" s="3" t="s">
        <v>5011</v>
      </c>
      <c r="K584" s="16">
        <v>0</v>
      </c>
      <c r="L584" s="16">
        <v>0</v>
      </c>
      <c r="M584" s="16">
        <v>0</v>
      </c>
    </row>
    <row r="585" spans="1:13" x14ac:dyDescent="0.25">
      <c r="A585" s="2">
        <f t="shared" si="18"/>
        <v>580</v>
      </c>
      <c r="B585" s="2">
        <v>14302</v>
      </c>
      <c r="C585" s="2" t="s">
        <v>3091</v>
      </c>
      <c r="D585" s="14" t="s">
        <v>580</v>
      </c>
      <c r="E585" s="14">
        <v>0</v>
      </c>
      <c r="F585" s="14">
        <v>0</v>
      </c>
      <c r="G585" s="14">
        <v>0</v>
      </c>
      <c r="H585" s="16">
        <v>0</v>
      </c>
      <c r="I585" s="16">
        <v>0</v>
      </c>
      <c r="J585" s="3" t="s">
        <v>5011</v>
      </c>
      <c r="K585" s="16">
        <v>0</v>
      </c>
      <c r="L585" s="16">
        <v>0</v>
      </c>
      <c r="M585" s="16">
        <v>0</v>
      </c>
    </row>
    <row r="586" spans="1:13" x14ac:dyDescent="0.25">
      <c r="A586" s="2">
        <f t="shared" si="18"/>
        <v>581</v>
      </c>
      <c r="B586" s="2">
        <v>14352</v>
      </c>
      <c r="C586" s="2" t="s">
        <v>3092</v>
      </c>
      <c r="D586" s="14" t="s">
        <v>581</v>
      </c>
      <c r="E586" s="14">
        <v>31.184838200000002</v>
      </c>
      <c r="F586" s="14">
        <v>0</v>
      </c>
      <c r="G586" s="14">
        <v>31.184838200000002</v>
      </c>
      <c r="H586" s="16">
        <v>1531.0073186000002</v>
      </c>
      <c r="I586" s="16">
        <v>1009.1826602000001</v>
      </c>
      <c r="J586" s="3" t="s">
        <v>5011</v>
      </c>
      <c r="K586" s="16">
        <v>28583.929350616294</v>
      </c>
      <c r="L586" s="16">
        <v>3508.7080397000004</v>
      </c>
      <c r="M586" s="16">
        <f t="shared" ref="M583:M646" si="19">L586/H586</f>
        <v>2.2917643809230581</v>
      </c>
    </row>
    <row r="587" spans="1:13" x14ac:dyDescent="0.25">
      <c r="A587" s="2">
        <f t="shared" si="18"/>
        <v>582</v>
      </c>
      <c r="B587" s="2">
        <v>14384</v>
      </c>
      <c r="C587" s="2" t="s">
        <v>3093</v>
      </c>
      <c r="D587" s="14" t="s">
        <v>582</v>
      </c>
      <c r="E587" s="14">
        <v>0</v>
      </c>
      <c r="F587" s="14">
        <v>0</v>
      </c>
      <c r="G587" s="14">
        <v>0</v>
      </c>
      <c r="H587" s="16">
        <v>0</v>
      </c>
      <c r="I587" s="16">
        <v>0</v>
      </c>
      <c r="J587" s="3" t="s">
        <v>5011</v>
      </c>
      <c r="K587" s="16">
        <v>0</v>
      </c>
      <c r="L587" s="16">
        <v>0</v>
      </c>
      <c r="M587" s="16">
        <v>0</v>
      </c>
    </row>
    <row r="588" spans="1:13" x14ac:dyDescent="0.25">
      <c r="A588" s="2">
        <f t="shared" si="18"/>
        <v>583</v>
      </c>
      <c r="B588" s="2">
        <v>14393</v>
      </c>
      <c r="C588" s="2" t="s">
        <v>3094</v>
      </c>
      <c r="D588" s="14" t="s">
        <v>583</v>
      </c>
      <c r="E588" s="14">
        <v>0.10923420000000002</v>
      </c>
      <c r="F588" s="14">
        <v>0</v>
      </c>
      <c r="G588" s="14">
        <v>0.10923420000000002</v>
      </c>
      <c r="H588" s="16">
        <v>98.18024849999999</v>
      </c>
      <c r="I588" s="16">
        <v>81.640388299999998</v>
      </c>
      <c r="J588" s="3" t="s">
        <v>5011</v>
      </c>
      <c r="K588" s="16">
        <v>158.73647423980003</v>
      </c>
      <c r="L588" s="16">
        <v>88.803784300000004</v>
      </c>
      <c r="M588" s="16">
        <f t="shared" si="19"/>
        <v>0.90449744889370509</v>
      </c>
    </row>
    <row r="589" spans="1:13" x14ac:dyDescent="0.25">
      <c r="A589" s="2">
        <f t="shared" si="18"/>
        <v>584</v>
      </c>
      <c r="B589" s="2">
        <v>14430</v>
      </c>
      <c r="C589" s="2" t="s">
        <v>3095</v>
      </c>
      <c r="D589" s="14" t="s">
        <v>584</v>
      </c>
      <c r="E589" s="14">
        <v>0</v>
      </c>
      <c r="F589" s="14">
        <v>0</v>
      </c>
      <c r="G589" s="14">
        <v>0</v>
      </c>
      <c r="H589" s="16">
        <v>0</v>
      </c>
      <c r="I589" s="16">
        <v>0</v>
      </c>
      <c r="J589" s="3" t="s">
        <v>5011</v>
      </c>
      <c r="K589" s="16">
        <v>0</v>
      </c>
      <c r="L589" s="16">
        <v>0</v>
      </c>
      <c r="M589" s="16">
        <v>0</v>
      </c>
    </row>
    <row r="590" spans="1:13" x14ac:dyDescent="0.25">
      <c r="A590" s="2">
        <f t="shared" si="18"/>
        <v>585</v>
      </c>
      <c r="B590" s="2">
        <v>14515</v>
      </c>
      <c r="C590" s="2" t="s">
        <v>3096</v>
      </c>
      <c r="D590" s="14" t="s">
        <v>585</v>
      </c>
      <c r="E590" s="14">
        <v>0</v>
      </c>
      <c r="F590" s="14">
        <v>0</v>
      </c>
      <c r="G590" s="14">
        <v>0</v>
      </c>
      <c r="H590" s="16">
        <v>0</v>
      </c>
      <c r="I590" s="16">
        <v>0</v>
      </c>
      <c r="J590" s="3" t="s">
        <v>5011</v>
      </c>
      <c r="K590" s="16">
        <v>0</v>
      </c>
      <c r="L590" s="16">
        <v>0</v>
      </c>
      <c r="M590" s="16">
        <v>0</v>
      </c>
    </row>
    <row r="591" spans="1:13" x14ac:dyDescent="0.25">
      <c r="A591" s="2">
        <f t="shared" si="18"/>
        <v>586</v>
      </c>
      <c r="B591" s="2">
        <v>14631</v>
      </c>
      <c r="C591" s="2" t="s">
        <v>3097</v>
      </c>
      <c r="D591" s="14" t="s">
        <v>586</v>
      </c>
      <c r="E591" s="14">
        <v>0</v>
      </c>
      <c r="F591" s="14">
        <v>0</v>
      </c>
      <c r="G591" s="14">
        <v>0</v>
      </c>
      <c r="H591" s="16">
        <v>0</v>
      </c>
      <c r="I591" s="16">
        <v>0</v>
      </c>
      <c r="J591" s="3" t="s">
        <v>5011</v>
      </c>
      <c r="K591" s="16">
        <v>0</v>
      </c>
      <c r="L591" s="16">
        <v>0</v>
      </c>
      <c r="M591" s="16">
        <v>0</v>
      </c>
    </row>
    <row r="592" spans="1:13" x14ac:dyDescent="0.25">
      <c r="A592" s="2">
        <f t="shared" si="18"/>
        <v>587</v>
      </c>
      <c r="B592" s="2">
        <v>14678</v>
      </c>
      <c r="C592" s="2" t="s">
        <v>3098</v>
      </c>
      <c r="D592" s="14" t="s">
        <v>115</v>
      </c>
      <c r="E592" s="14">
        <v>1.8665991999999998</v>
      </c>
      <c r="F592" s="14">
        <v>0</v>
      </c>
      <c r="G592" s="14">
        <v>1.8665991999999998</v>
      </c>
      <c r="H592" s="16">
        <v>337.59916850000002</v>
      </c>
      <c r="I592" s="16">
        <v>222.4535755</v>
      </c>
      <c r="J592" s="3" t="s">
        <v>5011</v>
      </c>
      <c r="K592" s="16">
        <v>1793.3470292093998</v>
      </c>
      <c r="L592" s="16">
        <v>331.84364219999998</v>
      </c>
      <c r="M592" s="16">
        <f t="shared" si="19"/>
        <v>0.9829515981168655</v>
      </c>
    </row>
    <row r="593" spans="1:13" x14ac:dyDescent="0.25">
      <c r="A593" s="2">
        <f t="shared" si="18"/>
        <v>588</v>
      </c>
      <c r="B593" s="2">
        <v>14730</v>
      </c>
      <c r="C593" s="2" t="s">
        <v>3099</v>
      </c>
      <c r="D593" s="14" t="s">
        <v>587</v>
      </c>
      <c r="E593" s="14">
        <v>0</v>
      </c>
      <c r="F593" s="14">
        <v>0</v>
      </c>
      <c r="G593" s="14">
        <v>0</v>
      </c>
      <c r="H593" s="16">
        <v>0</v>
      </c>
      <c r="I593" s="16">
        <v>0</v>
      </c>
      <c r="J593" s="3" t="s">
        <v>5011</v>
      </c>
      <c r="K593" s="16">
        <v>0</v>
      </c>
      <c r="L593" s="16">
        <v>0</v>
      </c>
      <c r="M593" s="16">
        <v>0</v>
      </c>
    </row>
    <row r="594" spans="1:13" x14ac:dyDescent="0.25">
      <c r="A594" s="2">
        <f t="shared" si="18"/>
        <v>589</v>
      </c>
      <c r="B594" s="2">
        <v>14731</v>
      </c>
      <c r="C594" s="2" t="s">
        <v>3100</v>
      </c>
      <c r="D594" s="14" t="s">
        <v>588</v>
      </c>
      <c r="E594" s="14">
        <v>0</v>
      </c>
      <c r="F594" s="14">
        <v>0</v>
      </c>
      <c r="G594" s="14">
        <v>0</v>
      </c>
      <c r="H594" s="16">
        <v>0</v>
      </c>
      <c r="I594" s="16">
        <v>0</v>
      </c>
      <c r="J594" s="3" t="s">
        <v>5011</v>
      </c>
      <c r="K594" s="16">
        <v>0</v>
      </c>
      <c r="L594" s="16">
        <v>0</v>
      </c>
      <c r="M594" s="16">
        <v>0</v>
      </c>
    </row>
    <row r="595" spans="1:13" x14ac:dyDescent="0.25">
      <c r="A595" s="2">
        <f t="shared" si="18"/>
        <v>590</v>
      </c>
      <c r="B595" s="2">
        <v>14794</v>
      </c>
      <c r="C595" s="2" t="s">
        <v>3101</v>
      </c>
      <c r="D595" s="14" t="s">
        <v>589</v>
      </c>
      <c r="E595" s="14">
        <v>0</v>
      </c>
      <c r="F595" s="14">
        <v>0</v>
      </c>
      <c r="G595" s="14">
        <v>0</v>
      </c>
      <c r="H595" s="16">
        <v>0</v>
      </c>
      <c r="I595" s="16">
        <v>0</v>
      </c>
      <c r="J595" s="3" t="s">
        <v>5011</v>
      </c>
      <c r="K595" s="16">
        <v>0</v>
      </c>
      <c r="L595" s="16">
        <v>0</v>
      </c>
      <c r="M595" s="16">
        <v>0</v>
      </c>
    </row>
    <row r="596" spans="1:13" x14ac:dyDescent="0.25">
      <c r="A596" s="2">
        <f t="shared" si="18"/>
        <v>591</v>
      </c>
      <c r="B596" s="2">
        <v>14833</v>
      </c>
      <c r="C596" s="2" t="s">
        <v>3102</v>
      </c>
      <c r="D596" s="14" t="s">
        <v>590</v>
      </c>
      <c r="E596" s="14">
        <v>0</v>
      </c>
      <c r="F596" s="14">
        <v>0</v>
      </c>
      <c r="G596" s="14">
        <v>0</v>
      </c>
      <c r="H596" s="16">
        <v>0</v>
      </c>
      <c r="I596" s="16">
        <v>0</v>
      </c>
      <c r="J596" s="3" t="s">
        <v>5011</v>
      </c>
      <c r="K596" s="16">
        <v>0</v>
      </c>
      <c r="L596" s="16">
        <v>0</v>
      </c>
      <c r="M596" s="16">
        <v>0</v>
      </c>
    </row>
    <row r="597" spans="1:13" x14ac:dyDescent="0.25">
      <c r="A597" s="2">
        <f t="shared" si="18"/>
        <v>592</v>
      </c>
      <c r="B597" s="2">
        <v>14934</v>
      </c>
      <c r="C597" s="2" t="s">
        <v>3103</v>
      </c>
      <c r="D597" s="14" t="s">
        <v>591</v>
      </c>
      <c r="E597" s="14">
        <v>0</v>
      </c>
      <c r="F597" s="14">
        <v>0</v>
      </c>
      <c r="G597" s="14">
        <v>0</v>
      </c>
      <c r="H597" s="16">
        <v>0</v>
      </c>
      <c r="I597" s="16">
        <v>0</v>
      </c>
      <c r="J597" s="3" t="s">
        <v>5011</v>
      </c>
      <c r="K597" s="16">
        <v>0</v>
      </c>
      <c r="L597" s="16">
        <v>0</v>
      </c>
      <c r="M597" s="16">
        <v>0</v>
      </c>
    </row>
    <row r="598" spans="1:13" x14ac:dyDescent="0.25">
      <c r="A598" s="2">
        <f t="shared" si="18"/>
        <v>593</v>
      </c>
      <c r="B598" s="2">
        <v>15046</v>
      </c>
      <c r="C598" s="2" t="s">
        <v>3104</v>
      </c>
      <c r="D598" s="14" t="s">
        <v>592</v>
      </c>
      <c r="E598" s="14">
        <v>8.7990673999999984</v>
      </c>
      <c r="F598" s="14">
        <v>0</v>
      </c>
      <c r="G598" s="14">
        <v>8.7990673999999984</v>
      </c>
      <c r="H598" s="16">
        <v>348.64665229999997</v>
      </c>
      <c r="I598" s="16">
        <v>201.48646979999998</v>
      </c>
      <c r="J598" s="3" t="s">
        <v>5011</v>
      </c>
      <c r="K598" s="16">
        <v>6774.2426553863979</v>
      </c>
      <c r="L598" s="16">
        <v>801.93489010000008</v>
      </c>
      <c r="M598" s="16">
        <f t="shared" si="19"/>
        <v>2.3001364986862378</v>
      </c>
    </row>
    <row r="599" spans="1:13" x14ac:dyDescent="0.25">
      <c r="A599" s="2">
        <f t="shared" si="18"/>
        <v>594</v>
      </c>
      <c r="B599" s="2">
        <v>15062</v>
      </c>
      <c r="C599" s="2" t="s">
        <v>3105</v>
      </c>
      <c r="D599" s="14" t="s">
        <v>593</v>
      </c>
      <c r="E599" s="14">
        <v>80.288764700000002</v>
      </c>
      <c r="F599" s="14">
        <v>0</v>
      </c>
      <c r="G599" s="14">
        <v>80.288764700000002</v>
      </c>
      <c r="H599" s="16">
        <v>2554.8604481000002</v>
      </c>
      <c r="I599" s="16">
        <v>883.28371460000005</v>
      </c>
      <c r="J599" s="3" t="s">
        <v>5011</v>
      </c>
      <c r="K599" s="16">
        <v>62543.76753148788</v>
      </c>
      <c r="L599" s="16">
        <v>6775.1680209000006</v>
      </c>
      <c r="M599" s="16">
        <f t="shared" si="19"/>
        <v>2.6518740097677589</v>
      </c>
    </row>
    <row r="600" spans="1:13" x14ac:dyDescent="0.25">
      <c r="A600" s="2">
        <f t="shared" si="18"/>
        <v>595</v>
      </c>
      <c r="B600" s="2">
        <v>15070</v>
      </c>
      <c r="C600" s="2" t="s">
        <v>3106</v>
      </c>
      <c r="D600" s="14" t="s">
        <v>594</v>
      </c>
      <c r="E600" s="14">
        <v>2.9021100000000005E-2</v>
      </c>
      <c r="F600" s="14">
        <v>0</v>
      </c>
      <c r="G600" s="14">
        <v>2.9021100000000005E-2</v>
      </c>
      <c r="H600" s="16">
        <v>12.1508553</v>
      </c>
      <c r="I600" s="16">
        <v>11.1508553</v>
      </c>
      <c r="J600" s="3" t="s">
        <v>5011</v>
      </c>
      <c r="K600" s="16">
        <v>77.964804393200012</v>
      </c>
      <c r="L600" s="16">
        <v>12.904581599999998</v>
      </c>
      <c r="M600" s="16">
        <f t="shared" si="19"/>
        <v>1.0620307197634062</v>
      </c>
    </row>
    <row r="601" spans="1:13" x14ac:dyDescent="0.25">
      <c r="A601" s="2">
        <f t="shared" si="18"/>
        <v>596</v>
      </c>
      <c r="B601" s="2">
        <v>15078</v>
      </c>
      <c r="C601" s="2" t="s">
        <v>3107</v>
      </c>
      <c r="D601" s="14" t="s">
        <v>595</v>
      </c>
      <c r="E601" s="14">
        <v>5.6124799999999996E-2</v>
      </c>
      <c r="F601" s="14">
        <v>0</v>
      </c>
      <c r="G601" s="14">
        <v>5.6124799999999996E-2</v>
      </c>
      <c r="H601" s="16">
        <v>14.19929</v>
      </c>
      <c r="I601" s="16">
        <v>14.19929</v>
      </c>
      <c r="J601" s="3" t="s">
        <v>5011</v>
      </c>
      <c r="K601" s="16">
        <v>80.965839582499996</v>
      </c>
      <c r="L601" s="16">
        <v>18.4418404</v>
      </c>
      <c r="M601" s="16">
        <f t="shared" si="19"/>
        <v>1.2987860942342893</v>
      </c>
    </row>
    <row r="602" spans="1:13" x14ac:dyDescent="0.25">
      <c r="A602" s="2">
        <f t="shared" si="18"/>
        <v>597</v>
      </c>
      <c r="B602" s="2">
        <v>15095</v>
      </c>
      <c r="C602" s="2" t="s">
        <v>3108</v>
      </c>
      <c r="D602" s="14" t="s">
        <v>596</v>
      </c>
      <c r="E602" s="14">
        <v>0</v>
      </c>
      <c r="F602" s="14">
        <v>0</v>
      </c>
      <c r="G602" s="14">
        <v>0</v>
      </c>
      <c r="H602" s="16">
        <v>0</v>
      </c>
      <c r="I602" s="16">
        <v>0</v>
      </c>
      <c r="J602" s="3" t="s">
        <v>5011</v>
      </c>
      <c r="K602" s="16">
        <v>0</v>
      </c>
      <c r="L602" s="16">
        <v>0</v>
      </c>
      <c r="M602" s="16">
        <v>0</v>
      </c>
    </row>
    <row r="603" spans="1:13" x14ac:dyDescent="0.25">
      <c r="A603" s="2">
        <f t="shared" si="18"/>
        <v>598</v>
      </c>
      <c r="B603" s="2">
        <v>15110</v>
      </c>
      <c r="C603" s="2" t="s">
        <v>3109</v>
      </c>
      <c r="D603" s="14" t="s">
        <v>597</v>
      </c>
      <c r="E603" s="14">
        <v>3.6054599999999999E-2</v>
      </c>
      <c r="F603" s="14">
        <v>0</v>
      </c>
      <c r="G603" s="14">
        <v>3.6054599999999999E-2</v>
      </c>
      <c r="H603" s="16">
        <v>19.998999999999999</v>
      </c>
      <c r="I603" s="16">
        <v>19.998999999999999</v>
      </c>
      <c r="J603" s="3" t="s">
        <v>5011</v>
      </c>
      <c r="K603" s="16">
        <v>80.587779731900014</v>
      </c>
      <c r="L603" s="16">
        <v>1.2822454999999999</v>
      </c>
      <c r="M603" s="16">
        <f t="shared" si="19"/>
        <v>6.4115480774038697E-2</v>
      </c>
    </row>
    <row r="604" spans="1:13" x14ac:dyDescent="0.25">
      <c r="A604" s="2">
        <f t="shared" si="18"/>
        <v>599</v>
      </c>
      <c r="B604" s="2">
        <v>15114</v>
      </c>
      <c r="C604" s="2" t="s">
        <v>3110</v>
      </c>
      <c r="D604" s="14" t="s">
        <v>598</v>
      </c>
      <c r="E604" s="14">
        <v>11.483514</v>
      </c>
      <c r="F604" s="14">
        <v>0</v>
      </c>
      <c r="G604" s="14">
        <v>11.483514</v>
      </c>
      <c r="H604" s="16">
        <v>221.62855420000002</v>
      </c>
      <c r="I604" s="16">
        <v>130.80454320000001</v>
      </c>
      <c r="J604" s="3" t="s">
        <v>5011</v>
      </c>
      <c r="K604" s="16">
        <v>5274.8334453500001</v>
      </c>
      <c r="L604" s="16">
        <v>648.09138250000001</v>
      </c>
      <c r="M604" s="16">
        <f t="shared" si="19"/>
        <v>2.9242233016380879</v>
      </c>
    </row>
    <row r="605" spans="1:13" x14ac:dyDescent="0.25">
      <c r="A605" s="2">
        <f t="shared" si="18"/>
        <v>600</v>
      </c>
      <c r="B605" s="2">
        <v>15251</v>
      </c>
      <c r="C605" s="2" t="s">
        <v>3111</v>
      </c>
      <c r="D605" s="14" t="s">
        <v>599</v>
      </c>
      <c r="E605" s="14">
        <v>0</v>
      </c>
      <c r="F605" s="14">
        <v>0</v>
      </c>
      <c r="G605" s="14">
        <v>0</v>
      </c>
      <c r="H605" s="16">
        <v>0</v>
      </c>
      <c r="I605" s="16">
        <v>0</v>
      </c>
      <c r="J605" s="3" t="s">
        <v>5011</v>
      </c>
      <c r="K605" s="16">
        <v>0</v>
      </c>
      <c r="L605" s="16">
        <v>0</v>
      </c>
      <c r="M605" s="16">
        <v>0</v>
      </c>
    </row>
    <row r="606" spans="1:13" x14ac:dyDescent="0.25">
      <c r="A606" s="2">
        <f t="shared" si="18"/>
        <v>601</v>
      </c>
      <c r="B606" s="2">
        <v>15329</v>
      </c>
      <c r="C606" s="2" t="s">
        <v>3112</v>
      </c>
      <c r="D606" s="14" t="s">
        <v>600</v>
      </c>
      <c r="E606" s="14">
        <v>7.1114401000000003</v>
      </c>
      <c r="F606" s="14">
        <v>0</v>
      </c>
      <c r="G606" s="14">
        <v>7.1114401000000003</v>
      </c>
      <c r="H606" s="16">
        <v>344.35290590000005</v>
      </c>
      <c r="I606" s="16">
        <v>218.80848360000005</v>
      </c>
      <c r="J606" s="3" t="s">
        <v>5011</v>
      </c>
      <c r="K606" s="16">
        <v>6436.3400715149983</v>
      </c>
      <c r="L606" s="16">
        <v>766.07427650000011</v>
      </c>
      <c r="M606" s="16">
        <f t="shared" si="19"/>
        <v>2.2246778330439523</v>
      </c>
    </row>
    <row r="607" spans="1:13" x14ac:dyDescent="0.25">
      <c r="A607" s="2">
        <f t="shared" si="18"/>
        <v>602</v>
      </c>
      <c r="B607" s="2">
        <v>15348</v>
      </c>
      <c r="C607" s="2" t="s">
        <v>3113</v>
      </c>
      <c r="D607" s="14" t="s">
        <v>601</v>
      </c>
      <c r="E607" s="14">
        <v>0.34122699999999995</v>
      </c>
      <c r="F607" s="14">
        <v>0</v>
      </c>
      <c r="G607" s="14">
        <v>0.34122699999999995</v>
      </c>
      <c r="H607" s="16">
        <v>32.990419500000002</v>
      </c>
      <c r="I607" s="16">
        <v>28.002936200000001</v>
      </c>
      <c r="J607" s="3" t="s">
        <v>5011</v>
      </c>
      <c r="K607" s="16">
        <v>424.08111702310003</v>
      </c>
      <c r="L607" s="16">
        <v>60.350135300000005</v>
      </c>
      <c r="M607" s="16">
        <f t="shared" si="19"/>
        <v>1.8293230645339325</v>
      </c>
    </row>
    <row r="608" spans="1:13" x14ac:dyDescent="0.25">
      <c r="A608" s="2">
        <f t="shared" si="18"/>
        <v>603</v>
      </c>
      <c r="B608" s="2">
        <v>15422</v>
      </c>
      <c r="C608" s="2" t="s">
        <v>3114</v>
      </c>
      <c r="D608" s="14" t="s">
        <v>602</v>
      </c>
      <c r="E608" s="14">
        <v>3.7295554000000002</v>
      </c>
      <c r="F608" s="14">
        <v>0</v>
      </c>
      <c r="G608" s="14">
        <v>3.7295554000000002</v>
      </c>
      <c r="H608" s="16">
        <v>178.45108399999998</v>
      </c>
      <c r="I608" s="16">
        <v>178.06308119999997</v>
      </c>
      <c r="J608" s="3" t="s">
        <v>5011</v>
      </c>
      <c r="K608" s="16">
        <v>3159.4009264165006</v>
      </c>
      <c r="L608" s="16">
        <v>445.07039590000005</v>
      </c>
      <c r="M608" s="16">
        <f t="shared" si="19"/>
        <v>2.494075048039496</v>
      </c>
    </row>
    <row r="609" spans="1:13" x14ac:dyDescent="0.25">
      <c r="A609" s="2">
        <f t="shared" si="18"/>
        <v>604</v>
      </c>
      <c r="B609" s="2">
        <v>15554</v>
      </c>
      <c r="C609" s="2" t="s">
        <v>3115</v>
      </c>
      <c r="D609" s="14" t="s">
        <v>603</v>
      </c>
      <c r="E609" s="14">
        <v>0</v>
      </c>
      <c r="F609" s="14">
        <v>0</v>
      </c>
      <c r="G609" s="14">
        <v>0</v>
      </c>
      <c r="H609" s="16">
        <v>0</v>
      </c>
      <c r="I609" s="16">
        <v>0</v>
      </c>
      <c r="J609" s="3" t="s">
        <v>5011</v>
      </c>
      <c r="K609" s="16">
        <v>0</v>
      </c>
      <c r="L609" s="16">
        <v>0</v>
      </c>
      <c r="M609" s="16">
        <v>0</v>
      </c>
    </row>
    <row r="610" spans="1:13" x14ac:dyDescent="0.25">
      <c r="A610" s="2">
        <f t="shared" si="18"/>
        <v>605</v>
      </c>
      <c r="B610" s="2">
        <v>15702</v>
      </c>
      <c r="C610" s="2" t="s">
        <v>3116</v>
      </c>
      <c r="D610" s="14" t="s">
        <v>604</v>
      </c>
      <c r="E610" s="14">
        <v>1.2820357</v>
      </c>
      <c r="F610" s="14">
        <v>0</v>
      </c>
      <c r="G610" s="14">
        <v>1.2820357</v>
      </c>
      <c r="H610" s="16">
        <v>193.18401660000001</v>
      </c>
      <c r="I610" s="16">
        <v>179.84895240000003</v>
      </c>
      <c r="J610" s="3" t="s">
        <v>5011</v>
      </c>
      <c r="K610" s="16">
        <v>1157.0511440931</v>
      </c>
      <c r="L610" s="16">
        <v>251.50336329999999</v>
      </c>
      <c r="M610" s="16">
        <f t="shared" si="19"/>
        <v>1.3018849474527385</v>
      </c>
    </row>
    <row r="611" spans="1:13" x14ac:dyDescent="0.25">
      <c r="A611" s="2">
        <f t="shared" si="18"/>
        <v>606</v>
      </c>
      <c r="B611" s="2">
        <v>15707</v>
      </c>
      <c r="C611" s="2" t="s">
        <v>3117</v>
      </c>
      <c r="D611" s="14" t="s">
        <v>605</v>
      </c>
      <c r="E611" s="14">
        <v>13.3266329</v>
      </c>
      <c r="F611" s="14">
        <v>0</v>
      </c>
      <c r="G611" s="14">
        <v>13.3266329</v>
      </c>
      <c r="H611" s="16">
        <v>41.4564947</v>
      </c>
      <c r="I611" s="16">
        <v>-131.84729269999997</v>
      </c>
      <c r="J611" s="3" t="s">
        <v>5011</v>
      </c>
      <c r="K611" s="16">
        <v>9455.1933380362025</v>
      </c>
      <c r="L611" s="16">
        <v>868.1870778</v>
      </c>
      <c r="M611" s="16">
        <f t="shared" si="19"/>
        <v>20.942124607558775</v>
      </c>
    </row>
    <row r="612" spans="1:13" x14ac:dyDescent="0.25">
      <c r="A612" s="2">
        <f t="shared" si="18"/>
        <v>607</v>
      </c>
      <c r="B612" s="2">
        <v>15722</v>
      </c>
      <c r="C612" s="2" t="s">
        <v>3118</v>
      </c>
      <c r="D612" s="14" t="s">
        <v>606</v>
      </c>
      <c r="E612" s="14">
        <v>0</v>
      </c>
      <c r="F612" s="14">
        <v>0</v>
      </c>
      <c r="G612" s="14">
        <v>0</v>
      </c>
      <c r="H612" s="16">
        <v>0</v>
      </c>
      <c r="I612" s="16">
        <v>0</v>
      </c>
      <c r="J612" s="3" t="s">
        <v>5011</v>
      </c>
      <c r="K612" s="16">
        <v>0</v>
      </c>
      <c r="L612" s="16">
        <v>0</v>
      </c>
      <c r="M612" s="16">
        <v>0</v>
      </c>
    </row>
    <row r="613" spans="1:13" x14ac:dyDescent="0.25">
      <c r="A613" s="2">
        <f t="shared" si="18"/>
        <v>608</v>
      </c>
      <c r="B613" s="2">
        <v>15805</v>
      </c>
      <c r="C613" s="2" t="s">
        <v>3119</v>
      </c>
      <c r="D613" s="14" t="s">
        <v>607</v>
      </c>
      <c r="E613" s="14">
        <v>0</v>
      </c>
      <c r="F613" s="14">
        <v>0</v>
      </c>
      <c r="G613" s="14">
        <v>0</v>
      </c>
      <c r="H613" s="16">
        <v>0</v>
      </c>
      <c r="I613" s="16">
        <v>0</v>
      </c>
      <c r="J613" s="3" t="s">
        <v>5011</v>
      </c>
      <c r="K613" s="16">
        <v>0</v>
      </c>
      <c r="L613" s="16">
        <v>0</v>
      </c>
      <c r="M613" s="16">
        <v>0</v>
      </c>
    </row>
    <row r="614" spans="1:13" x14ac:dyDescent="0.25">
      <c r="A614" s="2">
        <f t="shared" si="18"/>
        <v>609</v>
      </c>
      <c r="B614" s="2">
        <v>15811</v>
      </c>
      <c r="C614" s="2" t="s">
        <v>3120</v>
      </c>
      <c r="D614" s="14" t="s">
        <v>608</v>
      </c>
      <c r="E614" s="14">
        <v>0</v>
      </c>
      <c r="F614" s="14">
        <v>0</v>
      </c>
      <c r="G614" s="14">
        <v>0</v>
      </c>
      <c r="H614" s="16">
        <v>0</v>
      </c>
      <c r="I614" s="16">
        <v>0</v>
      </c>
      <c r="J614" s="3" t="s">
        <v>5011</v>
      </c>
      <c r="K614" s="16">
        <v>0</v>
      </c>
      <c r="L614" s="16">
        <v>0</v>
      </c>
      <c r="M614" s="16">
        <v>0</v>
      </c>
    </row>
    <row r="615" spans="1:13" x14ac:dyDescent="0.25">
      <c r="A615" s="2">
        <f t="shared" si="18"/>
        <v>610</v>
      </c>
      <c r="B615" s="2">
        <v>15824</v>
      </c>
      <c r="C615" s="2" t="s">
        <v>3121</v>
      </c>
      <c r="D615" s="14" t="s">
        <v>609</v>
      </c>
      <c r="E615" s="14">
        <v>0</v>
      </c>
      <c r="F615" s="14">
        <v>0</v>
      </c>
      <c r="G615" s="14">
        <v>0</v>
      </c>
      <c r="H615" s="16">
        <v>2.839858</v>
      </c>
      <c r="I615" s="16">
        <v>2.839858</v>
      </c>
      <c r="J615" s="3" t="s">
        <v>5011</v>
      </c>
      <c r="K615" s="16">
        <v>155.473156303</v>
      </c>
      <c r="L615" s="16">
        <v>18.7677069</v>
      </c>
      <c r="M615" s="16">
        <f t="shared" si="19"/>
        <v>6.6086779338966952</v>
      </c>
    </row>
    <row r="616" spans="1:13" x14ac:dyDescent="0.25">
      <c r="A616" s="2">
        <f t="shared" si="18"/>
        <v>611</v>
      </c>
      <c r="B616" s="2">
        <v>15848</v>
      </c>
      <c r="C616" s="2" t="s">
        <v>3122</v>
      </c>
      <c r="D616" s="14" t="s">
        <v>610</v>
      </c>
      <c r="E616" s="14">
        <v>2.2682529000000002</v>
      </c>
      <c r="F616" s="14">
        <v>0</v>
      </c>
      <c r="G616" s="14">
        <v>2.2682529000000002</v>
      </c>
      <c r="H616" s="16">
        <v>164.20687140000001</v>
      </c>
      <c r="I616" s="16">
        <v>75.299948500000013</v>
      </c>
      <c r="J616" s="3" t="s">
        <v>5011</v>
      </c>
      <c r="K616" s="16">
        <v>2242.1673580362994</v>
      </c>
      <c r="L616" s="16">
        <v>274.14832510000002</v>
      </c>
      <c r="M616" s="16">
        <f t="shared" si="19"/>
        <v>1.6695301649843137</v>
      </c>
    </row>
    <row r="617" spans="1:13" x14ac:dyDescent="0.25">
      <c r="A617" s="2">
        <f t="shared" si="18"/>
        <v>612</v>
      </c>
      <c r="B617" s="2">
        <v>16083</v>
      </c>
      <c r="C617" s="2" t="s">
        <v>3123</v>
      </c>
      <c r="D617" s="14" t="s">
        <v>611</v>
      </c>
      <c r="E617" s="14">
        <v>0</v>
      </c>
      <c r="F617" s="14">
        <v>0</v>
      </c>
      <c r="G617" s="14">
        <v>0</v>
      </c>
      <c r="H617" s="16">
        <v>0</v>
      </c>
      <c r="I617" s="16">
        <v>0</v>
      </c>
      <c r="J617" s="3" t="s">
        <v>5011</v>
      </c>
      <c r="K617" s="16">
        <v>0</v>
      </c>
      <c r="L617" s="16">
        <v>0</v>
      </c>
      <c r="M617" s="16">
        <v>0</v>
      </c>
    </row>
    <row r="618" spans="1:13" x14ac:dyDescent="0.25">
      <c r="A618" s="2">
        <f t="shared" si="18"/>
        <v>613</v>
      </c>
      <c r="B618" s="2">
        <v>16126</v>
      </c>
      <c r="C618" s="2" t="s">
        <v>3124</v>
      </c>
      <c r="D618" s="14" t="s">
        <v>612</v>
      </c>
      <c r="E618" s="14">
        <v>0.24670990000000001</v>
      </c>
      <c r="F618" s="14">
        <v>0</v>
      </c>
      <c r="G618" s="14">
        <v>0.24670990000000001</v>
      </c>
      <c r="H618" s="16">
        <v>5.6297208999999997</v>
      </c>
      <c r="I618" s="16">
        <v>5.6297208999999997</v>
      </c>
      <c r="J618" s="3" t="s">
        <v>5011</v>
      </c>
      <c r="K618" s="16">
        <v>216.93079067400004</v>
      </c>
      <c r="L618" s="16">
        <v>26.0559406</v>
      </c>
      <c r="M618" s="16">
        <f t="shared" si="19"/>
        <v>4.6282828337014008</v>
      </c>
    </row>
    <row r="619" spans="1:13" x14ac:dyDescent="0.25">
      <c r="A619" s="2">
        <f t="shared" si="18"/>
        <v>614</v>
      </c>
      <c r="B619" s="2">
        <v>16153</v>
      </c>
      <c r="C619" s="2" t="s">
        <v>3125</v>
      </c>
      <c r="D619" s="14" t="s">
        <v>613</v>
      </c>
      <c r="E619" s="14">
        <v>0</v>
      </c>
      <c r="F619" s="14">
        <v>0</v>
      </c>
      <c r="G619" s="14">
        <v>0</v>
      </c>
      <c r="H619" s="16">
        <v>0</v>
      </c>
      <c r="I619" s="16">
        <v>0</v>
      </c>
      <c r="J619" s="3" t="s">
        <v>5011</v>
      </c>
      <c r="K619" s="16">
        <v>0</v>
      </c>
      <c r="L619" s="16">
        <v>0</v>
      </c>
      <c r="M619" s="16">
        <v>0</v>
      </c>
    </row>
    <row r="620" spans="1:13" x14ac:dyDescent="0.25">
      <c r="A620" s="2">
        <f t="shared" si="18"/>
        <v>615</v>
      </c>
      <c r="B620" s="2">
        <v>16160</v>
      </c>
      <c r="C620" s="2" t="s">
        <v>3126</v>
      </c>
      <c r="D620" s="14" t="s">
        <v>614</v>
      </c>
      <c r="E620" s="14">
        <v>0</v>
      </c>
      <c r="F620" s="14">
        <v>0</v>
      </c>
      <c r="G620" s="14">
        <v>0</v>
      </c>
      <c r="H620" s="16">
        <v>0</v>
      </c>
      <c r="I620" s="16">
        <v>0</v>
      </c>
      <c r="J620" s="3" t="s">
        <v>5011</v>
      </c>
      <c r="K620" s="16">
        <v>0</v>
      </c>
      <c r="L620" s="16">
        <v>0</v>
      </c>
      <c r="M620" s="16">
        <v>0</v>
      </c>
    </row>
    <row r="621" spans="1:13" x14ac:dyDescent="0.25">
      <c r="A621" s="2">
        <f t="shared" si="18"/>
        <v>616</v>
      </c>
      <c r="B621" s="2">
        <v>16252</v>
      </c>
      <c r="C621" s="2" t="s">
        <v>3127</v>
      </c>
      <c r="D621" s="14" t="s">
        <v>615</v>
      </c>
      <c r="E621" s="14">
        <v>0</v>
      </c>
      <c r="F621" s="14">
        <v>0</v>
      </c>
      <c r="G621" s="14">
        <v>0</v>
      </c>
      <c r="H621" s="16">
        <v>48.497574999999998</v>
      </c>
      <c r="I621" s="16">
        <v>30.389620899999997</v>
      </c>
      <c r="J621" s="3" t="s">
        <v>5011</v>
      </c>
      <c r="K621" s="16">
        <v>51.931407482899999</v>
      </c>
      <c r="L621" s="16">
        <v>30.590223999999999</v>
      </c>
      <c r="M621" s="16">
        <f t="shared" si="19"/>
        <v>0.63075780593153374</v>
      </c>
    </row>
    <row r="622" spans="1:13" x14ac:dyDescent="0.25">
      <c r="A622" s="2">
        <f t="shared" si="18"/>
        <v>617</v>
      </c>
      <c r="B622" s="2">
        <v>16321</v>
      </c>
      <c r="C622" s="2" t="s">
        <v>3128</v>
      </c>
      <c r="D622" s="14" t="s">
        <v>616</v>
      </c>
      <c r="E622" s="14">
        <v>0</v>
      </c>
      <c r="F622" s="14">
        <v>0</v>
      </c>
      <c r="G622" s="14">
        <v>0</v>
      </c>
      <c r="H622" s="16">
        <v>5.3997299999999999</v>
      </c>
      <c r="I622" s="16">
        <v>4.0979868000000002</v>
      </c>
      <c r="J622" s="3" t="s">
        <v>5011</v>
      </c>
      <c r="K622" s="16">
        <v>9.6964323559000007</v>
      </c>
      <c r="L622" s="16">
        <v>4.3941666000000001</v>
      </c>
      <c r="M622" s="16">
        <f t="shared" si="19"/>
        <v>0.81377524431777148</v>
      </c>
    </row>
    <row r="623" spans="1:13" x14ac:dyDescent="0.25">
      <c r="A623" s="2">
        <f t="shared" si="18"/>
        <v>618</v>
      </c>
      <c r="B623" s="2">
        <v>16350</v>
      </c>
      <c r="C623" s="2" t="s">
        <v>3129</v>
      </c>
      <c r="D623" s="14" t="s">
        <v>617</v>
      </c>
      <c r="E623" s="14">
        <v>38.760828800000006</v>
      </c>
      <c r="F623" s="14">
        <v>0</v>
      </c>
      <c r="G623" s="14">
        <v>38.760828800000006</v>
      </c>
      <c r="H623" s="16">
        <v>1000.9891229000001</v>
      </c>
      <c r="I623" s="16">
        <v>562.60555370000009</v>
      </c>
      <c r="J623" s="3" t="s">
        <v>5011</v>
      </c>
      <c r="K623" s="16">
        <v>30168.508074378595</v>
      </c>
      <c r="L623" s="16">
        <v>3469.6287877999998</v>
      </c>
      <c r="M623" s="16">
        <f t="shared" si="19"/>
        <v>3.4662002897174533</v>
      </c>
    </row>
    <row r="624" spans="1:13" x14ac:dyDescent="0.25">
      <c r="A624" s="2">
        <f t="shared" si="18"/>
        <v>619</v>
      </c>
      <c r="B624" s="2">
        <v>16538</v>
      </c>
      <c r="C624" s="2" t="s">
        <v>3130</v>
      </c>
      <c r="D624" s="14" t="s">
        <v>618</v>
      </c>
      <c r="E624" s="14">
        <v>6.4066700000000004E-2</v>
      </c>
      <c r="F624" s="14">
        <v>0</v>
      </c>
      <c r="G624" s="14">
        <v>6.4066700000000004E-2</v>
      </c>
      <c r="H624" s="16">
        <v>0.69996499999999995</v>
      </c>
      <c r="I624" s="16">
        <v>-1.1661660999999999</v>
      </c>
      <c r="J624" s="3" t="s">
        <v>5011</v>
      </c>
      <c r="K624" s="16">
        <v>84.774848910299994</v>
      </c>
      <c r="L624" s="16">
        <v>7.4693706000000004</v>
      </c>
      <c r="M624" s="16">
        <f t="shared" si="19"/>
        <v>10.671062981720516</v>
      </c>
    </row>
    <row r="625" spans="1:13" x14ac:dyDescent="0.25">
      <c r="A625" s="2">
        <f t="shared" si="18"/>
        <v>620</v>
      </c>
      <c r="B625" s="2">
        <v>16656</v>
      </c>
      <c r="C625" s="2" t="s">
        <v>3131</v>
      </c>
      <c r="D625" s="14" t="s">
        <v>619</v>
      </c>
      <c r="E625" s="14">
        <v>14.584175700000001</v>
      </c>
      <c r="F625" s="14">
        <v>0</v>
      </c>
      <c r="G625" s="14">
        <v>14.584175700000001</v>
      </c>
      <c r="H625" s="16">
        <v>913.38245019999999</v>
      </c>
      <c r="I625" s="16">
        <v>550.91836669999998</v>
      </c>
      <c r="J625" s="3" t="s">
        <v>5011</v>
      </c>
      <c r="K625" s="16">
        <v>10721.818746441801</v>
      </c>
      <c r="L625" s="16">
        <v>1393.6364378000001</v>
      </c>
      <c r="M625" s="16">
        <f t="shared" si="19"/>
        <v>1.5257972577586099</v>
      </c>
    </row>
    <row r="626" spans="1:13" x14ac:dyDescent="0.25">
      <c r="A626" s="2">
        <f t="shared" si="18"/>
        <v>621</v>
      </c>
      <c r="B626" s="2">
        <v>16699</v>
      </c>
      <c r="C626" s="2" t="s">
        <v>3132</v>
      </c>
      <c r="D626" s="14" t="s">
        <v>620</v>
      </c>
      <c r="E626" s="14">
        <v>0</v>
      </c>
      <c r="F626" s="14">
        <v>0</v>
      </c>
      <c r="G626" s="14">
        <v>0</v>
      </c>
      <c r="H626" s="16">
        <v>0</v>
      </c>
      <c r="I626" s="16">
        <v>0</v>
      </c>
      <c r="J626" s="3" t="s">
        <v>5011</v>
      </c>
      <c r="K626" s="16">
        <v>0</v>
      </c>
      <c r="L626" s="16">
        <v>0</v>
      </c>
      <c r="M626" s="16">
        <v>0</v>
      </c>
    </row>
    <row r="627" spans="1:13" x14ac:dyDescent="0.25">
      <c r="A627" s="2">
        <f t="shared" si="18"/>
        <v>622</v>
      </c>
      <c r="B627" s="2">
        <v>16709</v>
      </c>
      <c r="C627" s="2" t="s">
        <v>3133</v>
      </c>
      <c r="D627" s="14" t="s">
        <v>621</v>
      </c>
      <c r="E627" s="14">
        <v>0</v>
      </c>
      <c r="F627" s="14">
        <v>0</v>
      </c>
      <c r="G627" s="14">
        <v>0</v>
      </c>
      <c r="H627" s="16">
        <v>4.9997499999999997</v>
      </c>
      <c r="I627" s="16">
        <v>-0.29013650000000024</v>
      </c>
      <c r="J627" s="3" t="s">
        <v>5011</v>
      </c>
      <c r="K627" s="16">
        <v>14.353450838300001</v>
      </c>
      <c r="L627" s="16">
        <v>0</v>
      </c>
      <c r="M627" s="16">
        <f t="shared" si="19"/>
        <v>0</v>
      </c>
    </row>
    <row r="628" spans="1:13" x14ac:dyDescent="0.25">
      <c r="A628" s="2">
        <f t="shared" si="18"/>
        <v>623</v>
      </c>
      <c r="B628" s="2">
        <v>17029</v>
      </c>
      <c r="C628" s="2" t="s">
        <v>3134</v>
      </c>
      <c r="D628" s="14" t="s">
        <v>622</v>
      </c>
      <c r="E628" s="14">
        <v>3.7643300000000005E-2</v>
      </c>
      <c r="F628" s="14">
        <v>0</v>
      </c>
      <c r="G628" s="14">
        <v>3.7643300000000005E-2</v>
      </c>
      <c r="H628" s="16">
        <v>0.25998700000000002</v>
      </c>
      <c r="I628" s="16">
        <v>0.25998700000000002</v>
      </c>
      <c r="J628" s="3" t="s">
        <v>5011</v>
      </c>
      <c r="K628" s="16">
        <v>117.7880468152</v>
      </c>
      <c r="L628" s="16">
        <v>12.6116794</v>
      </c>
      <c r="M628" s="16">
        <f t="shared" si="19"/>
        <v>48.508884675002975</v>
      </c>
    </row>
    <row r="629" spans="1:13" x14ac:dyDescent="0.25">
      <c r="A629" s="2">
        <f t="shared" si="18"/>
        <v>624</v>
      </c>
      <c r="B629" s="2">
        <v>17067</v>
      </c>
      <c r="C629" s="2" t="s">
        <v>3135</v>
      </c>
      <c r="D629" s="14" t="s">
        <v>623</v>
      </c>
      <c r="E629" s="14">
        <v>2.1193458999999999</v>
      </c>
      <c r="F629" s="14">
        <v>0</v>
      </c>
      <c r="G629" s="14">
        <v>2.1193458999999999</v>
      </c>
      <c r="H629" s="16">
        <v>142.3028845</v>
      </c>
      <c r="I629" s="16">
        <v>142.3028845</v>
      </c>
      <c r="J629" s="3" t="s">
        <v>5011</v>
      </c>
      <c r="K629" s="16">
        <v>2179.3406356626997</v>
      </c>
      <c r="L629" s="16">
        <v>301.2874865</v>
      </c>
      <c r="M629" s="16">
        <f t="shared" si="19"/>
        <v>2.1172268401910013</v>
      </c>
    </row>
    <row r="630" spans="1:13" x14ac:dyDescent="0.25">
      <c r="A630" s="2">
        <f t="shared" si="18"/>
        <v>625</v>
      </c>
      <c r="B630" s="2">
        <v>17230</v>
      </c>
      <c r="C630" s="2" t="s">
        <v>3136</v>
      </c>
      <c r="D630" s="14" t="s">
        <v>624</v>
      </c>
      <c r="E630" s="14">
        <v>0.35855370000000003</v>
      </c>
      <c r="F630" s="14">
        <v>0</v>
      </c>
      <c r="G630" s="14">
        <v>0.35855370000000003</v>
      </c>
      <c r="H630" s="16">
        <v>10.2894855</v>
      </c>
      <c r="I630" s="16">
        <v>7.4999606000000005</v>
      </c>
      <c r="J630" s="3" t="s">
        <v>5011</v>
      </c>
      <c r="K630" s="16">
        <v>391.14334619360005</v>
      </c>
      <c r="L630" s="16">
        <v>43.349523699999999</v>
      </c>
      <c r="M630" s="16">
        <f t="shared" si="19"/>
        <v>4.2129923502977871</v>
      </c>
    </row>
    <row r="631" spans="1:13" x14ac:dyDescent="0.25">
      <c r="A631" s="2">
        <f t="shared" si="18"/>
        <v>626</v>
      </c>
      <c r="B631" s="2">
        <v>17265</v>
      </c>
      <c r="C631" s="2" t="s">
        <v>3137</v>
      </c>
      <c r="D631" s="14" t="s">
        <v>625</v>
      </c>
      <c r="E631" s="14">
        <v>0</v>
      </c>
      <c r="F631" s="14">
        <v>0</v>
      </c>
      <c r="G631" s="14">
        <v>0</v>
      </c>
      <c r="H631" s="16">
        <v>0</v>
      </c>
      <c r="I631" s="16">
        <v>0</v>
      </c>
      <c r="J631" s="3" t="s">
        <v>5011</v>
      </c>
      <c r="K631" s="16">
        <v>0</v>
      </c>
      <c r="L631" s="16">
        <v>0</v>
      </c>
      <c r="M631" s="16">
        <v>0</v>
      </c>
    </row>
    <row r="632" spans="1:13" x14ac:dyDescent="0.25">
      <c r="A632" s="2">
        <f t="shared" si="18"/>
        <v>627</v>
      </c>
      <c r="B632" s="2">
        <v>17297</v>
      </c>
      <c r="C632" s="2" t="s">
        <v>3138</v>
      </c>
      <c r="D632" s="14" t="s">
        <v>626</v>
      </c>
      <c r="E632" s="14">
        <v>0.20686080000000001</v>
      </c>
      <c r="F632" s="14">
        <v>0</v>
      </c>
      <c r="G632" s="14">
        <v>0.20686080000000001</v>
      </c>
      <c r="H632" s="16">
        <v>6.3746818999999997</v>
      </c>
      <c r="I632" s="16">
        <v>5.1060592999999992</v>
      </c>
      <c r="J632" s="3" t="s">
        <v>5011</v>
      </c>
      <c r="K632" s="16">
        <v>183.37503937350002</v>
      </c>
      <c r="L632" s="16">
        <v>23.347443800000001</v>
      </c>
      <c r="M632" s="16">
        <f t="shared" si="19"/>
        <v>3.6625268784000031</v>
      </c>
    </row>
    <row r="633" spans="1:13" x14ac:dyDescent="0.25">
      <c r="A633" s="2">
        <f t="shared" si="18"/>
        <v>628</v>
      </c>
      <c r="B633" s="2">
        <v>17358</v>
      </c>
      <c r="C633" s="2" t="s">
        <v>3139</v>
      </c>
      <c r="D633" s="14" t="s">
        <v>627</v>
      </c>
      <c r="E633" s="14">
        <v>0.12480440000000002</v>
      </c>
      <c r="F633" s="14">
        <v>0</v>
      </c>
      <c r="G633" s="14">
        <v>0.12480440000000002</v>
      </c>
      <c r="H633" s="16">
        <v>7.8179337000000002</v>
      </c>
      <c r="I633" s="16">
        <v>-0.16515130000000006</v>
      </c>
      <c r="J633" s="3" t="s">
        <v>5011</v>
      </c>
      <c r="K633" s="16">
        <v>133.66135321640002</v>
      </c>
      <c r="L633" s="16">
        <v>12.604704999999999</v>
      </c>
      <c r="M633" s="16">
        <f t="shared" si="19"/>
        <v>1.6122808767232188</v>
      </c>
    </row>
    <row r="634" spans="1:13" x14ac:dyDescent="0.25">
      <c r="A634" s="2">
        <f t="shared" si="18"/>
        <v>629</v>
      </c>
      <c r="B634" s="2">
        <v>17593</v>
      </c>
      <c r="C634" s="2" t="s">
        <v>3140</v>
      </c>
      <c r="D634" s="14" t="s">
        <v>628</v>
      </c>
      <c r="E634" s="14">
        <v>1.4466999999999999E-2</v>
      </c>
      <c r="F634" s="14">
        <v>0</v>
      </c>
      <c r="G634" s="14">
        <v>1.4466999999999999E-2</v>
      </c>
      <c r="H634" s="16">
        <v>16.9091545</v>
      </c>
      <c r="I634" s="16">
        <v>16.509154500000001</v>
      </c>
      <c r="J634" s="3" t="s">
        <v>5011</v>
      </c>
      <c r="K634" s="16">
        <v>162.5957662472</v>
      </c>
      <c r="L634" s="16">
        <v>27.792200600000001</v>
      </c>
      <c r="M634" s="16">
        <f t="shared" si="19"/>
        <v>1.6436185854236534</v>
      </c>
    </row>
    <row r="635" spans="1:13" x14ac:dyDescent="0.25">
      <c r="A635" s="2">
        <f t="shared" si="18"/>
        <v>630</v>
      </c>
      <c r="B635" s="2">
        <v>17697</v>
      </c>
      <c r="C635" s="2" t="s">
        <v>3141</v>
      </c>
      <c r="D635" s="14" t="s">
        <v>629</v>
      </c>
      <c r="E635" s="14">
        <v>4.3257E-3</v>
      </c>
      <c r="F635" s="14">
        <v>0</v>
      </c>
      <c r="G635" s="14">
        <v>4.3257E-3</v>
      </c>
      <c r="H635" s="16">
        <v>1.9999</v>
      </c>
      <c r="I635" s="16">
        <v>1.9999</v>
      </c>
      <c r="J635" s="3" t="s">
        <v>5011</v>
      </c>
      <c r="K635" s="16">
        <v>10.215676111499999</v>
      </c>
      <c r="L635" s="16">
        <v>2.4279674</v>
      </c>
      <c r="M635" s="16">
        <f t="shared" si="19"/>
        <v>1.2140444022201109</v>
      </c>
    </row>
    <row r="636" spans="1:13" x14ac:dyDescent="0.25">
      <c r="A636" s="2">
        <f t="shared" si="18"/>
        <v>631</v>
      </c>
      <c r="B636" s="2">
        <v>17698</v>
      </c>
      <c r="C636" s="2" t="s">
        <v>3142</v>
      </c>
      <c r="D636" s="14" t="s">
        <v>630</v>
      </c>
      <c r="E636" s="14">
        <v>0</v>
      </c>
      <c r="F636" s="14">
        <v>0</v>
      </c>
      <c r="G636" s="14">
        <v>0</v>
      </c>
      <c r="H636" s="16">
        <v>0</v>
      </c>
      <c r="I636" s="16">
        <v>0</v>
      </c>
      <c r="J636" s="3" t="s">
        <v>5011</v>
      </c>
      <c r="K636" s="16">
        <v>0</v>
      </c>
      <c r="L636" s="16">
        <v>0</v>
      </c>
      <c r="M636" s="16">
        <v>0</v>
      </c>
    </row>
    <row r="637" spans="1:13" x14ac:dyDescent="0.25">
      <c r="A637" s="2">
        <f t="shared" si="18"/>
        <v>632</v>
      </c>
      <c r="B637" s="2">
        <v>17711</v>
      </c>
      <c r="C637" s="2" t="s">
        <v>3143</v>
      </c>
      <c r="D637" s="14" t="s">
        <v>631</v>
      </c>
      <c r="E637" s="14">
        <v>2.2833428000000002</v>
      </c>
      <c r="F637" s="14">
        <v>0</v>
      </c>
      <c r="G637" s="14">
        <v>2.2833428000000002</v>
      </c>
      <c r="H637" s="16">
        <v>9.9994999999999994</v>
      </c>
      <c r="I637" s="16">
        <v>-35.1273342</v>
      </c>
      <c r="J637" s="3" t="s">
        <v>5011</v>
      </c>
      <c r="K637" s="16">
        <v>965.4454641474</v>
      </c>
      <c r="L637" s="16">
        <v>72.225515599999994</v>
      </c>
      <c r="M637" s="16">
        <f t="shared" si="19"/>
        <v>7.2229127056352818</v>
      </c>
    </row>
    <row r="638" spans="1:13" x14ac:dyDescent="0.25">
      <c r="A638" s="2">
        <f t="shared" si="18"/>
        <v>633</v>
      </c>
      <c r="B638" s="2">
        <v>17738</v>
      </c>
      <c r="C638" s="2" t="s">
        <v>3144</v>
      </c>
      <c r="D638" s="14" t="s">
        <v>632</v>
      </c>
      <c r="E638" s="14">
        <v>0.85646479999999992</v>
      </c>
      <c r="F638" s="14">
        <v>0</v>
      </c>
      <c r="G638" s="14">
        <v>0.85646479999999992</v>
      </c>
      <c r="H638" s="16">
        <v>101.03474130000001</v>
      </c>
      <c r="I638" s="16">
        <v>56.884757100000009</v>
      </c>
      <c r="J638" s="3" t="s">
        <v>5011</v>
      </c>
      <c r="K638" s="16">
        <v>720.31825813110004</v>
      </c>
      <c r="L638" s="16">
        <v>124.13409689999999</v>
      </c>
      <c r="M638" s="16">
        <f t="shared" si="19"/>
        <v>1.2286278492208103</v>
      </c>
    </row>
    <row r="639" spans="1:13" x14ac:dyDescent="0.25">
      <c r="A639" s="2">
        <f t="shared" si="18"/>
        <v>634</v>
      </c>
      <c r="B639" s="2">
        <v>18015</v>
      </c>
      <c r="C639" s="2" t="s">
        <v>3145</v>
      </c>
      <c r="D639" s="14" t="s">
        <v>633</v>
      </c>
      <c r="E639" s="14">
        <v>0.21699850000000001</v>
      </c>
      <c r="F639" s="14">
        <v>0</v>
      </c>
      <c r="G639" s="14">
        <v>0.21699850000000001</v>
      </c>
      <c r="H639" s="16">
        <v>32.598370000000003</v>
      </c>
      <c r="I639" s="16">
        <v>32.588936699999998</v>
      </c>
      <c r="J639" s="3" t="s">
        <v>5011</v>
      </c>
      <c r="K639" s="16">
        <v>278.91864985200004</v>
      </c>
      <c r="L639" s="16">
        <v>55.512395499999997</v>
      </c>
      <c r="M639" s="16">
        <f t="shared" si="19"/>
        <v>1.7029193637595987</v>
      </c>
    </row>
    <row r="640" spans="1:13" x14ac:dyDescent="0.25">
      <c r="A640" s="2">
        <f t="shared" si="18"/>
        <v>635</v>
      </c>
      <c r="B640" s="2">
        <v>18047</v>
      </c>
      <c r="C640" s="2" t="s">
        <v>3146</v>
      </c>
      <c r="D640" s="14" t="s">
        <v>634</v>
      </c>
      <c r="E640" s="14">
        <v>0.72159859999999998</v>
      </c>
      <c r="F640" s="14">
        <v>0</v>
      </c>
      <c r="G640" s="14">
        <v>0.72159859999999998</v>
      </c>
      <c r="H640" s="16">
        <v>64.380642499999993</v>
      </c>
      <c r="I640" s="16">
        <v>50.060403000000001</v>
      </c>
      <c r="J640" s="3" t="s">
        <v>5011</v>
      </c>
      <c r="K640" s="16">
        <v>813.09261587590026</v>
      </c>
      <c r="L640" s="16">
        <v>110.51764609999999</v>
      </c>
      <c r="M640" s="16">
        <f t="shared" si="19"/>
        <v>1.7166285052218919</v>
      </c>
    </row>
    <row r="641" spans="1:13" x14ac:dyDescent="0.25">
      <c r="A641" s="2">
        <f t="shared" si="18"/>
        <v>636</v>
      </c>
      <c r="B641" s="2">
        <v>18090</v>
      </c>
      <c r="C641" s="2" t="s">
        <v>3147</v>
      </c>
      <c r="D641" s="14" t="s">
        <v>635</v>
      </c>
      <c r="E641" s="14">
        <v>0</v>
      </c>
      <c r="F641" s="14">
        <v>0</v>
      </c>
      <c r="G641" s="14">
        <v>0</v>
      </c>
      <c r="H641" s="16">
        <v>0</v>
      </c>
      <c r="I641" s="16">
        <v>0</v>
      </c>
      <c r="J641" s="3" t="s">
        <v>5011</v>
      </c>
      <c r="K641" s="16">
        <v>0</v>
      </c>
      <c r="L641" s="16">
        <v>0</v>
      </c>
      <c r="M641" s="16">
        <v>0</v>
      </c>
    </row>
    <row r="642" spans="1:13" x14ac:dyDescent="0.25">
      <c r="A642" s="2">
        <f t="shared" si="18"/>
        <v>637</v>
      </c>
      <c r="B642" s="2">
        <v>18131</v>
      </c>
      <c r="C642" s="2" t="s">
        <v>3148</v>
      </c>
      <c r="D642" s="14" t="s">
        <v>636</v>
      </c>
      <c r="E642" s="14">
        <v>0</v>
      </c>
      <c r="F642" s="14">
        <v>0</v>
      </c>
      <c r="G642" s="14">
        <v>0</v>
      </c>
      <c r="H642" s="16">
        <v>0</v>
      </c>
      <c r="I642" s="16">
        <v>0</v>
      </c>
      <c r="J642" s="3" t="s">
        <v>5011</v>
      </c>
      <c r="K642" s="16">
        <v>0</v>
      </c>
      <c r="L642" s="16">
        <v>0</v>
      </c>
      <c r="M642" s="16">
        <v>0</v>
      </c>
    </row>
    <row r="643" spans="1:13" x14ac:dyDescent="0.25">
      <c r="A643" s="2">
        <f t="shared" si="18"/>
        <v>638</v>
      </c>
      <c r="B643" s="2">
        <v>18141</v>
      </c>
      <c r="C643" s="2" t="s">
        <v>3149</v>
      </c>
      <c r="D643" s="14" t="s">
        <v>637</v>
      </c>
      <c r="E643" s="14">
        <v>0.1627391</v>
      </c>
      <c r="F643" s="14">
        <v>0</v>
      </c>
      <c r="G643" s="14">
        <v>0.1627391</v>
      </c>
      <c r="H643" s="16">
        <v>33.791973399999996</v>
      </c>
      <c r="I643" s="16">
        <v>33.588309600000002</v>
      </c>
      <c r="J643" s="3" t="s">
        <v>5011</v>
      </c>
      <c r="K643" s="16">
        <v>209.66372353380001</v>
      </c>
      <c r="L643" s="16">
        <v>41.5521952</v>
      </c>
      <c r="M643" s="16">
        <f t="shared" si="19"/>
        <v>1.2296468959696802</v>
      </c>
    </row>
    <row r="644" spans="1:13" x14ac:dyDescent="0.25">
      <c r="A644" s="2">
        <f t="shared" si="18"/>
        <v>639</v>
      </c>
      <c r="B644" s="2">
        <v>18212</v>
      </c>
      <c r="C644" s="2" t="s">
        <v>3150</v>
      </c>
      <c r="D644" s="14" t="s">
        <v>638</v>
      </c>
      <c r="E644" s="14">
        <v>5.2161799999999987E-2</v>
      </c>
      <c r="F644" s="14">
        <v>0</v>
      </c>
      <c r="G644" s="14">
        <v>5.2161799999999987E-2</v>
      </c>
      <c r="H644" s="16">
        <v>5.6621491000000006</v>
      </c>
      <c r="I644" s="16">
        <v>1.8643902000000001</v>
      </c>
      <c r="J644" s="3" t="s">
        <v>5011</v>
      </c>
      <c r="K644" s="16">
        <v>88.800698917999995</v>
      </c>
      <c r="L644" s="16">
        <v>12.6810022</v>
      </c>
      <c r="M644" s="16">
        <f t="shared" si="19"/>
        <v>2.2396093737623404</v>
      </c>
    </row>
    <row r="645" spans="1:13" x14ac:dyDescent="0.25">
      <c r="A645" s="2">
        <f t="shared" si="18"/>
        <v>640</v>
      </c>
      <c r="B645" s="2">
        <v>18351</v>
      </c>
      <c r="C645" s="2" t="s">
        <v>3151</v>
      </c>
      <c r="D645" s="14" t="s">
        <v>639</v>
      </c>
      <c r="E645" s="14">
        <v>0</v>
      </c>
      <c r="F645" s="14">
        <v>0</v>
      </c>
      <c r="G645" s="14">
        <v>0</v>
      </c>
      <c r="H645" s="16">
        <v>0</v>
      </c>
      <c r="I645" s="16">
        <v>0</v>
      </c>
      <c r="J645" s="3" t="s">
        <v>5011</v>
      </c>
      <c r="K645" s="16">
        <v>0</v>
      </c>
      <c r="L645" s="16">
        <v>0</v>
      </c>
      <c r="M645" s="16">
        <v>0</v>
      </c>
    </row>
    <row r="646" spans="1:13" x14ac:dyDescent="0.25">
      <c r="A646" s="2">
        <f t="shared" si="18"/>
        <v>641</v>
      </c>
      <c r="B646" s="2">
        <v>18481</v>
      </c>
      <c r="C646" s="2" t="s">
        <v>3152</v>
      </c>
      <c r="D646" s="14" t="s">
        <v>640</v>
      </c>
      <c r="E646" s="14">
        <v>0.11416369999999999</v>
      </c>
      <c r="F646" s="14">
        <v>0</v>
      </c>
      <c r="G646" s="14">
        <v>0.11416369999999999</v>
      </c>
      <c r="H646" s="16">
        <v>71.296435000000002</v>
      </c>
      <c r="I646" s="16">
        <v>71.296435000000002</v>
      </c>
      <c r="J646" s="3" t="s">
        <v>5011</v>
      </c>
      <c r="K646" s="16">
        <v>179.3182367725</v>
      </c>
      <c r="L646" s="16">
        <v>79.478540300000006</v>
      </c>
      <c r="M646" s="16">
        <f t="shared" si="19"/>
        <v>1.1147617731517712</v>
      </c>
    </row>
    <row r="647" spans="1:13" x14ac:dyDescent="0.25">
      <c r="A647" s="2">
        <f t="shared" si="18"/>
        <v>642</v>
      </c>
      <c r="B647" s="2">
        <v>18500</v>
      </c>
      <c r="C647" s="2" t="s">
        <v>3153</v>
      </c>
      <c r="D647" s="14" t="s">
        <v>641</v>
      </c>
      <c r="E647" s="14">
        <v>2.1015058</v>
      </c>
      <c r="F647" s="14">
        <v>0</v>
      </c>
      <c r="G647" s="14">
        <v>2.1015058</v>
      </c>
      <c r="H647" s="16">
        <v>156.30447649999999</v>
      </c>
      <c r="I647" s="16">
        <v>149.92273259999999</v>
      </c>
      <c r="J647" s="3" t="s">
        <v>5011</v>
      </c>
      <c r="K647" s="16">
        <v>2345.2611802213996</v>
      </c>
      <c r="L647" s="16">
        <v>337.52766429999997</v>
      </c>
      <c r="M647" s="16">
        <f t="shared" ref="M647:M710" si="20">L647/H647</f>
        <v>2.1594241691471963</v>
      </c>
    </row>
    <row r="648" spans="1:13" x14ac:dyDescent="0.25">
      <c r="A648" s="2">
        <f t="shared" ref="A648:A711" si="21">A647+1</f>
        <v>643</v>
      </c>
      <c r="B648" s="2">
        <v>18503</v>
      </c>
      <c r="C648" s="2" t="s">
        <v>3154</v>
      </c>
      <c r="D648" s="14" t="s">
        <v>642</v>
      </c>
      <c r="E648" s="14">
        <v>0</v>
      </c>
      <c r="F648" s="14">
        <v>0</v>
      </c>
      <c r="G648" s="14">
        <v>0</v>
      </c>
      <c r="H648" s="16">
        <v>0</v>
      </c>
      <c r="I648" s="16">
        <v>0</v>
      </c>
      <c r="J648" s="3" t="s">
        <v>5011</v>
      </c>
      <c r="K648" s="16">
        <v>0</v>
      </c>
      <c r="L648" s="16">
        <v>0</v>
      </c>
      <c r="M648" s="16">
        <v>0</v>
      </c>
    </row>
    <row r="649" spans="1:13" x14ac:dyDescent="0.25">
      <c r="A649" s="2">
        <f t="shared" si="21"/>
        <v>644</v>
      </c>
      <c r="B649" s="2">
        <v>18515</v>
      </c>
      <c r="C649" s="2" t="s">
        <v>3155</v>
      </c>
      <c r="D649" s="14" t="s">
        <v>643</v>
      </c>
      <c r="E649" s="14">
        <v>0</v>
      </c>
      <c r="F649" s="14">
        <v>0</v>
      </c>
      <c r="G649" s="14">
        <v>0</v>
      </c>
      <c r="H649" s="16">
        <v>0</v>
      </c>
      <c r="I649" s="16">
        <v>0</v>
      </c>
      <c r="J649" s="3" t="s">
        <v>5011</v>
      </c>
      <c r="K649" s="16">
        <v>0</v>
      </c>
      <c r="L649" s="16">
        <v>0</v>
      </c>
      <c r="M649" s="16">
        <v>0</v>
      </c>
    </row>
    <row r="650" spans="1:13" x14ac:dyDescent="0.25">
      <c r="A650" s="2">
        <f t="shared" si="21"/>
        <v>645</v>
      </c>
      <c r="B650" s="2">
        <v>18523</v>
      </c>
      <c r="C650" s="2" t="s">
        <v>3156</v>
      </c>
      <c r="D650" s="14" t="s">
        <v>644</v>
      </c>
      <c r="E650" s="14">
        <v>0.113457</v>
      </c>
      <c r="F650" s="14">
        <v>0</v>
      </c>
      <c r="G650" s="14">
        <v>0.113457</v>
      </c>
      <c r="H650" s="16">
        <v>7.5796210999999998</v>
      </c>
      <c r="I650" s="16">
        <v>7.5796210999999998</v>
      </c>
      <c r="J650" s="3" t="s">
        <v>5011</v>
      </c>
      <c r="K650" s="16">
        <v>88.1193635116</v>
      </c>
      <c r="L650" s="16">
        <v>14.214605500000001</v>
      </c>
      <c r="M650" s="16">
        <f t="shared" si="20"/>
        <v>1.8753715142832141</v>
      </c>
    </row>
    <row r="651" spans="1:13" x14ac:dyDescent="0.25">
      <c r="A651" s="2">
        <f t="shared" si="21"/>
        <v>646</v>
      </c>
      <c r="B651" s="2">
        <v>18557</v>
      </c>
      <c r="C651" s="2" t="s">
        <v>3157</v>
      </c>
      <c r="D651" s="14" t="s">
        <v>645</v>
      </c>
      <c r="E651" s="14">
        <v>0.87874050000000004</v>
      </c>
      <c r="F651" s="14">
        <v>0</v>
      </c>
      <c r="G651" s="14">
        <v>0.87874050000000004</v>
      </c>
      <c r="H651" s="16">
        <v>137.75972419999999</v>
      </c>
      <c r="I651" s="16">
        <v>110.7922039</v>
      </c>
      <c r="J651" s="3" t="s">
        <v>5011</v>
      </c>
      <c r="K651" s="16">
        <v>1370.4730402865002</v>
      </c>
      <c r="L651" s="16">
        <v>186.41916499999999</v>
      </c>
      <c r="M651" s="16">
        <f t="shared" si="20"/>
        <v>1.3532196444394449</v>
      </c>
    </row>
    <row r="652" spans="1:13" x14ac:dyDescent="0.25">
      <c r="A652" s="2">
        <f t="shared" si="21"/>
        <v>647</v>
      </c>
      <c r="B652" s="2">
        <v>18741</v>
      </c>
      <c r="C652" s="2" t="s">
        <v>3158</v>
      </c>
      <c r="D652" s="14" t="s">
        <v>646</v>
      </c>
      <c r="E652" s="14">
        <v>79.880513399999998</v>
      </c>
      <c r="F652" s="14">
        <v>0</v>
      </c>
      <c r="G652" s="14">
        <v>79.880513399999998</v>
      </c>
      <c r="H652" s="16">
        <v>3397.6442632999997</v>
      </c>
      <c r="I652" s="16">
        <v>2028.0509520999997</v>
      </c>
      <c r="J652" s="3" t="s">
        <v>5011</v>
      </c>
      <c r="K652" s="16">
        <v>67172.056375468674</v>
      </c>
      <c r="L652" s="16">
        <v>8136.1809354999996</v>
      </c>
      <c r="M652" s="16">
        <f t="shared" si="20"/>
        <v>2.3946535614054083</v>
      </c>
    </row>
    <row r="653" spans="1:13" x14ac:dyDescent="0.25">
      <c r="A653" s="2">
        <f t="shared" si="21"/>
        <v>648</v>
      </c>
      <c r="B653" s="2">
        <v>18747</v>
      </c>
      <c r="C653" s="2" t="s">
        <v>3159</v>
      </c>
      <c r="D653" s="14" t="s">
        <v>647</v>
      </c>
      <c r="E653" s="14">
        <v>0.77044329999999983</v>
      </c>
      <c r="F653" s="14">
        <v>0</v>
      </c>
      <c r="G653" s="14">
        <v>0.77044329999999983</v>
      </c>
      <c r="H653" s="16">
        <v>2.9998499999999999</v>
      </c>
      <c r="I653" s="16">
        <v>-1.3410946999999998</v>
      </c>
      <c r="J653" s="3" t="s">
        <v>5011</v>
      </c>
      <c r="K653" s="16">
        <v>737.71267569000008</v>
      </c>
      <c r="L653" s="16">
        <v>76.2883803</v>
      </c>
      <c r="M653" s="16">
        <f t="shared" si="20"/>
        <v>25.430731636581829</v>
      </c>
    </row>
    <row r="654" spans="1:13" x14ac:dyDescent="0.25">
      <c r="A654" s="2">
        <f t="shared" si="21"/>
        <v>649</v>
      </c>
      <c r="B654" s="2">
        <v>18762</v>
      </c>
      <c r="C654" s="2" t="s">
        <v>3160</v>
      </c>
      <c r="D654" s="14" t="s">
        <v>648</v>
      </c>
      <c r="E654" s="14">
        <v>4.5361999999999998E-3</v>
      </c>
      <c r="F654" s="14">
        <v>0</v>
      </c>
      <c r="G654" s="14">
        <v>4.5361999999999998E-3</v>
      </c>
      <c r="H654" s="16">
        <v>4.2197890000000005</v>
      </c>
      <c r="I654" s="16">
        <v>4.2197890000000005</v>
      </c>
      <c r="J654" s="3" t="s">
        <v>5011</v>
      </c>
      <c r="K654" s="16">
        <v>28.255849490599999</v>
      </c>
      <c r="L654" s="16">
        <v>6.1683832999999995</v>
      </c>
      <c r="M654" s="16">
        <f t="shared" si="20"/>
        <v>1.4617752925560967</v>
      </c>
    </row>
    <row r="655" spans="1:13" x14ac:dyDescent="0.25">
      <c r="A655" s="2">
        <f t="shared" si="21"/>
        <v>650</v>
      </c>
      <c r="B655" s="2">
        <v>18870</v>
      </c>
      <c r="C655" s="2" t="s">
        <v>3161</v>
      </c>
      <c r="D655" s="14" t="s">
        <v>649</v>
      </c>
      <c r="E655" s="14">
        <v>0.23692959999999999</v>
      </c>
      <c r="F655" s="14">
        <v>0</v>
      </c>
      <c r="G655" s="14">
        <v>0.23692959999999999</v>
      </c>
      <c r="H655" s="16">
        <v>28.193243300000002</v>
      </c>
      <c r="I655" s="16">
        <v>27.8123352</v>
      </c>
      <c r="J655" s="3" t="s">
        <v>5011</v>
      </c>
      <c r="K655" s="16">
        <v>277.23486723320002</v>
      </c>
      <c r="L655" s="16">
        <v>47.160866399999996</v>
      </c>
      <c r="M655" s="16">
        <f t="shared" si="20"/>
        <v>1.672771943907567</v>
      </c>
    </row>
    <row r="656" spans="1:13" x14ac:dyDescent="0.25">
      <c r="A656" s="2">
        <f t="shared" si="21"/>
        <v>651</v>
      </c>
      <c r="B656" s="2">
        <v>18879</v>
      </c>
      <c r="C656" s="2" t="s">
        <v>3162</v>
      </c>
      <c r="D656" s="14" t="s">
        <v>650</v>
      </c>
      <c r="E656" s="14">
        <v>4.2008900000000002E-2</v>
      </c>
      <c r="F656" s="14">
        <v>0</v>
      </c>
      <c r="G656" s="14">
        <v>4.2008900000000002E-2</v>
      </c>
      <c r="H656" s="16">
        <v>11.1036571</v>
      </c>
      <c r="I656" s="16">
        <v>6.0494480999999993</v>
      </c>
      <c r="J656" s="3" t="s">
        <v>5011</v>
      </c>
      <c r="K656" s="16">
        <v>94.26015144050001</v>
      </c>
      <c r="L656" s="16">
        <v>12.329135000000001</v>
      </c>
      <c r="M656" s="16">
        <f t="shared" si="20"/>
        <v>1.1103670519508388</v>
      </c>
    </row>
    <row r="657" spans="1:13" x14ac:dyDescent="0.25">
      <c r="A657" s="2">
        <f t="shared" si="21"/>
        <v>652</v>
      </c>
      <c r="B657" s="2">
        <v>18919</v>
      </c>
      <c r="C657" s="2" t="s">
        <v>3163</v>
      </c>
      <c r="D657" s="14" t="s">
        <v>651</v>
      </c>
      <c r="E657" s="14">
        <v>10.660388599999999</v>
      </c>
      <c r="F657" s="14">
        <v>0</v>
      </c>
      <c r="G657" s="14">
        <v>10.660388599999999</v>
      </c>
      <c r="H657" s="16">
        <v>804.82388879999996</v>
      </c>
      <c r="I657" s="16">
        <v>648.58924569999988</v>
      </c>
      <c r="J657" s="3" t="s">
        <v>5011</v>
      </c>
      <c r="K657" s="16">
        <v>9318.5455294327039</v>
      </c>
      <c r="L657" s="16">
        <v>0</v>
      </c>
      <c r="M657" s="16">
        <f t="shared" si="20"/>
        <v>0</v>
      </c>
    </row>
    <row r="658" spans="1:13" x14ac:dyDescent="0.25">
      <c r="A658" s="2">
        <f t="shared" si="21"/>
        <v>653</v>
      </c>
      <c r="B658" s="2">
        <v>18941</v>
      </c>
      <c r="C658" s="2" t="s">
        <v>3164</v>
      </c>
      <c r="D658" s="14" t="s">
        <v>652</v>
      </c>
      <c r="E658" s="14">
        <v>7.9463835000000005</v>
      </c>
      <c r="F658" s="14">
        <v>0</v>
      </c>
      <c r="G658" s="14">
        <v>7.9463835000000005</v>
      </c>
      <c r="H658" s="16">
        <v>1037.3508202</v>
      </c>
      <c r="I658" s="16">
        <v>685.86265560000004</v>
      </c>
      <c r="J658" s="3" t="s">
        <v>5011</v>
      </c>
      <c r="K658" s="16">
        <v>8106.6895762967997</v>
      </c>
      <c r="L658" s="16">
        <v>1327.6051950999999</v>
      </c>
      <c r="M658" s="16">
        <f t="shared" si="20"/>
        <v>1.2798034852317746</v>
      </c>
    </row>
    <row r="659" spans="1:13" x14ac:dyDescent="0.25">
      <c r="A659" s="2">
        <f t="shared" si="21"/>
        <v>654</v>
      </c>
      <c r="B659" s="2">
        <v>18993</v>
      </c>
      <c r="C659" s="2" t="s">
        <v>3165</v>
      </c>
      <c r="D659" s="14" t="s">
        <v>653</v>
      </c>
      <c r="E659" s="14">
        <v>4.7278510999999996</v>
      </c>
      <c r="F659" s="14">
        <v>0</v>
      </c>
      <c r="G659" s="14">
        <v>4.7278510999999996</v>
      </c>
      <c r="H659" s="16">
        <v>193.78504820000001</v>
      </c>
      <c r="I659" s="16">
        <v>115.6118608</v>
      </c>
      <c r="J659" s="3" t="s">
        <v>5011</v>
      </c>
      <c r="K659" s="16">
        <v>4058.7274431852002</v>
      </c>
      <c r="L659" s="16">
        <v>499.36850040000002</v>
      </c>
      <c r="M659" s="16">
        <f t="shared" si="20"/>
        <v>2.5769196593775185</v>
      </c>
    </row>
    <row r="660" spans="1:13" x14ac:dyDescent="0.25">
      <c r="A660" s="2">
        <f t="shared" si="21"/>
        <v>655</v>
      </c>
      <c r="B660" s="2">
        <v>19016</v>
      </c>
      <c r="C660" s="2" t="s">
        <v>3166</v>
      </c>
      <c r="D660" s="14" t="s">
        <v>654</v>
      </c>
      <c r="E660" s="14">
        <v>5.9153425000000004</v>
      </c>
      <c r="F660" s="14">
        <v>0</v>
      </c>
      <c r="G660" s="14">
        <v>5.9153425000000004</v>
      </c>
      <c r="H660" s="16">
        <v>1178.0927579000002</v>
      </c>
      <c r="I660" s="16">
        <v>462.79923930000007</v>
      </c>
      <c r="J660" s="3" t="s">
        <v>5011</v>
      </c>
      <c r="K660" s="16">
        <v>7505.4979650969999</v>
      </c>
      <c r="L660" s="16">
        <v>1058.3820952999999</v>
      </c>
      <c r="M660" s="16">
        <f t="shared" si="20"/>
        <v>0.89838604660180621</v>
      </c>
    </row>
    <row r="661" spans="1:13" x14ac:dyDescent="0.25">
      <c r="A661" s="2">
        <f t="shared" si="21"/>
        <v>656</v>
      </c>
      <c r="B661" s="2">
        <v>19017</v>
      </c>
      <c r="C661" s="2" t="s">
        <v>3167</v>
      </c>
      <c r="D661" s="14" t="s">
        <v>655</v>
      </c>
      <c r="E661" s="14">
        <v>0</v>
      </c>
      <c r="F661" s="14">
        <v>0</v>
      </c>
      <c r="G661" s="14">
        <v>0</v>
      </c>
      <c r="H661" s="16">
        <v>0</v>
      </c>
      <c r="I661" s="16">
        <v>0</v>
      </c>
      <c r="J661" s="3" t="s">
        <v>5011</v>
      </c>
      <c r="K661" s="16">
        <v>0</v>
      </c>
      <c r="L661" s="16">
        <v>0</v>
      </c>
      <c r="M661" s="16">
        <v>0</v>
      </c>
    </row>
    <row r="662" spans="1:13" x14ac:dyDescent="0.25">
      <c r="A662" s="2">
        <f t="shared" si="21"/>
        <v>657</v>
      </c>
      <c r="B662" s="2">
        <v>19027</v>
      </c>
      <c r="C662" s="2" t="s">
        <v>3168</v>
      </c>
      <c r="D662" s="14" t="s">
        <v>656</v>
      </c>
      <c r="E662" s="14">
        <v>0.37852469999999999</v>
      </c>
      <c r="F662" s="14">
        <v>0</v>
      </c>
      <c r="G662" s="14">
        <v>0.37852469999999999</v>
      </c>
      <c r="H662" s="16">
        <v>22.943857400000002</v>
      </c>
      <c r="I662" s="16">
        <v>19.724706000000001</v>
      </c>
      <c r="J662" s="3" t="s">
        <v>5011</v>
      </c>
      <c r="K662" s="16">
        <v>404.42008842229995</v>
      </c>
      <c r="L662" s="16">
        <v>57.483496900000006</v>
      </c>
      <c r="M662" s="16">
        <f t="shared" si="20"/>
        <v>2.5053981071203832</v>
      </c>
    </row>
    <row r="663" spans="1:13" x14ac:dyDescent="0.25">
      <c r="A663" s="2">
        <f t="shared" si="21"/>
        <v>658</v>
      </c>
      <c r="B663" s="2">
        <v>19038</v>
      </c>
      <c r="C663" s="2" t="s">
        <v>3169</v>
      </c>
      <c r="D663" s="14" t="s">
        <v>657</v>
      </c>
      <c r="E663" s="14">
        <v>0</v>
      </c>
      <c r="F663" s="14">
        <v>0</v>
      </c>
      <c r="G663" s="14">
        <v>0</v>
      </c>
      <c r="H663" s="16">
        <v>0</v>
      </c>
      <c r="I663" s="16">
        <v>0</v>
      </c>
      <c r="J663" s="3" t="s">
        <v>5011</v>
      </c>
      <c r="K663" s="16">
        <v>0</v>
      </c>
      <c r="L663" s="16">
        <v>0</v>
      </c>
      <c r="M663" s="16">
        <v>0</v>
      </c>
    </row>
    <row r="664" spans="1:13" x14ac:dyDescent="0.25">
      <c r="A664" s="2">
        <f t="shared" si="21"/>
        <v>659</v>
      </c>
      <c r="B664" s="2">
        <v>19040</v>
      </c>
      <c r="C664" s="2" t="s">
        <v>3170</v>
      </c>
      <c r="D664" s="14" t="s">
        <v>658</v>
      </c>
      <c r="E664" s="14">
        <v>3.1700000000000001E-4</v>
      </c>
      <c r="F664" s="14">
        <v>0</v>
      </c>
      <c r="G664" s="14">
        <v>3.1700000000000001E-4</v>
      </c>
      <c r="H664" s="16">
        <v>1.20001</v>
      </c>
      <c r="I664" s="16">
        <v>1.20001</v>
      </c>
      <c r="J664" s="3" t="s">
        <v>5011</v>
      </c>
      <c r="K664" s="16">
        <v>1.5019715201000001</v>
      </c>
      <c r="L664" s="16">
        <v>1.1968234</v>
      </c>
      <c r="M664" s="16">
        <f t="shared" si="20"/>
        <v>0.99734452212898228</v>
      </c>
    </row>
    <row r="665" spans="1:13" x14ac:dyDescent="0.25">
      <c r="A665" s="2">
        <f t="shared" si="21"/>
        <v>660</v>
      </c>
      <c r="B665" s="2">
        <v>19155</v>
      </c>
      <c r="C665" s="2" t="s">
        <v>3171</v>
      </c>
      <c r="D665" s="14" t="s">
        <v>659</v>
      </c>
      <c r="E665" s="14">
        <v>0.87240470000000003</v>
      </c>
      <c r="F665" s="14">
        <v>0</v>
      </c>
      <c r="G665" s="14">
        <v>0.87240470000000003</v>
      </c>
      <c r="H665" s="16">
        <v>111.412221</v>
      </c>
      <c r="I665" s="16">
        <v>72.114070900000002</v>
      </c>
      <c r="J665" s="3" t="s">
        <v>5011</v>
      </c>
      <c r="K665" s="16">
        <v>992.68626848729991</v>
      </c>
      <c r="L665" s="16">
        <v>153.78149160000001</v>
      </c>
      <c r="M665" s="16">
        <f t="shared" si="20"/>
        <v>1.3802928459706409</v>
      </c>
    </row>
    <row r="666" spans="1:13" x14ac:dyDescent="0.25">
      <c r="A666" s="2">
        <f t="shared" si="21"/>
        <v>661</v>
      </c>
      <c r="B666" s="2">
        <v>19177</v>
      </c>
      <c r="C666" s="2" t="s">
        <v>3172</v>
      </c>
      <c r="D666" s="14" t="s">
        <v>660</v>
      </c>
      <c r="E666" s="14">
        <v>1.0500393000000001</v>
      </c>
      <c r="F666" s="14">
        <v>0</v>
      </c>
      <c r="G666" s="14">
        <v>1.0500393000000001</v>
      </c>
      <c r="H666" s="16">
        <v>17.031370800000001</v>
      </c>
      <c r="I666" s="16">
        <v>11.259010200000001</v>
      </c>
      <c r="J666" s="3" t="s">
        <v>5011</v>
      </c>
      <c r="K666" s="16">
        <v>874.13702562880007</v>
      </c>
      <c r="L666" s="16">
        <v>99.170636500000001</v>
      </c>
      <c r="M666" s="16">
        <f t="shared" si="20"/>
        <v>5.8228217601838601</v>
      </c>
    </row>
    <row r="667" spans="1:13" x14ac:dyDescent="0.25">
      <c r="A667" s="2">
        <f t="shared" si="21"/>
        <v>662</v>
      </c>
      <c r="B667" s="2">
        <v>19190</v>
      </c>
      <c r="C667" s="2" t="s">
        <v>3173</v>
      </c>
      <c r="D667" s="14" t="s">
        <v>661</v>
      </c>
      <c r="E667" s="14">
        <v>5.0478399999999993E-2</v>
      </c>
      <c r="F667" s="14">
        <v>0</v>
      </c>
      <c r="G667" s="14">
        <v>5.0478399999999993E-2</v>
      </c>
      <c r="H667" s="16">
        <v>4.1547922999999995</v>
      </c>
      <c r="I667" s="16">
        <v>3.9925619000000001</v>
      </c>
      <c r="J667" s="3" t="s">
        <v>5011</v>
      </c>
      <c r="K667" s="16">
        <v>63.162111654699999</v>
      </c>
      <c r="L667" s="16">
        <v>8.4049253000000004</v>
      </c>
      <c r="M667" s="16">
        <f t="shared" si="20"/>
        <v>2.0229471639292296</v>
      </c>
    </row>
    <row r="668" spans="1:13" x14ac:dyDescent="0.25">
      <c r="A668" s="2">
        <f t="shared" si="21"/>
        <v>663</v>
      </c>
      <c r="B668" s="2">
        <v>19197</v>
      </c>
      <c r="C668" s="2" t="s">
        <v>3174</v>
      </c>
      <c r="D668" s="14" t="s">
        <v>662</v>
      </c>
      <c r="E668" s="14">
        <v>0.10967129999999999</v>
      </c>
      <c r="F668" s="14">
        <v>0</v>
      </c>
      <c r="G668" s="14">
        <v>0.10967129999999999</v>
      </c>
      <c r="H668" s="16">
        <v>11.4967621</v>
      </c>
      <c r="I668" s="16">
        <v>7.7594244999999997</v>
      </c>
      <c r="J668" s="3" t="s">
        <v>5011</v>
      </c>
      <c r="K668" s="16">
        <v>114.34710321900002</v>
      </c>
      <c r="L668" s="16">
        <v>15.294741299999998</v>
      </c>
      <c r="M668" s="16">
        <f t="shared" si="20"/>
        <v>1.3303520736503713</v>
      </c>
    </row>
    <row r="669" spans="1:13" x14ac:dyDescent="0.25">
      <c r="A669" s="2">
        <f t="shared" si="21"/>
        <v>664</v>
      </c>
      <c r="B669" s="2">
        <v>19203</v>
      </c>
      <c r="C669" s="2" t="s">
        <v>3175</v>
      </c>
      <c r="D669" s="14" t="s">
        <v>663</v>
      </c>
      <c r="E669" s="14">
        <v>46.3125559</v>
      </c>
      <c r="F669" s="14">
        <v>0</v>
      </c>
      <c r="G669" s="14">
        <v>46.3125559</v>
      </c>
      <c r="H669" s="16">
        <v>816.4350429000001</v>
      </c>
      <c r="I669" s="16">
        <v>390.20354220000007</v>
      </c>
      <c r="J669" s="3" t="s">
        <v>5011</v>
      </c>
      <c r="K669" s="16">
        <v>38623.361884768594</v>
      </c>
      <c r="L669" s="16">
        <v>4108.6192713999999</v>
      </c>
      <c r="M669" s="16">
        <f t="shared" si="20"/>
        <v>5.0323896642237074</v>
      </c>
    </row>
    <row r="670" spans="1:13" x14ac:dyDescent="0.25">
      <c r="A670" s="2">
        <f t="shared" si="21"/>
        <v>665</v>
      </c>
      <c r="B670" s="2">
        <v>19249</v>
      </c>
      <c r="C670" s="2" t="s">
        <v>3176</v>
      </c>
      <c r="D670" s="14" t="s">
        <v>664</v>
      </c>
      <c r="E670" s="14">
        <v>0.18585209999999999</v>
      </c>
      <c r="F670" s="14">
        <v>0</v>
      </c>
      <c r="G670" s="14">
        <v>0.18585209999999999</v>
      </c>
      <c r="H670" s="16">
        <v>72.854362699999996</v>
      </c>
      <c r="I670" s="16">
        <v>67.544357399999996</v>
      </c>
      <c r="J670" s="3" t="s">
        <v>5011</v>
      </c>
      <c r="K670" s="16">
        <v>337.33053270940002</v>
      </c>
      <c r="L670" s="16">
        <v>76.564165299999999</v>
      </c>
      <c r="M670" s="16">
        <f t="shared" si="20"/>
        <v>1.0509208023035799</v>
      </c>
    </row>
    <row r="671" spans="1:13" x14ac:dyDescent="0.25">
      <c r="A671" s="2">
        <f t="shared" si="21"/>
        <v>666</v>
      </c>
      <c r="B671" s="2">
        <v>19343</v>
      </c>
      <c r="C671" s="2" t="s">
        <v>3177</v>
      </c>
      <c r="D671" s="14" t="s">
        <v>665</v>
      </c>
      <c r="E671" s="14">
        <v>12.516038900000002</v>
      </c>
      <c r="F671" s="14">
        <v>0</v>
      </c>
      <c r="G671" s="14">
        <v>12.516038900000002</v>
      </c>
      <c r="H671" s="16">
        <v>646.69504059999997</v>
      </c>
      <c r="I671" s="16">
        <v>538.37626650000004</v>
      </c>
      <c r="J671" s="3" t="s">
        <v>5011</v>
      </c>
      <c r="K671" s="16">
        <v>10720.398666001302</v>
      </c>
      <c r="L671" s="16">
        <v>1312.4356112999999</v>
      </c>
      <c r="M671" s="16">
        <f t="shared" si="20"/>
        <v>2.0294505584615736</v>
      </c>
    </row>
    <row r="672" spans="1:13" x14ac:dyDescent="0.25">
      <c r="A672" s="2">
        <f t="shared" si="21"/>
        <v>667</v>
      </c>
      <c r="B672" s="2">
        <v>19392</v>
      </c>
      <c r="C672" s="2" t="s">
        <v>3178</v>
      </c>
      <c r="D672" s="14" t="s">
        <v>666</v>
      </c>
      <c r="E672" s="14">
        <v>9.9832173999999991</v>
      </c>
      <c r="F672" s="14">
        <v>0</v>
      </c>
      <c r="G672" s="14">
        <v>9.9832173999999991</v>
      </c>
      <c r="H672" s="16">
        <v>204.81030579999998</v>
      </c>
      <c r="I672" s="16">
        <v>117.98490059999999</v>
      </c>
      <c r="J672" s="3" t="s">
        <v>5011</v>
      </c>
      <c r="K672" s="16">
        <v>7402.7384213004034</v>
      </c>
      <c r="L672" s="16">
        <v>820.91378379999992</v>
      </c>
      <c r="M672" s="16">
        <f t="shared" si="20"/>
        <v>4.0081663888614729</v>
      </c>
    </row>
    <row r="673" spans="1:13" x14ac:dyDescent="0.25">
      <c r="A673" s="2">
        <f t="shared" si="21"/>
        <v>668</v>
      </c>
      <c r="B673" s="2">
        <v>19571</v>
      </c>
      <c r="C673" s="2" t="s">
        <v>3179</v>
      </c>
      <c r="D673" s="14" t="s">
        <v>667</v>
      </c>
      <c r="E673" s="14">
        <v>0</v>
      </c>
      <c r="F673" s="14">
        <v>0</v>
      </c>
      <c r="G673" s="14">
        <v>0</v>
      </c>
      <c r="H673" s="16">
        <v>9.3245403000000007</v>
      </c>
      <c r="I673" s="16">
        <v>5.5245403</v>
      </c>
      <c r="J673" s="3" t="s">
        <v>5011</v>
      </c>
      <c r="K673" s="16">
        <v>53.417338383099995</v>
      </c>
      <c r="L673" s="16">
        <v>6.5317654000000003</v>
      </c>
      <c r="M673" s="16">
        <f t="shared" si="20"/>
        <v>0.70049194811244475</v>
      </c>
    </row>
    <row r="674" spans="1:13" x14ac:dyDescent="0.25">
      <c r="A674" s="2">
        <f t="shared" si="21"/>
        <v>669</v>
      </c>
      <c r="B674" s="2">
        <v>19664</v>
      </c>
      <c r="C674" s="2" t="s">
        <v>3180</v>
      </c>
      <c r="D674" s="14" t="s">
        <v>668</v>
      </c>
      <c r="E674" s="14">
        <v>0</v>
      </c>
      <c r="F674" s="14">
        <v>0</v>
      </c>
      <c r="G674" s="14">
        <v>0</v>
      </c>
      <c r="H674" s="16">
        <v>0</v>
      </c>
      <c r="I674" s="16">
        <v>0</v>
      </c>
      <c r="J674" s="3" t="s">
        <v>5011</v>
      </c>
      <c r="K674" s="16">
        <v>0</v>
      </c>
      <c r="L674" s="16">
        <v>0</v>
      </c>
      <c r="M674" s="16">
        <v>0</v>
      </c>
    </row>
    <row r="675" spans="1:13" x14ac:dyDescent="0.25">
      <c r="A675" s="2">
        <f t="shared" si="21"/>
        <v>670</v>
      </c>
      <c r="B675" s="2">
        <v>19760</v>
      </c>
      <c r="C675" s="2" t="s">
        <v>3181</v>
      </c>
      <c r="D675" s="14" t="s">
        <v>669</v>
      </c>
      <c r="E675" s="14">
        <v>7.1346610999999998</v>
      </c>
      <c r="F675" s="14">
        <v>0</v>
      </c>
      <c r="G675" s="14">
        <v>7.1346610999999998</v>
      </c>
      <c r="H675" s="16">
        <v>279.6785744</v>
      </c>
      <c r="I675" s="16">
        <v>-601.14985360000003</v>
      </c>
      <c r="J675" s="3" t="s">
        <v>5011</v>
      </c>
      <c r="K675" s="16">
        <v>5256.5625810314996</v>
      </c>
      <c r="L675" s="16">
        <v>34.671827299999997</v>
      </c>
      <c r="M675" s="16">
        <f t="shared" si="20"/>
        <v>0.12397026613276385</v>
      </c>
    </row>
    <row r="676" spans="1:13" x14ac:dyDescent="0.25">
      <c r="A676" s="2">
        <f t="shared" si="21"/>
        <v>671</v>
      </c>
      <c r="B676" s="2">
        <v>19818</v>
      </c>
      <c r="C676" s="2" t="s">
        <v>3182</v>
      </c>
      <c r="D676" s="14" t="s">
        <v>670</v>
      </c>
      <c r="E676" s="14">
        <v>0.140518</v>
      </c>
      <c r="F676" s="14">
        <v>0</v>
      </c>
      <c r="G676" s="14">
        <v>0.140518</v>
      </c>
      <c r="H676" s="16">
        <v>17.4221295</v>
      </c>
      <c r="I676" s="16">
        <v>14.315677999999998</v>
      </c>
      <c r="J676" s="3" t="s">
        <v>5011</v>
      </c>
      <c r="K676" s="16">
        <v>234.37033527220001</v>
      </c>
      <c r="L676" s="16">
        <v>31.330761600000002</v>
      </c>
      <c r="M676" s="16">
        <f t="shared" si="20"/>
        <v>1.7983313463489066</v>
      </c>
    </row>
    <row r="677" spans="1:13" x14ac:dyDescent="0.25">
      <c r="A677" s="2">
        <f t="shared" si="21"/>
        <v>672</v>
      </c>
      <c r="B677" s="2">
        <v>19862</v>
      </c>
      <c r="C677" s="2" t="s">
        <v>3183</v>
      </c>
      <c r="D677" s="14" t="s">
        <v>671</v>
      </c>
      <c r="E677" s="14">
        <v>3.2446599999999999E-2</v>
      </c>
      <c r="F677" s="14">
        <v>0</v>
      </c>
      <c r="G677" s="14">
        <v>3.2446599999999999E-2</v>
      </c>
      <c r="H677" s="16">
        <v>10.249487500000001</v>
      </c>
      <c r="I677" s="16">
        <v>10.249487500000001</v>
      </c>
      <c r="J677" s="3" t="s">
        <v>5011</v>
      </c>
      <c r="K677" s="16">
        <v>44.013538862900006</v>
      </c>
      <c r="L677" s="16">
        <v>12.0797606</v>
      </c>
      <c r="M677" s="16">
        <f t="shared" si="20"/>
        <v>1.1785721578761865</v>
      </c>
    </row>
    <row r="678" spans="1:13" x14ac:dyDescent="0.25">
      <c r="A678" s="2">
        <f t="shared" si="21"/>
        <v>673</v>
      </c>
      <c r="B678" s="2">
        <v>19969</v>
      </c>
      <c r="C678" s="2" t="s">
        <v>3184</v>
      </c>
      <c r="D678" s="14" t="s">
        <v>672</v>
      </c>
      <c r="E678" s="14">
        <v>0</v>
      </c>
      <c r="F678" s="14">
        <v>0</v>
      </c>
      <c r="G678" s="14">
        <v>0</v>
      </c>
      <c r="H678" s="16">
        <v>0</v>
      </c>
      <c r="I678" s="16">
        <v>0</v>
      </c>
      <c r="J678" s="3" t="s">
        <v>5011</v>
      </c>
      <c r="K678" s="16">
        <v>0</v>
      </c>
      <c r="L678" s="16">
        <v>0</v>
      </c>
      <c r="M678" s="16">
        <v>0</v>
      </c>
    </row>
    <row r="679" spans="1:13" x14ac:dyDescent="0.25">
      <c r="A679" s="2">
        <f t="shared" si="21"/>
        <v>674</v>
      </c>
      <c r="B679" s="2">
        <v>20026</v>
      </c>
      <c r="C679" s="2" t="s">
        <v>3185</v>
      </c>
      <c r="D679" s="14" t="s">
        <v>673</v>
      </c>
      <c r="E679" s="14">
        <v>0.34455599999999997</v>
      </c>
      <c r="F679" s="14">
        <v>0</v>
      </c>
      <c r="G679" s="14">
        <v>0.34455599999999997</v>
      </c>
      <c r="H679" s="16">
        <v>77.371132299999999</v>
      </c>
      <c r="I679" s="16">
        <v>67.996132299999999</v>
      </c>
      <c r="J679" s="3" t="s">
        <v>5011</v>
      </c>
      <c r="K679" s="16">
        <v>412.54904864359997</v>
      </c>
      <c r="L679" s="16">
        <v>102.5361766</v>
      </c>
      <c r="M679" s="16">
        <f t="shared" si="20"/>
        <v>1.3252510794649441</v>
      </c>
    </row>
    <row r="680" spans="1:13" x14ac:dyDescent="0.25">
      <c r="A680" s="2">
        <f t="shared" si="21"/>
        <v>675</v>
      </c>
      <c r="B680" s="2">
        <v>20113</v>
      </c>
      <c r="C680" s="2" t="s">
        <v>3186</v>
      </c>
      <c r="D680" s="14" t="s">
        <v>674</v>
      </c>
      <c r="E680" s="14">
        <v>0</v>
      </c>
      <c r="F680" s="14">
        <v>0</v>
      </c>
      <c r="G680" s="14">
        <v>0</v>
      </c>
      <c r="H680" s="16">
        <v>4.3397835999999996</v>
      </c>
      <c r="I680" s="16">
        <v>3.9692216999999999</v>
      </c>
      <c r="J680" s="3" t="s">
        <v>5011</v>
      </c>
      <c r="K680" s="16">
        <v>64.887185854800009</v>
      </c>
      <c r="L680" s="16">
        <v>8.7887202999999996</v>
      </c>
      <c r="M680" s="16">
        <f t="shared" si="20"/>
        <v>2.0251517379806683</v>
      </c>
    </row>
    <row r="681" spans="1:13" x14ac:dyDescent="0.25">
      <c r="A681" s="2">
        <f t="shared" si="21"/>
        <v>676</v>
      </c>
      <c r="B681" s="2">
        <v>20144</v>
      </c>
      <c r="C681" s="2" t="s">
        <v>3187</v>
      </c>
      <c r="D681" s="14" t="s">
        <v>675</v>
      </c>
      <c r="E681" s="14">
        <v>0</v>
      </c>
      <c r="F681" s="14">
        <v>0</v>
      </c>
      <c r="G681" s="14">
        <v>0</v>
      </c>
      <c r="H681" s="16">
        <v>0</v>
      </c>
      <c r="I681" s="16">
        <v>0</v>
      </c>
      <c r="J681" s="3" t="s">
        <v>5011</v>
      </c>
      <c r="K681" s="16">
        <v>0</v>
      </c>
      <c r="L681" s="16">
        <v>0</v>
      </c>
      <c r="M681" s="16">
        <v>0</v>
      </c>
    </row>
    <row r="682" spans="1:13" x14ac:dyDescent="0.25">
      <c r="A682" s="2">
        <f t="shared" si="21"/>
        <v>677</v>
      </c>
      <c r="B682" s="2">
        <v>20309</v>
      </c>
      <c r="C682" s="2" t="s">
        <v>3188</v>
      </c>
      <c r="D682" s="14" t="s">
        <v>676</v>
      </c>
      <c r="E682" s="14">
        <v>0</v>
      </c>
      <c r="F682" s="14">
        <v>0</v>
      </c>
      <c r="G682" s="14">
        <v>0</v>
      </c>
      <c r="H682" s="16">
        <v>0</v>
      </c>
      <c r="I682" s="16">
        <v>0</v>
      </c>
      <c r="J682" s="3" t="s">
        <v>5011</v>
      </c>
      <c r="K682" s="16">
        <v>7.7079589125000005</v>
      </c>
      <c r="L682" s="16">
        <v>0.79340179999999993</v>
      </c>
      <c r="M682" s="16">
        <v>0</v>
      </c>
    </row>
    <row r="683" spans="1:13" x14ac:dyDescent="0.25">
      <c r="A683" s="2">
        <f t="shared" si="21"/>
        <v>678</v>
      </c>
      <c r="B683" s="2">
        <v>20387</v>
      </c>
      <c r="C683" s="2" t="s">
        <v>3189</v>
      </c>
      <c r="D683" s="14" t="s">
        <v>677</v>
      </c>
      <c r="E683" s="14">
        <v>0</v>
      </c>
      <c r="F683" s="14">
        <v>0</v>
      </c>
      <c r="G683" s="14">
        <v>0</v>
      </c>
      <c r="H683" s="16">
        <v>0</v>
      </c>
      <c r="I683" s="16">
        <v>0</v>
      </c>
      <c r="J683" s="3" t="s">
        <v>5011</v>
      </c>
      <c r="K683" s="16">
        <v>0</v>
      </c>
      <c r="L683" s="16">
        <v>0</v>
      </c>
      <c r="M683" s="16">
        <v>0</v>
      </c>
    </row>
    <row r="684" spans="1:13" x14ac:dyDescent="0.25">
      <c r="A684" s="2">
        <f t="shared" si="21"/>
        <v>679</v>
      </c>
      <c r="B684" s="2">
        <v>20569</v>
      </c>
      <c r="C684" s="2" t="s">
        <v>3190</v>
      </c>
      <c r="D684" s="14" t="s">
        <v>678</v>
      </c>
      <c r="E684" s="14">
        <v>2.107043</v>
      </c>
      <c r="F684" s="14">
        <v>0</v>
      </c>
      <c r="G684" s="14">
        <v>2.107043</v>
      </c>
      <c r="H684" s="16">
        <v>209.98445000000001</v>
      </c>
      <c r="I684" s="16">
        <v>191.2715278</v>
      </c>
      <c r="J684" s="3" t="s">
        <v>5011</v>
      </c>
      <c r="K684" s="16">
        <v>2024.9630153293001</v>
      </c>
      <c r="L684" s="16">
        <v>344.10922369999997</v>
      </c>
      <c r="M684" s="16">
        <f t="shared" si="20"/>
        <v>1.6387366955029288</v>
      </c>
    </row>
    <row r="685" spans="1:13" x14ac:dyDescent="0.25">
      <c r="A685" s="2">
        <f t="shared" si="21"/>
        <v>680</v>
      </c>
      <c r="B685" s="2">
        <v>20669</v>
      </c>
      <c r="C685" s="2" t="s">
        <v>3191</v>
      </c>
      <c r="D685" s="14" t="s">
        <v>679</v>
      </c>
      <c r="E685" s="14">
        <v>3.1657722000000001</v>
      </c>
      <c r="F685" s="14">
        <v>0</v>
      </c>
      <c r="G685" s="14">
        <v>3.1657722000000001</v>
      </c>
      <c r="H685" s="16">
        <v>331.25757970000001</v>
      </c>
      <c r="I685" s="16">
        <v>308.41925599999996</v>
      </c>
      <c r="J685" s="3" t="s">
        <v>5011</v>
      </c>
      <c r="K685" s="16">
        <v>4032.5480881864987</v>
      </c>
      <c r="L685" s="16">
        <v>688.99142959999995</v>
      </c>
      <c r="M685" s="16">
        <f t="shared" si="20"/>
        <v>2.0799265339799256</v>
      </c>
    </row>
    <row r="686" spans="1:13" x14ac:dyDescent="0.25">
      <c r="A686" s="2">
        <f t="shared" si="21"/>
        <v>681</v>
      </c>
      <c r="B686" s="2">
        <v>20677</v>
      </c>
      <c r="C686" s="2" t="s">
        <v>3192</v>
      </c>
      <c r="D686" s="14" t="s">
        <v>680</v>
      </c>
      <c r="E686" s="14">
        <v>0.43648489999999995</v>
      </c>
      <c r="F686" s="14">
        <v>0</v>
      </c>
      <c r="G686" s="14">
        <v>0.43648489999999995</v>
      </c>
      <c r="H686" s="16">
        <v>298.52020870000001</v>
      </c>
      <c r="I686" s="16">
        <v>263.05163580000004</v>
      </c>
      <c r="J686" s="3" t="s">
        <v>5011</v>
      </c>
      <c r="K686" s="16">
        <v>832.98761514030002</v>
      </c>
      <c r="L686" s="16">
        <v>298.02277829999997</v>
      </c>
      <c r="M686" s="16">
        <f t="shared" si="20"/>
        <v>0.99833367931046857</v>
      </c>
    </row>
    <row r="687" spans="1:13" x14ac:dyDescent="0.25">
      <c r="A687" s="2">
        <f t="shared" si="21"/>
        <v>682</v>
      </c>
      <c r="B687" s="2">
        <v>20684</v>
      </c>
      <c r="C687" s="2" t="s">
        <v>3193</v>
      </c>
      <c r="D687" s="14" t="s">
        <v>681</v>
      </c>
      <c r="E687" s="14">
        <v>6.39126E-2</v>
      </c>
      <c r="F687" s="14">
        <v>0</v>
      </c>
      <c r="G687" s="14">
        <v>6.39126E-2</v>
      </c>
      <c r="H687" s="16">
        <v>3.7998103000000003</v>
      </c>
      <c r="I687" s="16">
        <v>3.6498088000000002</v>
      </c>
      <c r="J687" s="3" t="s">
        <v>5011</v>
      </c>
      <c r="K687" s="16">
        <v>81.310286737699997</v>
      </c>
      <c r="L687" s="16">
        <v>10.250401700000001</v>
      </c>
      <c r="M687" s="16">
        <f t="shared" si="20"/>
        <v>2.6976087990497843</v>
      </c>
    </row>
    <row r="688" spans="1:13" x14ac:dyDescent="0.25">
      <c r="A688" s="2">
        <f t="shared" si="21"/>
        <v>683</v>
      </c>
      <c r="B688" s="2">
        <v>20721</v>
      </c>
      <c r="C688" s="2" t="s">
        <v>3194</v>
      </c>
      <c r="D688" s="14" t="s">
        <v>682</v>
      </c>
      <c r="E688" s="14">
        <v>0.24034980000000003</v>
      </c>
      <c r="F688" s="14">
        <v>0</v>
      </c>
      <c r="G688" s="14">
        <v>0.24034980000000003</v>
      </c>
      <c r="H688" s="16">
        <v>39.378031200000002</v>
      </c>
      <c r="I688" s="16">
        <v>37.200239700000004</v>
      </c>
      <c r="J688" s="3" t="s">
        <v>5011</v>
      </c>
      <c r="K688" s="16">
        <v>330.84174984639998</v>
      </c>
      <c r="L688" s="16">
        <v>59.777206</v>
      </c>
      <c r="M688" s="16">
        <f t="shared" si="20"/>
        <v>1.5180344008666435</v>
      </c>
    </row>
    <row r="689" spans="1:13" x14ac:dyDescent="0.25">
      <c r="A689" s="2">
        <f t="shared" si="21"/>
        <v>684</v>
      </c>
      <c r="B689" s="2">
        <v>20934</v>
      </c>
      <c r="C689" s="2" t="s">
        <v>3195</v>
      </c>
      <c r="D689" s="14" t="s">
        <v>683</v>
      </c>
      <c r="E689" s="14">
        <v>0</v>
      </c>
      <c r="F689" s="14">
        <v>0</v>
      </c>
      <c r="G689" s="14">
        <v>0</v>
      </c>
      <c r="H689" s="16">
        <v>0</v>
      </c>
      <c r="I689" s="16">
        <v>0</v>
      </c>
      <c r="J689" s="3" t="s">
        <v>5011</v>
      </c>
      <c r="K689" s="16">
        <v>0</v>
      </c>
      <c r="L689" s="16">
        <v>0</v>
      </c>
      <c r="M689" s="16">
        <v>0</v>
      </c>
    </row>
    <row r="690" spans="1:13" x14ac:dyDescent="0.25">
      <c r="A690" s="2">
        <f t="shared" si="21"/>
        <v>685</v>
      </c>
      <c r="B690" s="2">
        <v>20936</v>
      </c>
      <c r="C690" s="2" t="s">
        <v>3196</v>
      </c>
      <c r="D690" s="14" t="s">
        <v>684</v>
      </c>
      <c r="E690" s="14">
        <v>58.2634264</v>
      </c>
      <c r="F690" s="14">
        <v>0</v>
      </c>
      <c r="G690" s="14">
        <v>58.2634264</v>
      </c>
      <c r="H690" s="16">
        <v>3658.4613724999999</v>
      </c>
      <c r="I690" s="16">
        <v>2372.7354469000002</v>
      </c>
      <c r="J690" s="3" t="s">
        <v>5011</v>
      </c>
      <c r="K690" s="16">
        <v>53774.803278993</v>
      </c>
      <c r="L690" s="16">
        <v>7107.2163286000005</v>
      </c>
      <c r="M690" s="16">
        <f t="shared" si="20"/>
        <v>1.9426790677697665</v>
      </c>
    </row>
    <row r="691" spans="1:13" x14ac:dyDescent="0.25">
      <c r="A691" s="2">
        <f t="shared" si="21"/>
        <v>686</v>
      </c>
      <c r="B691" s="2">
        <v>20943</v>
      </c>
      <c r="C691" s="2" t="s">
        <v>3197</v>
      </c>
      <c r="D691" s="14" t="s">
        <v>685</v>
      </c>
      <c r="E691" s="14">
        <v>0.63200100000000003</v>
      </c>
      <c r="F691" s="14">
        <v>0</v>
      </c>
      <c r="G691" s="14">
        <v>0.63200100000000003</v>
      </c>
      <c r="H691" s="16">
        <v>111.43548970000001</v>
      </c>
      <c r="I691" s="16">
        <v>90.182699700000001</v>
      </c>
      <c r="J691" s="3" t="s">
        <v>5011</v>
      </c>
      <c r="K691" s="16">
        <v>723.64507639220017</v>
      </c>
      <c r="L691" s="16">
        <v>143.6818557</v>
      </c>
      <c r="M691" s="16">
        <f t="shared" si="20"/>
        <v>1.2893724978174523</v>
      </c>
    </row>
    <row r="692" spans="1:13" x14ac:dyDescent="0.25">
      <c r="A692" s="2">
        <f t="shared" si="21"/>
        <v>687</v>
      </c>
      <c r="B692" s="2">
        <v>21161</v>
      </c>
      <c r="C692" s="2" t="s">
        <v>3198</v>
      </c>
      <c r="D692" s="14" t="s">
        <v>686</v>
      </c>
      <c r="E692" s="14">
        <v>0</v>
      </c>
      <c r="F692" s="14">
        <v>0</v>
      </c>
      <c r="G692" s="14">
        <v>0</v>
      </c>
      <c r="H692" s="16">
        <v>0</v>
      </c>
      <c r="I692" s="16">
        <v>0</v>
      </c>
      <c r="J692" s="3" t="s">
        <v>5011</v>
      </c>
      <c r="K692" s="16">
        <v>0</v>
      </c>
      <c r="L692" s="16">
        <v>0</v>
      </c>
      <c r="M692" s="16">
        <v>0</v>
      </c>
    </row>
    <row r="693" spans="1:13" x14ac:dyDescent="0.25">
      <c r="A693" s="2">
        <f t="shared" si="21"/>
        <v>688</v>
      </c>
      <c r="B693" s="2">
        <v>21209</v>
      </c>
      <c r="C693" s="2" t="s">
        <v>3199</v>
      </c>
      <c r="D693" s="14" t="s">
        <v>687</v>
      </c>
      <c r="E693" s="14">
        <v>0.93816899999999992</v>
      </c>
      <c r="F693" s="14">
        <v>0</v>
      </c>
      <c r="G693" s="14">
        <v>0.93816899999999992</v>
      </c>
      <c r="H693" s="16">
        <v>62.996670399999999</v>
      </c>
      <c r="I693" s="16">
        <v>46.030821699999997</v>
      </c>
      <c r="J693" s="3" t="s">
        <v>5011</v>
      </c>
      <c r="K693" s="16">
        <v>979.7732761108</v>
      </c>
      <c r="L693" s="16">
        <v>126.2573232</v>
      </c>
      <c r="M693" s="16">
        <f t="shared" si="20"/>
        <v>2.0041904182923291</v>
      </c>
    </row>
    <row r="694" spans="1:13" x14ac:dyDescent="0.25">
      <c r="A694" s="2">
        <f t="shared" si="21"/>
        <v>689</v>
      </c>
      <c r="B694" s="2">
        <v>21399</v>
      </c>
      <c r="C694" s="2" t="s">
        <v>3200</v>
      </c>
      <c r="D694" s="14" t="s">
        <v>688</v>
      </c>
      <c r="E694" s="14">
        <v>4.4002856000000001</v>
      </c>
      <c r="F694" s="14">
        <v>0</v>
      </c>
      <c r="G694" s="14">
        <v>4.4002856000000001</v>
      </c>
      <c r="H694" s="16">
        <v>291.79701870000002</v>
      </c>
      <c r="I694" s="16">
        <v>246.53558400000003</v>
      </c>
      <c r="J694" s="3" t="s">
        <v>5011</v>
      </c>
      <c r="K694" s="16">
        <v>3900.7770068197997</v>
      </c>
      <c r="L694" s="16">
        <v>569.70954810000001</v>
      </c>
      <c r="M694" s="16">
        <f t="shared" si="20"/>
        <v>1.9524173024047418</v>
      </c>
    </row>
    <row r="695" spans="1:13" x14ac:dyDescent="0.25">
      <c r="A695" s="2">
        <f t="shared" si="21"/>
        <v>690</v>
      </c>
      <c r="B695" s="2">
        <v>21453</v>
      </c>
      <c r="C695" s="2" t="s">
        <v>3201</v>
      </c>
      <c r="D695" s="14" t="s">
        <v>689</v>
      </c>
      <c r="E695" s="14">
        <v>0</v>
      </c>
      <c r="F695" s="14">
        <v>0</v>
      </c>
      <c r="G695" s="14">
        <v>0</v>
      </c>
      <c r="H695" s="16">
        <v>0</v>
      </c>
      <c r="I695" s="16">
        <v>0</v>
      </c>
      <c r="J695" s="3" t="s">
        <v>5011</v>
      </c>
      <c r="K695" s="16">
        <v>0</v>
      </c>
      <c r="L695" s="16">
        <v>0</v>
      </c>
      <c r="M695" s="16">
        <v>0</v>
      </c>
    </row>
    <row r="696" spans="1:13" x14ac:dyDescent="0.25">
      <c r="A696" s="2">
        <f t="shared" si="21"/>
        <v>691</v>
      </c>
      <c r="B696" s="2">
        <v>21503</v>
      </c>
      <c r="C696" s="2" t="s">
        <v>3202</v>
      </c>
      <c r="D696" s="14" t="s">
        <v>690</v>
      </c>
      <c r="E696" s="14">
        <v>1.6079699999999999E-2</v>
      </c>
      <c r="F696" s="14">
        <v>0</v>
      </c>
      <c r="G696" s="14">
        <v>1.6079699999999999E-2</v>
      </c>
      <c r="H696" s="16">
        <v>10.1894905</v>
      </c>
      <c r="I696" s="16">
        <v>10.1894905</v>
      </c>
      <c r="J696" s="3" t="s">
        <v>5011</v>
      </c>
      <c r="K696" s="16">
        <v>157.02823951340002</v>
      </c>
      <c r="L696" s="16">
        <v>22.826771299999997</v>
      </c>
      <c r="M696" s="16">
        <f t="shared" si="20"/>
        <v>2.2402269573733835</v>
      </c>
    </row>
    <row r="697" spans="1:13" x14ac:dyDescent="0.25">
      <c r="A697" s="2">
        <f t="shared" si="21"/>
        <v>692</v>
      </c>
      <c r="B697" s="2">
        <v>21823</v>
      </c>
      <c r="C697" s="2" t="s">
        <v>3203</v>
      </c>
      <c r="D697" s="14" t="s">
        <v>691</v>
      </c>
      <c r="E697" s="14">
        <v>2.8840277000000003</v>
      </c>
      <c r="F697" s="14">
        <v>0</v>
      </c>
      <c r="G697" s="14">
        <v>2.8840277000000003</v>
      </c>
      <c r="H697" s="16">
        <v>401.63791689999999</v>
      </c>
      <c r="I697" s="16">
        <v>367.54317099999992</v>
      </c>
      <c r="J697" s="3" t="s">
        <v>5011</v>
      </c>
      <c r="K697" s="16">
        <v>3133.8207420775002</v>
      </c>
      <c r="L697" s="16">
        <v>570.17823869999995</v>
      </c>
      <c r="M697" s="16">
        <f t="shared" si="20"/>
        <v>1.4196324966050533</v>
      </c>
    </row>
    <row r="698" spans="1:13" x14ac:dyDescent="0.25">
      <c r="A698" s="2">
        <f t="shared" si="21"/>
        <v>693</v>
      </c>
      <c r="B698" s="2">
        <v>21846</v>
      </c>
      <c r="C698" s="2" t="s">
        <v>3204</v>
      </c>
      <c r="D698" s="14" t="s">
        <v>692</v>
      </c>
      <c r="E698" s="14">
        <v>3.7100000000000002E-3</v>
      </c>
      <c r="F698" s="14">
        <v>0</v>
      </c>
      <c r="G698" s="14">
        <v>3.7100000000000002E-3</v>
      </c>
      <c r="H698" s="16">
        <v>2.5598720999999998</v>
      </c>
      <c r="I698" s="16">
        <v>2.3059357</v>
      </c>
      <c r="J698" s="3" t="s">
        <v>5011</v>
      </c>
      <c r="K698" s="16">
        <v>10.9777441564</v>
      </c>
      <c r="L698" s="16">
        <v>2.9443649999999999</v>
      </c>
      <c r="M698" s="16">
        <f t="shared" si="20"/>
        <v>1.1502000431974708</v>
      </c>
    </row>
    <row r="699" spans="1:13" x14ac:dyDescent="0.25">
      <c r="A699" s="2">
        <f t="shared" si="21"/>
        <v>694</v>
      </c>
      <c r="B699" s="2">
        <v>21854</v>
      </c>
      <c r="C699" s="2" t="s">
        <v>3205</v>
      </c>
      <c r="D699" s="14" t="s">
        <v>693</v>
      </c>
      <c r="E699" s="14">
        <v>4.7938156999999997</v>
      </c>
      <c r="F699" s="14">
        <v>0</v>
      </c>
      <c r="G699" s="14">
        <v>4.7938156999999997</v>
      </c>
      <c r="H699" s="16">
        <v>71.7822259</v>
      </c>
      <c r="I699" s="16">
        <v>40.414684399999999</v>
      </c>
      <c r="J699" s="3" t="s">
        <v>5011</v>
      </c>
      <c r="K699" s="16">
        <v>3422.0984298098001</v>
      </c>
      <c r="L699" s="16">
        <v>393.00202899999999</v>
      </c>
      <c r="M699" s="16">
        <f t="shared" si="20"/>
        <v>5.4749211810106324</v>
      </c>
    </row>
    <row r="700" spans="1:13" x14ac:dyDescent="0.25">
      <c r="A700" s="2">
        <f t="shared" si="21"/>
        <v>695</v>
      </c>
      <c r="B700" s="2">
        <v>21896</v>
      </c>
      <c r="C700" s="2" t="s">
        <v>3206</v>
      </c>
      <c r="D700" s="14" t="s">
        <v>694</v>
      </c>
      <c r="E700" s="14">
        <v>7.3568099999999997E-2</v>
      </c>
      <c r="F700" s="14">
        <v>0</v>
      </c>
      <c r="G700" s="14">
        <v>7.3568099999999997E-2</v>
      </c>
      <c r="H700" s="16">
        <v>24.418779000000001</v>
      </c>
      <c r="I700" s="16">
        <v>24.418779000000001</v>
      </c>
      <c r="J700" s="3" t="s">
        <v>5011</v>
      </c>
      <c r="K700" s="16">
        <v>127.7229520129</v>
      </c>
      <c r="L700" s="16">
        <v>31.181042599999998</v>
      </c>
      <c r="M700" s="16">
        <f t="shared" si="20"/>
        <v>1.27692881777586</v>
      </c>
    </row>
    <row r="701" spans="1:13" x14ac:dyDescent="0.25">
      <c r="A701" s="2">
        <f t="shared" si="21"/>
        <v>696</v>
      </c>
      <c r="B701" s="2">
        <v>22004</v>
      </c>
      <c r="C701" s="2" t="s">
        <v>3207</v>
      </c>
      <c r="D701" s="14" t="s">
        <v>695</v>
      </c>
      <c r="E701" s="14">
        <v>2.95967E-2</v>
      </c>
      <c r="F701" s="14">
        <v>0</v>
      </c>
      <c r="G701" s="14">
        <v>2.95967E-2</v>
      </c>
      <c r="H701" s="16">
        <v>88.195589999999996</v>
      </c>
      <c r="I701" s="16">
        <v>88.195589999999996</v>
      </c>
      <c r="J701" s="3" t="s">
        <v>5011</v>
      </c>
      <c r="K701" s="16">
        <v>119.47870544159998</v>
      </c>
      <c r="L701" s="16">
        <v>90.477124499999988</v>
      </c>
      <c r="M701" s="16">
        <f t="shared" si="20"/>
        <v>1.0258690315468153</v>
      </c>
    </row>
    <row r="702" spans="1:13" x14ac:dyDescent="0.25">
      <c r="A702" s="2">
        <f t="shared" si="21"/>
        <v>697</v>
      </c>
      <c r="B702" s="2">
        <v>22181</v>
      </c>
      <c r="C702" s="2" t="s">
        <v>3208</v>
      </c>
      <c r="D702" s="14" t="s">
        <v>696</v>
      </c>
      <c r="E702" s="14">
        <v>3.5360500000000003E-2</v>
      </c>
      <c r="F702" s="14">
        <v>0</v>
      </c>
      <c r="G702" s="14">
        <v>3.5360500000000003E-2</v>
      </c>
      <c r="H702" s="16">
        <v>16.134193400000001</v>
      </c>
      <c r="I702" s="16">
        <v>14.5291934</v>
      </c>
      <c r="J702" s="3" t="s">
        <v>5011</v>
      </c>
      <c r="K702" s="16">
        <v>179.15727828979999</v>
      </c>
      <c r="L702" s="16">
        <v>26.845997099999998</v>
      </c>
      <c r="M702" s="16">
        <f t="shared" si="20"/>
        <v>1.6639193813060402</v>
      </c>
    </row>
    <row r="703" spans="1:13" x14ac:dyDescent="0.25">
      <c r="A703" s="2">
        <f t="shared" si="21"/>
        <v>698</v>
      </c>
      <c r="B703" s="2">
        <v>22190</v>
      </c>
      <c r="C703" s="2" t="s">
        <v>3209</v>
      </c>
      <c r="D703" s="14" t="s">
        <v>697</v>
      </c>
      <c r="E703" s="14">
        <v>0</v>
      </c>
      <c r="F703" s="14">
        <v>0</v>
      </c>
      <c r="G703" s="14">
        <v>0</v>
      </c>
      <c r="H703" s="16">
        <v>0</v>
      </c>
      <c r="I703" s="16">
        <v>0</v>
      </c>
      <c r="J703" s="3" t="s">
        <v>5011</v>
      </c>
      <c r="K703" s="16">
        <v>0</v>
      </c>
      <c r="L703" s="16">
        <v>0</v>
      </c>
      <c r="M703" s="16">
        <v>0</v>
      </c>
    </row>
    <row r="704" spans="1:13" x14ac:dyDescent="0.25">
      <c r="A704" s="2">
        <f t="shared" si="21"/>
        <v>699</v>
      </c>
      <c r="B704" s="2">
        <v>22193</v>
      </c>
      <c r="C704" s="2" t="s">
        <v>3210</v>
      </c>
      <c r="D704" s="14" t="s">
        <v>698</v>
      </c>
      <c r="E704" s="14">
        <v>0</v>
      </c>
      <c r="F704" s="14">
        <v>0</v>
      </c>
      <c r="G704" s="14">
        <v>0</v>
      </c>
      <c r="H704" s="16">
        <v>0</v>
      </c>
      <c r="I704" s="16">
        <v>0</v>
      </c>
      <c r="J704" s="3" t="s">
        <v>5011</v>
      </c>
      <c r="K704" s="16">
        <v>0</v>
      </c>
      <c r="L704" s="16">
        <v>0</v>
      </c>
      <c r="M704" s="16">
        <v>0</v>
      </c>
    </row>
    <row r="705" spans="1:13" x14ac:dyDescent="0.25">
      <c r="A705" s="2">
        <f t="shared" si="21"/>
        <v>700</v>
      </c>
      <c r="B705" s="2">
        <v>22317</v>
      </c>
      <c r="C705" s="2" t="s">
        <v>3211</v>
      </c>
      <c r="D705" s="14" t="s">
        <v>699</v>
      </c>
      <c r="E705" s="14">
        <v>0</v>
      </c>
      <c r="F705" s="14">
        <v>0</v>
      </c>
      <c r="G705" s="14">
        <v>0</v>
      </c>
      <c r="H705" s="16">
        <v>0</v>
      </c>
      <c r="I705" s="16">
        <v>0</v>
      </c>
      <c r="J705" s="3" t="s">
        <v>5011</v>
      </c>
      <c r="K705" s="16">
        <v>0</v>
      </c>
      <c r="L705" s="16">
        <v>0</v>
      </c>
      <c r="M705" s="16">
        <v>0</v>
      </c>
    </row>
    <row r="706" spans="1:13" x14ac:dyDescent="0.25">
      <c r="A706" s="2">
        <f t="shared" si="21"/>
        <v>701</v>
      </c>
      <c r="B706" s="2">
        <v>22506</v>
      </c>
      <c r="C706" s="2" t="s">
        <v>3212</v>
      </c>
      <c r="D706" s="14" t="s">
        <v>700</v>
      </c>
      <c r="E706" s="14">
        <v>23.118779100000001</v>
      </c>
      <c r="F706" s="14">
        <v>0</v>
      </c>
      <c r="G706" s="14">
        <v>23.118779100000001</v>
      </c>
      <c r="H706" s="16">
        <v>540.15150799999992</v>
      </c>
      <c r="I706" s="16">
        <v>314.32615479999998</v>
      </c>
      <c r="J706" s="3" t="s">
        <v>5011</v>
      </c>
      <c r="K706" s="16">
        <v>18071.387901303104</v>
      </c>
      <c r="L706" s="16">
        <v>2035.3337084999998</v>
      </c>
      <c r="M706" s="16">
        <f t="shared" si="20"/>
        <v>3.7680792858214147</v>
      </c>
    </row>
    <row r="707" spans="1:13" x14ac:dyDescent="0.25">
      <c r="A707" s="2">
        <f t="shared" si="21"/>
        <v>702</v>
      </c>
      <c r="B707" s="2">
        <v>22512</v>
      </c>
      <c r="C707" s="2" t="s">
        <v>3213</v>
      </c>
      <c r="D707" s="14" t="s">
        <v>701</v>
      </c>
      <c r="E707" s="14">
        <v>0</v>
      </c>
      <c r="F707" s="14">
        <v>0</v>
      </c>
      <c r="G707" s="14">
        <v>0</v>
      </c>
      <c r="H707" s="16">
        <v>0</v>
      </c>
      <c r="I707" s="16">
        <v>0</v>
      </c>
      <c r="J707" s="3" t="s">
        <v>5011</v>
      </c>
      <c r="K707" s="16">
        <v>0</v>
      </c>
      <c r="L707" s="16">
        <v>0</v>
      </c>
      <c r="M707" s="16">
        <v>0</v>
      </c>
    </row>
    <row r="708" spans="1:13" x14ac:dyDescent="0.25">
      <c r="A708" s="2">
        <f t="shared" si="21"/>
        <v>703</v>
      </c>
      <c r="B708" s="2">
        <v>22532</v>
      </c>
      <c r="C708" s="2" t="s">
        <v>3214</v>
      </c>
      <c r="D708" s="14" t="s">
        <v>702</v>
      </c>
      <c r="E708" s="14">
        <v>2.3647899999999999E-2</v>
      </c>
      <c r="F708" s="14">
        <v>0</v>
      </c>
      <c r="G708" s="14">
        <v>2.3647899999999999E-2</v>
      </c>
      <c r="H708" s="16">
        <v>16.059199199999998</v>
      </c>
      <c r="I708" s="16">
        <v>5.4791991999999992</v>
      </c>
      <c r="J708" s="3" t="s">
        <v>5011</v>
      </c>
      <c r="K708" s="16">
        <v>160.48678990479999</v>
      </c>
      <c r="L708" s="16">
        <v>20.453066</v>
      </c>
      <c r="M708" s="16">
        <f t="shared" si="20"/>
        <v>1.2736043525756877</v>
      </c>
    </row>
    <row r="709" spans="1:13" x14ac:dyDescent="0.25">
      <c r="A709" s="2">
        <f t="shared" si="21"/>
        <v>704</v>
      </c>
      <c r="B709" s="2">
        <v>22621</v>
      </c>
      <c r="C709" s="2" t="s">
        <v>3215</v>
      </c>
      <c r="D709" s="14" t="s">
        <v>703</v>
      </c>
      <c r="E709" s="14">
        <v>0</v>
      </c>
      <c r="F709" s="14">
        <v>0</v>
      </c>
      <c r="G709" s="14">
        <v>0</v>
      </c>
      <c r="H709" s="16">
        <v>0</v>
      </c>
      <c r="I709" s="16">
        <v>0</v>
      </c>
      <c r="J709" s="3" t="s">
        <v>5011</v>
      </c>
      <c r="K709" s="16">
        <v>0</v>
      </c>
      <c r="L709" s="16">
        <v>0</v>
      </c>
      <c r="M709" s="16">
        <v>0</v>
      </c>
    </row>
    <row r="710" spans="1:13" x14ac:dyDescent="0.25">
      <c r="A710" s="2">
        <f t="shared" si="21"/>
        <v>705</v>
      </c>
      <c r="B710" s="2">
        <v>22770</v>
      </c>
      <c r="C710" s="2" t="s">
        <v>3216</v>
      </c>
      <c r="D710" s="14" t="s">
        <v>704</v>
      </c>
      <c r="E710" s="14">
        <v>4.0007443000000009</v>
      </c>
      <c r="F710" s="14">
        <v>0</v>
      </c>
      <c r="G710" s="14">
        <v>4.0007443000000009</v>
      </c>
      <c r="H710" s="16">
        <v>46.863048399999997</v>
      </c>
      <c r="I710" s="16">
        <v>20.722661199999997</v>
      </c>
      <c r="J710" s="3" t="s">
        <v>5011</v>
      </c>
      <c r="K710" s="16">
        <v>3261.8596217075001</v>
      </c>
      <c r="L710" s="16">
        <v>341.09107880000005</v>
      </c>
      <c r="M710" s="16">
        <f t="shared" si="20"/>
        <v>7.278465452964431</v>
      </c>
    </row>
    <row r="711" spans="1:13" x14ac:dyDescent="0.25">
      <c r="A711" s="2">
        <f t="shared" si="21"/>
        <v>706</v>
      </c>
      <c r="B711" s="2">
        <v>22866</v>
      </c>
      <c r="C711" s="2" t="s">
        <v>3217</v>
      </c>
      <c r="D711" s="14" t="s">
        <v>705</v>
      </c>
      <c r="E711" s="14">
        <v>2.6736727999999998</v>
      </c>
      <c r="F711" s="14">
        <v>0</v>
      </c>
      <c r="G711" s="14">
        <v>2.6736727999999998</v>
      </c>
      <c r="H711" s="16">
        <v>179.76040180000001</v>
      </c>
      <c r="I711" s="16">
        <v>146.8110993</v>
      </c>
      <c r="J711" s="3" t="s">
        <v>5011</v>
      </c>
      <c r="K711" s="16">
        <v>2093.4142678263001</v>
      </c>
      <c r="L711" s="16">
        <v>299.9241255</v>
      </c>
      <c r="M711" s="16">
        <f t="shared" ref="M711:M774" si="22">L711/H711</f>
        <v>1.6684660386645842</v>
      </c>
    </row>
    <row r="712" spans="1:13" x14ac:dyDescent="0.25">
      <c r="A712" s="2">
        <f t="shared" ref="A712:A775" si="23">A711+1</f>
        <v>707</v>
      </c>
      <c r="B712" s="2">
        <v>22973</v>
      </c>
      <c r="C712" s="2" t="s">
        <v>3218</v>
      </c>
      <c r="D712" s="14" t="s">
        <v>706</v>
      </c>
      <c r="E712" s="14">
        <v>0.65968869999999991</v>
      </c>
      <c r="F712" s="14">
        <v>0</v>
      </c>
      <c r="G712" s="14">
        <v>0.65968869999999991</v>
      </c>
      <c r="H712" s="16">
        <v>62.257290199999993</v>
      </c>
      <c r="I712" s="16">
        <v>53.628255699999997</v>
      </c>
      <c r="J712" s="3" t="s">
        <v>5011</v>
      </c>
      <c r="K712" s="16">
        <v>672.98641986270013</v>
      </c>
      <c r="L712" s="16">
        <v>97.122783499999997</v>
      </c>
      <c r="M712" s="16">
        <f t="shared" si="22"/>
        <v>1.5600226606072234</v>
      </c>
    </row>
    <row r="713" spans="1:13" x14ac:dyDescent="0.25">
      <c r="A713" s="2">
        <f t="shared" si="23"/>
        <v>708</v>
      </c>
      <c r="B713" s="2">
        <v>23017</v>
      </c>
      <c r="C713" s="2" t="s">
        <v>3219</v>
      </c>
      <c r="D713" s="14" t="s">
        <v>707</v>
      </c>
      <c r="E713" s="14">
        <v>8.7376574999999992</v>
      </c>
      <c r="F713" s="14">
        <v>0</v>
      </c>
      <c r="G713" s="14">
        <v>8.7376574999999992</v>
      </c>
      <c r="H713" s="16">
        <v>3758.8665599000001</v>
      </c>
      <c r="I713" s="16">
        <v>3058.5277099999998</v>
      </c>
      <c r="J713" s="3" t="s">
        <v>5011</v>
      </c>
      <c r="K713" s="16">
        <v>12726.723047621905</v>
      </c>
      <c r="L713" s="16">
        <v>3654.9059282999997</v>
      </c>
      <c r="M713" s="16">
        <f t="shared" si="22"/>
        <v>0.97234255860288743</v>
      </c>
    </row>
    <row r="714" spans="1:13" x14ac:dyDescent="0.25">
      <c r="A714" s="2">
        <f t="shared" si="23"/>
        <v>709</v>
      </c>
      <c r="B714" s="2">
        <v>23125</v>
      </c>
      <c r="C714" s="2" t="s">
        <v>3220</v>
      </c>
      <c r="D714" s="14" t="s">
        <v>708</v>
      </c>
      <c r="E714" s="14">
        <v>0</v>
      </c>
      <c r="F714" s="14">
        <v>0</v>
      </c>
      <c r="G714" s="14">
        <v>0</v>
      </c>
      <c r="H714" s="16">
        <v>0</v>
      </c>
      <c r="I714" s="16">
        <v>0</v>
      </c>
      <c r="J714" s="3" t="s">
        <v>5011</v>
      </c>
      <c r="K714" s="16">
        <v>0</v>
      </c>
      <c r="L714" s="16">
        <v>0</v>
      </c>
      <c r="M714" s="16">
        <v>0</v>
      </c>
    </row>
    <row r="715" spans="1:13" x14ac:dyDescent="0.25">
      <c r="A715" s="2">
        <f t="shared" si="23"/>
        <v>710</v>
      </c>
      <c r="B715" s="2">
        <v>23138</v>
      </c>
      <c r="C715" s="2" t="s">
        <v>3221</v>
      </c>
      <c r="D715" s="14" t="s">
        <v>709</v>
      </c>
      <c r="E715" s="14">
        <v>0</v>
      </c>
      <c r="F715" s="14">
        <v>0</v>
      </c>
      <c r="G715" s="14">
        <v>0</v>
      </c>
      <c r="H715" s="16">
        <v>0</v>
      </c>
      <c r="I715" s="16">
        <v>0</v>
      </c>
      <c r="J715" s="3" t="s">
        <v>5011</v>
      </c>
      <c r="K715" s="16">
        <v>0</v>
      </c>
      <c r="L715" s="16">
        <v>0</v>
      </c>
      <c r="M715" s="16">
        <v>0</v>
      </c>
    </row>
    <row r="716" spans="1:13" x14ac:dyDescent="0.25">
      <c r="A716" s="2">
        <f t="shared" si="23"/>
        <v>711</v>
      </c>
      <c r="B716" s="2">
        <v>23146</v>
      </c>
      <c r="C716" s="2" t="s">
        <v>3222</v>
      </c>
      <c r="D716" s="14" t="s">
        <v>710</v>
      </c>
      <c r="E716" s="14">
        <v>0</v>
      </c>
      <c r="F716" s="14">
        <v>0</v>
      </c>
      <c r="G716" s="14">
        <v>0</v>
      </c>
      <c r="H716" s="16">
        <v>0</v>
      </c>
      <c r="I716" s="16">
        <v>0</v>
      </c>
      <c r="J716" s="3" t="s">
        <v>5011</v>
      </c>
      <c r="K716" s="16">
        <v>0</v>
      </c>
      <c r="L716" s="16">
        <v>0</v>
      </c>
      <c r="M716" s="16">
        <v>0</v>
      </c>
    </row>
    <row r="717" spans="1:13" x14ac:dyDescent="0.25">
      <c r="A717" s="2">
        <f t="shared" si="23"/>
        <v>712</v>
      </c>
      <c r="B717" s="2">
        <v>23179</v>
      </c>
      <c r="C717" s="2" t="s">
        <v>3223</v>
      </c>
      <c r="D717" s="14" t="s">
        <v>711</v>
      </c>
      <c r="E717" s="14">
        <v>0</v>
      </c>
      <c r="F717" s="14">
        <v>0</v>
      </c>
      <c r="G717" s="14">
        <v>0</v>
      </c>
      <c r="H717" s="16">
        <v>0</v>
      </c>
      <c r="I717" s="16">
        <v>0</v>
      </c>
      <c r="J717" s="3" t="s">
        <v>5011</v>
      </c>
      <c r="K717" s="16">
        <v>0</v>
      </c>
      <c r="L717" s="16">
        <v>0</v>
      </c>
      <c r="M717" s="16">
        <v>0</v>
      </c>
    </row>
    <row r="718" spans="1:13" x14ac:dyDescent="0.25">
      <c r="A718" s="2">
        <f t="shared" si="23"/>
        <v>713</v>
      </c>
      <c r="B718" s="2">
        <v>23381</v>
      </c>
      <c r="C718" s="2" t="s">
        <v>3224</v>
      </c>
      <c r="D718" s="14" t="s">
        <v>712</v>
      </c>
      <c r="E718" s="14">
        <v>0.20115919999999998</v>
      </c>
      <c r="F718" s="14">
        <v>0</v>
      </c>
      <c r="G718" s="14">
        <v>0.20115919999999998</v>
      </c>
      <c r="H718" s="16">
        <v>11.104445800000001</v>
      </c>
      <c r="I718" s="16">
        <v>10.9629373</v>
      </c>
      <c r="J718" s="3" t="s">
        <v>5011</v>
      </c>
      <c r="K718" s="16">
        <v>229.03321677389999</v>
      </c>
      <c r="L718" s="16">
        <v>30.655833300000001</v>
      </c>
      <c r="M718" s="16">
        <f t="shared" si="22"/>
        <v>2.7606810688382124</v>
      </c>
    </row>
    <row r="719" spans="1:13" x14ac:dyDescent="0.25">
      <c r="A719" s="2">
        <f t="shared" si="23"/>
        <v>714</v>
      </c>
      <c r="B719" s="2">
        <v>23470</v>
      </c>
      <c r="C719" s="2" t="s">
        <v>3225</v>
      </c>
      <c r="D719" s="14" t="s">
        <v>713</v>
      </c>
      <c r="E719" s="14">
        <v>11.1620501</v>
      </c>
      <c r="F719" s="14">
        <v>0</v>
      </c>
      <c r="G719" s="14">
        <v>11.1620501</v>
      </c>
      <c r="H719" s="16">
        <v>341.10775020000005</v>
      </c>
      <c r="I719" s="16">
        <v>132.20739920000003</v>
      </c>
      <c r="J719" s="3" t="s">
        <v>5011</v>
      </c>
      <c r="K719" s="16">
        <v>8581.8689360321987</v>
      </c>
      <c r="L719" s="16">
        <v>924.72872610000002</v>
      </c>
      <c r="M719" s="16">
        <f t="shared" si="22"/>
        <v>2.7109578294770738</v>
      </c>
    </row>
    <row r="720" spans="1:13" x14ac:dyDescent="0.25">
      <c r="A720" s="2">
        <f t="shared" si="23"/>
        <v>715</v>
      </c>
      <c r="B720" s="2">
        <v>23579</v>
      </c>
      <c r="C720" s="2" t="s">
        <v>3226</v>
      </c>
      <c r="D720" s="14" t="s">
        <v>714</v>
      </c>
      <c r="E720" s="14">
        <v>4.4060799999999997E-2</v>
      </c>
      <c r="F720" s="14">
        <v>0</v>
      </c>
      <c r="G720" s="14">
        <v>4.4060799999999997E-2</v>
      </c>
      <c r="H720" s="16">
        <v>1.9999</v>
      </c>
      <c r="I720" s="16">
        <v>1.9999</v>
      </c>
      <c r="J720" s="3" t="s">
        <v>5011</v>
      </c>
      <c r="K720" s="16">
        <v>51.395240451900008</v>
      </c>
      <c r="L720" s="16">
        <v>7.0987260000000001</v>
      </c>
      <c r="M720" s="16">
        <f t="shared" si="22"/>
        <v>3.549540477023851</v>
      </c>
    </row>
    <row r="721" spans="1:13" x14ac:dyDescent="0.25">
      <c r="A721" s="2">
        <f t="shared" si="23"/>
        <v>716</v>
      </c>
      <c r="B721" s="2">
        <v>23615</v>
      </c>
      <c r="C721" s="2" t="s">
        <v>3227</v>
      </c>
      <c r="D721" s="14" t="s">
        <v>715</v>
      </c>
      <c r="E721" s="14">
        <v>8.5781247</v>
      </c>
      <c r="F721" s="14">
        <v>0</v>
      </c>
      <c r="G721" s="14">
        <v>8.5781247</v>
      </c>
      <c r="H721" s="16">
        <v>527.15371560000006</v>
      </c>
      <c r="I721" s="16">
        <v>466.25395160000005</v>
      </c>
      <c r="J721" s="3" t="s">
        <v>5011</v>
      </c>
      <c r="K721" s="16">
        <v>6442.5948190394001</v>
      </c>
      <c r="L721" s="16">
        <v>836.22615780000001</v>
      </c>
      <c r="M721" s="16">
        <f t="shared" si="22"/>
        <v>1.5863042089122286</v>
      </c>
    </row>
    <row r="722" spans="1:13" x14ac:dyDescent="0.25">
      <c r="A722" s="2">
        <f t="shared" si="23"/>
        <v>717</v>
      </c>
      <c r="B722" s="2">
        <v>23661</v>
      </c>
      <c r="C722" s="2" t="s">
        <v>3228</v>
      </c>
      <c r="D722" s="14" t="s">
        <v>716</v>
      </c>
      <c r="E722" s="14">
        <v>2.61839E-2</v>
      </c>
      <c r="F722" s="14">
        <v>0</v>
      </c>
      <c r="G722" s="14">
        <v>2.61839E-2</v>
      </c>
      <c r="H722" s="16">
        <v>3.1898404999999999</v>
      </c>
      <c r="I722" s="16">
        <v>3.1710937000000001</v>
      </c>
      <c r="J722" s="3" t="s">
        <v>5011</v>
      </c>
      <c r="K722" s="16">
        <v>26.662661886499997</v>
      </c>
      <c r="L722" s="16">
        <v>4.7035952000000005</v>
      </c>
      <c r="M722" s="16">
        <f t="shared" si="22"/>
        <v>1.4745549816675789</v>
      </c>
    </row>
    <row r="723" spans="1:13" x14ac:dyDescent="0.25">
      <c r="A723" s="2">
        <f t="shared" si="23"/>
        <v>718</v>
      </c>
      <c r="B723" s="2">
        <v>23696</v>
      </c>
      <c r="C723" s="2" t="s">
        <v>3229</v>
      </c>
      <c r="D723" s="14" t="s">
        <v>717</v>
      </c>
      <c r="E723" s="14">
        <v>0</v>
      </c>
      <c r="F723" s="14">
        <v>0</v>
      </c>
      <c r="G723" s="14">
        <v>0</v>
      </c>
      <c r="H723" s="16">
        <v>0</v>
      </c>
      <c r="I723" s="16">
        <v>0</v>
      </c>
      <c r="J723" s="3" t="s">
        <v>5011</v>
      </c>
      <c r="K723" s="16">
        <v>0</v>
      </c>
      <c r="L723" s="16">
        <v>0</v>
      </c>
      <c r="M723" s="16">
        <v>0</v>
      </c>
    </row>
    <row r="724" spans="1:13" x14ac:dyDescent="0.25">
      <c r="A724" s="2">
        <f t="shared" si="23"/>
        <v>719</v>
      </c>
      <c r="B724" s="2">
        <v>23699</v>
      </c>
      <c r="C724" s="2" t="s">
        <v>3230</v>
      </c>
      <c r="D724" s="14" t="s">
        <v>718</v>
      </c>
      <c r="E724" s="14">
        <v>0</v>
      </c>
      <c r="F724" s="14">
        <v>0</v>
      </c>
      <c r="G724" s="14">
        <v>0</v>
      </c>
      <c r="H724" s="16">
        <v>0</v>
      </c>
      <c r="I724" s="16">
        <v>0</v>
      </c>
      <c r="J724" s="3" t="s">
        <v>5011</v>
      </c>
      <c r="K724" s="16">
        <v>0</v>
      </c>
      <c r="L724" s="16">
        <v>0</v>
      </c>
      <c r="M724" s="16">
        <v>0</v>
      </c>
    </row>
    <row r="725" spans="1:13" x14ac:dyDescent="0.25">
      <c r="A725" s="2">
        <f t="shared" si="23"/>
        <v>720</v>
      </c>
      <c r="B725" s="2">
        <v>23947</v>
      </c>
      <c r="C725" s="2" t="s">
        <v>3231</v>
      </c>
      <c r="D725" s="14" t="s">
        <v>719</v>
      </c>
      <c r="E725" s="14">
        <v>0.29507539999999999</v>
      </c>
      <c r="F725" s="14">
        <v>0</v>
      </c>
      <c r="G725" s="14">
        <v>0.29507539999999999</v>
      </c>
      <c r="H725" s="16">
        <v>59.621507000000001</v>
      </c>
      <c r="I725" s="16">
        <v>34.622022000000001</v>
      </c>
      <c r="J725" s="3" t="s">
        <v>5011</v>
      </c>
      <c r="K725" s="16">
        <v>426.44431752030005</v>
      </c>
      <c r="L725" s="16">
        <v>61.179838600000004</v>
      </c>
      <c r="M725" s="16">
        <f t="shared" si="22"/>
        <v>1.0261370716442979</v>
      </c>
    </row>
    <row r="726" spans="1:13" x14ac:dyDescent="0.25">
      <c r="A726" s="2">
        <f t="shared" si="23"/>
        <v>721</v>
      </c>
      <c r="B726" s="2">
        <v>23952</v>
      </c>
      <c r="C726" s="2" t="s">
        <v>3232</v>
      </c>
      <c r="D726" s="14" t="s">
        <v>720</v>
      </c>
      <c r="E726" s="14">
        <v>3.36826E-2</v>
      </c>
      <c r="F726" s="14">
        <v>0</v>
      </c>
      <c r="G726" s="14">
        <v>3.36826E-2</v>
      </c>
      <c r="H726" s="16">
        <v>55.307234600000001</v>
      </c>
      <c r="I726" s="16">
        <v>53.807200199999997</v>
      </c>
      <c r="J726" s="3" t="s">
        <v>5011</v>
      </c>
      <c r="K726" s="16">
        <v>85.228043319800008</v>
      </c>
      <c r="L726" s="16">
        <v>56.601797300000001</v>
      </c>
      <c r="M726" s="16">
        <f t="shared" si="22"/>
        <v>1.0234067515644689</v>
      </c>
    </row>
    <row r="727" spans="1:13" x14ac:dyDescent="0.25">
      <c r="A727" s="2">
        <f t="shared" si="23"/>
        <v>722</v>
      </c>
      <c r="B727" s="2">
        <v>23962</v>
      </c>
      <c r="C727" s="2" t="s">
        <v>3233</v>
      </c>
      <c r="D727" s="14" t="s">
        <v>721</v>
      </c>
      <c r="E727" s="14">
        <v>0.1344815</v>
      </c>
      <c r="F727" s="14">
        <v>0</v>
      </c>
      <c r="G727" s="14">
        <v>0.1344815</v>
      </c>
      <c r="H727" s="16">
        <v>57.967101599999999</v>
      </c>
      <c r="I727" s="16">
        <v>57.498851900000005</v>
      </c>
      <c r="J727" s="3" t="s">
        <v>5011</v>
      </c>
      <c r="K727" s="16">
        <v>206.686400201</v>
      </c>
      <c r="L727" s="16">
        <v>65.300977199999991</v>
      </c>
      <c r="M727" s="16">
        <f t="shared" si="22"/>
        <v>1.12651789372888</v>
      </c>
    </row>
    <row r="728" spans="1:13" x14ac:dyDescent="0.25">
      <c r="A728" s="2">
        <f t="shared" si="23"/>
        <v>723</v>
      </c>
      <c r="B728" s="2">
        <v>23976</v>
      </c>
      <c r="C728" s="2" t="s">
        <v>3234</v>
      </c>
      <c r="D728" s="14" t="s">
        <v>722</v>
      </c>
      <c r="E728" s="14">
        <v>6.6173000000000004E-3</v>
      </c>
      <c r="F728" s="14">
        <v>0</v>
      </c>
      <c r="G728" s="14">
        <v>6.6173000000000004E-3</v>
      </c>
      <c r="H728" s="16">
        <v>5.6997150000000003</v>
      </c>
      <c r="I728" s="16">
        <v>5.6997150000000003</v>
      </c>
      <c r="J728" s="3" t="s">
        <v>5011</v>
      </c>
      <c r="K728" s="16">
        <v>15.9433569495</v>
      </c>
      <c r="L728" s="16">
        <v>6.1378500000000003</v>
      </c>
      <c r="M728" s="16">
        <f t="shared" si="22"/>
        <v>1.076869632955332</v>
      </c>
    </row>
    <row r="729" spans="1:13" x14ac:dyDescent="0.25">
      <c r="A729" s="2">
        <f t="shared" si="23"/>
        <v>724</v>
      </c>
      <c r="B729" s="2">
        <v>24189</v>
      </c>
      <c r="C729" s="2" t="s">
        <v>3235</v>
      </c>
      <c r="D729" s="14" t="s">
        <v>723</v>
      </c>
      <c r="E729" s="14">
        <v>0.40776819999999991</v>
      </c>
      <c r="F729" s="14">
        <v>0</v>
      </c>
      <c r="G729" s="14">
        <v>0.40776819999999991</v>
      </c>
      <c r="H729" s="16">
        <v>49.967502099999997</v>
      </c>
      <c r="I729" s="16">
        <v>45.717927000000003</v>
      </c>
      <c r="J729" s="3" t="s">
        <v>5011</v>
      </c>
      <c r="K729" s="16">
        <v>440.9910096525</v>
      </c>
      <c r="L729" s="16">
        <v>69.441675199999992</v>
      </c>
      <c r="M729" s="16">
        <f t="shared" si="22"/>
        <v>1.3897367745345028</v>
      </c>
    </row>
    <row r="730" spans="1:13" x14ac:dyDescent="0.25">
      <c r="A730" s="2">
        <f t="shared" si="23"/>
        <v>725</v>
      </c>
      <c r="B730" s="2">
        <v>24204</v>
      </c>
      <c r="C730" s="2" t="s">
        <v>3236</v>
      </c>
      <c r="D730" s="14" t="s">
        <v>724</v>
      </c>
      <c r="E730" s="14">
        <v>0</v>
      </c>
      <c r="F730" s="14">
        <v>0</v>
      </c>
      <c r="G730" s="14">
        <v>0</v>
      </c>
      <c r="H730" s="16">
        <v>0</v>
      </c>
      <c r="I730" s="16">
        <v>0</v>
      </c>
      <c r="J730" s="3" t="s">
        <v>5011</v>
      </c>
      <c r="K730" s="16">
        <v>0</v>
      </c>
      <c r="L730" s="16">
        <v>0</v>
      </c>
      <c r="M730" s="16">
        <v>0</v>
      </c>
    </row>
    <row r="731" spans="1:13" x14ac:dyDescent="0.25">
      <c r="A731" s="2">
        <f t="shared" si="23"/>
        <v>726</v>
      </c>
      <c r="B731" s="2">
        <v>24216</v>
      </c>
      <c r="C731" s="2" t="s">
        <v>3237</v>
      </c>
      <c r="D731" s="14" t="s">
        <v>725</v>
      </c>
      <c r="E731" s="14">
        <v>9.8839135000000002</v>
      </c>
      <c r="F731" s="14">
        <v>0</v>
      </c>
      <c r="G731" s="14">
        <v>9.8839135000000002</v>
      </c>
      <c r="H731" s="16">
        <v>176.63157059999998</v>
      </c>
      <c r="I731" s="16">
        <v>105.11333859999999</v>
      </c>
      <c r="J731" s="3" t="s">
        <v>5011</v>
      </c>
      <c r="K731" s="16">
        <v>8228.2555649304995</v>
      </c>
      <c r="L731" s="16">
        <v>908.71109780000006</v>
      </c>
      <c r="M731" s="16">
        <f t="shared" si="22"/>
        <v>5.1446697479572778</v>
      </c>
    </row>
    <row r="732" spans="1:13" x14ac:dyDescent="0.25">
      <c r="A732" s="2">
        <f t="shared" si="23"/>
        <v>727</v>
      </c>
      <c r="B732" s="2">
        <v>24281</v>
      </c>
      <c r="C732" s="2" t="s">
        <v>3238</v>
      </c>
      <c r="D732" s="14" t="s">
        <v>726</v>
      </c>
      <c r="E732" s="14">
        <v>0</v>
      </c>
      <c r="F732" s="14">
        <v>0</v>
      </c>
      <c r="G732" s="14">
        <v>0</v>
      </c>
      <c r="H732" s="16">
        <v>0</v>
      </c>
      <c r="I732" s="16">
        <v>0</v>
      </c>
      <c r="J732" s="3" t="s">
        <v>5011</v>
      </c>
      <c r="K732" s="16">
        <v>0</v>
      </c>
      <c r="L732" s="16">
        <v>0</v>
      </c>
      <c r="M732" s="16">
        <v>0</v>
      </c>
    </row>
    <row r="733" spans="1:13" x14ac:dyDescent="0.25">
      <c r="A733" s="2">
        <f t="shared" si="23"/>
        <v>728</v>
      </c>
      <c r="B733" s="2">
        <v>24383</v>
      </c>
      <c r="C733" s="2" t="s">
        <v>3239</v>
      </c>
      <c r="D733" s="14" t="s">
        <v>727</v>
      </c>
      <c r="E733" s="14">
        <v>3.1160631999999997</v>
      </c>
      <c r="F733" s="14">
        <v>0</v>
      </c>
      <c r="G733" s="14">
        <v>3.1160631999999997</v>
      </c>
      <c r="H733" s="16">
        <v>83.358417799999998</v>
      </c>
      <c r="I733" s="16">
        <v>67.245336500000008</v>
      </c>
      <c r="J733" s="3" t="s">
        <v>5011</v>
      </c>
      <c r="K733" s="16">
        <v>2450.9514689078001</v>
      </c>
      <c r="L733" s="16">
        <v>288.64401050000004</v>
      </c>
      <c r="M733" s="16">
        <f t="shared" si="22"/>
        <v>3.4626858104785194</v>
      </c>
    </row>
    <row r="734" spans="1:13" x14ac:dyDescent="0.25">
      <c r="A734" s="2">
        <f t="shared" si="23"/>
        <v>729</v>
      </c>
      <c r="B734" s="2">
        <v>24394</v>
      </c>
      <c r="C734" s="2" t="s">
        <v>3240</v>
      </c>
      <c r="D734" s="14" t="s">
        <v>728</v>
      </c>
      <c r="E734" s="14">
        <v>78.442273599999993</v>
      </c>
      <c r="F734" s="14">
        <v>0</v>
      </c>
      <c r="G734" s="14">
        <v>78.442273599999993</v>
      </c>
      <c r="H734" s="16">
        <v>2666.7602545</v>
      </c>
      <c r="I734" s="16">
        <v>2042.9881866999999</v>
      </c>
      <c r="J734" s="3" t="s">
        <v>5011</v>
      </c>
      <c r="K734" s="16">
        <v>59169.638741879819</v>
      </c>
      <c r="L734" s="16">
        <v>7290.5198990999997</v>
      </c>
      <c r="M734" s="16">
        <f t="shared" si="22"/>
        <v>2.7338490165352058</v>
      </c>
    </row>
    <row r="735" spans="1:13" x14ac:dyDescent="0.25">
      <c r="A735" s="2">
        <f t="shared" si="23"/>
        <v>730</v>
      </c>
      <c r="B735" s="2">
        <v>24407</v>
      </c>
      <c r="C735" s="2" t="s">
        <v>3241</v>
      </c>
      <c r="D735" s="14" t="s">
        <v>729</v>
      </c>
      <c r="E735" s="14">
        <v>0</v>
      </c>
      <c r="F735" s="14">
        <v>0</v>
      </c>
      <c r="G735" s="14">
        <v>0</v>
      </c>
      <c r="H735" s="16">
        <v>0</v>
      </c>
      <c r="I735" s="16">
        <v>0</v>
      </c>
      <c r="J735" s="3" t="s">
        <v>5011</v>
      </c>
      <c r="K735" s="16">
        <v>0</v>
      </c>
      <c r="L735" s="16">
        <v>0</v>
      </c>
      <c r="M735" s="16">
        <v>0</v>
      </c>
    </row>
    <row r="736" spans="1:13" x14ac:dyDescent="0.25">
      <c r="A736" s="2">
        <f t="shared" si="23"/>
        <v>731</v>
      </c>
      <c r="B736" s="2">
        <v>24437</v>
      </c>
      <c r="C736" s="2" t="s">
        <v>3242</v>
      </c>
      <c r="D736" s="14" t="s">
        <v>730</v>
      </c>
      <c r="E736" s="14">
        <v>0</v>
      </c>
      <c r="F736" s="14">
        <v>0</v>
      </c>
      <c r="G736" s="14">
        <v>0</v>
      </c>
      <c r="H736" s="16">
        <v>0</v>
      </c>
      <c r="I736" s="16">
        <v>0</v>
      </c>
      <c r="J736" s="3" t="s">
        <v>5011</v>
      </c>
      <c r="K736" s="16">
        <v>0</v>
      </c>
      <c r="L736" s="16">
        <v>0</v>
      </c>
      <c r="M736" s="16">
        <v>0</v>
      </c>
    </row>
    <row r="737" spans="1:13" x14ac:dyDescent="0.25">
      <c r="A737" s="2">
        <f t="shared" si="23"/>
        <v>732</v>
      </c>
      <c r="B737" s="2">
        <v>24562</v>
      </c>
      <c r="C737" s="2" t="s">
        <v>3243</v>
      </c>
      <c r="D737" s="14" t="s">
        <v>731</v>
      </c>
      <c r="E737" s="14">
        <v>0</v>
      </c>
      <c r="F737" s="14">
        <v>0</v>
      </c>
      <c r="G737" s="14">
        <v>0</v>
      </c>
      <c r="H737" s="16">
        <v>0</v>
      </c>
      <c r="I737" s="16">
        <v>0</v>
      </c>
      <c r="J737" s="3" t="s">
        <v>5011</v>
      </c>
      <c r="K737" s="16">
        <v>0</v>
      </c>
      <c r="L737" s="16">
        <v>0</v>
      </c>
      <c r="M737" s="16">
        <v>0</v>
      </c>
    </row>
    <row r="738" spans="1:13" x14ac:dyDescent="0.25">
      <c r="A738" s="2">
        <f t="shared" si="23"/>
        <v>733</v>
      </c>
      <c r="B738" s="2">
        <v>24577</v>
      </c>
      <c r="C738" s="2" t="s">
        <v>3244</v>
      </c>
      <c r="D738" s="14" t="s">
        <v>732</v>
      </c>
      <c r="E738" s="14">
        <v>0.15280170000000001</v>
      </c>
      <c r="F738" s="14">
        <v>0</v>
      </c>
      <c r="G738" s="14">
        <v>0.15280170000000001</v>
      </c>
      <c r="H738" s="16">
        <v>22.308885099999998</v>
      </c>
      <c r="I738" s="16">
        <v>22.308885099999998</v>
      </c>
      <c r="J738" s="3" t="s">
        <v>5011</v>
      </c>
      <c r="K738" s="16">
        <v>234.97049097550001</v>
      </c>
      <c r="L738" s="16">
        <v>36.907614500000001</v>
      </c>
      <c r="M738" s="16">
        <f t="shared" si="22"/>
        <v>1.6543908104130227</v>
      </c>
    </row>
    <row r="739" spans="1:13" x14ac:dyDescent="0.25">
      <c r="A739" s="2">
        <f t="shared" si="23"/>
        <v>734</v>
      </c>
      <c r="B739" s="2">
        <v>24596</v>
      </c>
      <c r="C739" s="2" t="s">
        <v>3245</v>
      </c>
      <c r="D739" s="14" t="s">
        <v>733</v>
      </c>
      <c r="E739" s="14">
        <v>0</v>
      </c>
      <c r="F739" s="14">
        <v>0</v>
      </c>
      <c r="G739" s="14">
        <v>0</v>
      </c>
      <c r="H739" s="16">
        <v>0</v>
      </c>
      <c r="I739" s="16">
        <v>0</v>
      </c>
      <c r="J739" s="3" t="s">
        <v>5011</v>
      </c>
      <c r="K739" s="16">
        <v>0</v>
      </c>
      <c r="L739" s="16">
        <v>0</v>
      </c>
      <c r="M739" s="16">
        <v>0</v>
      </c>
    </row>
    <row r="740" spans="1:13" x14ac:dyDescent="0.25">
      <c r="A740" s="2">
        <f t="shared" si="23"/>
        <v>735</v>
      </c>
      <c r="B740" s="2">
        <v>24659</v>
      </c>
      <c r="C740" s="2" t="s">
        <v>3246</v>
      </c>
      <c r="D740" s="14" t="s">
        <v>734</v>
      </c>
      <c r="E740" s="14">
        <v>0</v>
      </c>
      <c r="F740" s="14">
        <v>0</v>
      </c>
      <c r="G740" s="14">
        <v>0</v>
      </c>
      <c r="H740" s="16">
        <v>0</v>
      </c>
      <c r="I740" s="16">
        <v>0</v>
      </c>
      <c r="J740" s="3" t="s">
        <v>5011</v>
      </c>
      <c r="K740" s="16">
        <v>0</v>
      </c>
      <c r="L740" s="16">
        <v>0</v>
      </c>
      <c r="M740" s="16">
        <v>0</v>
      </c>
    </row>
    <row r="741" spans="1:13" x14ac:dyDescent="0.25">
      <c r="A741" s="2">
        <f t="shared" si="23"/>
        <v>736</v>
      </c>
      <c r="B741" s="2">
        <v>24689</v>
      </c>
      <c r="C741" s="2" t="s">
        <v>3247</v>
      </c>
      <c r="D741" s="14" t="s">
        <v>735</v>
      </c>
      <c r="E741" s="14">
        <v>3.7159999999999998E-4</v>
      </c>
      <c r="F741" s="14">
        <v>0</v>
      </c>
      <c r="G741" s="14">
        <v>3.7159999999999998E-4</v>
      </c>
      <c r="H741" s="16">
        <v>1.3999299999999999</v>
      </c>
      <c r="I741" s="16">
        <v>1.3999299999999999</v>
      </c>
      <c r="J741" s="3" t="s">
        <v>5011</v>
      </c>
      <c r="K741" s="16">
        <v>16.1544180426</v>
      </c>
      <c r="L741" s="16">
        <v>2.5014185000000002</v>
      </c>
      <c r="M741" s="16">
        <f t="shared" si="22"/>
        <v>1.7868168408420424</v>
      </c>
    </row>
    <row r="742" spans="1:13" x14ac:dyDescent="0.25">
      <c r="A742" s="2">
        <f t="shared" si="23"/>
        <v>737</v>
      </c>
      <c r="B742" s="2">
        <v>24713</v>
      </c>
      <c r="C742" s="2" t="s">
        <v>3248</v>
      </c>
      <c r="D742" s="14" t="s">
        <v>736</v>
      </c>
      <c r="E742" s="14">
        <v>0</v>
      </c>
      <c r="F742" s="14">
        <v>0</v>
      </c>
      <c r="G742" s="14">
        <v>0</v>
      </c>
      <c r="H742" s="16">
        <v>0.39998</v>
      </c>
      <c r="I742" s="16">
        <v>0.39998</v>
      </c>
      <c r="J742" s="3" t="s">
        <v>5011</v>
      </c>
      <c r="K742" s="16">
        <v>1.2901522600000001E-2</v>
      </c>
      <c r="L742" s="16">
        <v>0.3999472</v>
      </c>
      <c r="M742" s="16">
        <f t="shared" si="22"/>
        <v>0.99991799589979502</v>
      </c>
    </row>
    <row r="743" spans="1:13" x14ac:dyDescent="0.25">
      <c r="A743" s="2">
        <f t="shared" si="23"/>
        <v>738</v>
      </c>
      <c r="B743" s="2">
        <v>24734</v>
      </c>
      <c r="C743" s="2" t="s">
        <v>3249</v>
      </c>
      <c r="D743" s="14" t="s">
        <v>737</v>
      </c>
      <c r="E743" s="14">
        <v>0.87190680000000009</v>
      </c>
      <c r="F743" s="14">
        <v>0</v>
      </c>
      <c r="G743" s="14">
        <v>0.87190680000000009</v>
      </c>
      <c r="H743" s="16">
        <v>43.531732499999997</v>
      </c>
      <c r="I743" s="16">
        <v>30.418096000000002</v>
      </c>
      <c r="J743" s="3" t="s">
        <v>5011</v>
      </c>
      <c r="K743" s="16">
        <v>765.74851187090007</v>
      </c>
      <c r="L743" s="16">
        <v>97.622698699999987</v>
      </c>
      <c r="M743" s="16">
        <f t="shared" si="22"/>
        <v>2.2425640582993105</v>
      </c>
    </row>
    <row r="744" spans="1:13" x14ac:dyDescent="0.25">
      <c r="A744" s="2">
        <f t="shared" si="23"/>
        <v>739</v>
      </c>
      <c r="B744" s="2">
        <v>24868</v>
      </c>
      <c r="C744" s="2" t="s">
        <v>3250</v>
      </c>
      <c r="D744" s="14" t="s">
        <v>738</v>
      </c>
      <c r="E744" s="14">
        <v>0</v>
      </c>
      <c r="F744" s="14">
        <v>0</v>
      </c>
      <c r="G744" s="14">
        <v>0</v>
      </c>
      <c r="H744" s="16">
        <v>0</v>
      </c>
      <c r="I744" s="16">
        <v>0</v>
      </c>
      <c r="J744" s="3" t="s">
        <v>5011</v>
      </c>
      <c r="K744" s="16">
        <v>0</v>
      </c>
      <c r="L744" s="16">
        <v>0</v>
      </c>
      <c r="M744" s="16">
        <v>0</v>
      </c>
    </row>
    <row r="745" spans="1:13" x14ac:dyDescent="0.25">
      <c r="A745" s="2">
        <f t="shared" si="23"/>
        <v>740</v>
      </c>
      <c r="B745" s="2">
        <v>24952</v>
      </c>
      <c r="C745" s="2" t="s">
        <v>3251</v>
      </c>
      <c r="D745" s="14" t="s">
        <v>739</v>
      </c>
      <c r="E745" s="14">
        <v>6.2548000000000005E-3</v>
      </c>
      <c r="F745" s="14">
        <v>0</v>
      </c>
      <c r="G745" s="14">
        <v>6.2548000000000005E-3</v>
      </c>
      <c r="H745" s="16">
        <v>0.44483769999999995</v>
      </c>
      <c r="I745" s="16">
        <v>0.44483769999999995</v>
      </c>
      <c r="J745" s="3" t="s">
        <v>5011</v>
      </c>
      <c r="K745" s="16">
        <v>8.0138155700000002</v>
      </c>
      <c r="L745" s="16">
        <v>1.0631792999999998</v>
      </c>
      <c r="M745" s="16">
        <f t="shared" si="22"/>
        <v>2.3900386590435119</v>
      </c>
    </row>
    <row r="746" spans="1:13" x14ac:dyDescent="0.25">
      <c r="A746" s="2">
        <f t="shared" si="23"/>
        <v>741</v>
      </c>
      <c r="B746" s="2">
        <v>24976</v>
      </c>
      <c r="C746" s="2" t="s">
        <v>3252</v>
      </c>
      <c r="D746" s="14" t="s">
        <v>740</v>
      </c>
      <c r="E746" s="14">
        <v>1.5118300000000001E-2</v>
      </c>
      <c r="F746" s="14">
        <v>0</v>
      </c>
      <c r="G746" s="14">
        <v>1.5118300000000001E-2</v>
      </c>
      <c r="H746" s="16">
        <v>9.8395080000000004</v>
      </c>
      <c r="I746" s="16">
        <v>9.8395080000000004</v>
      </c>
      <c r="J746" s="3" t="s">
        <v>5011</v>
      </c>
      <c r="K746" s="16">
        <v>32.538840707600002</v>
      </c>
      <c r="L746" s="16">
        <v>10.6973515</v>
      </c>
      <c r="M746" s="16">
        <f t="shared" si="22"/>
        <v>1.0871835766585076</v>
      </c>
    </row>
    <row r="747" spans="1:13" x14ac:dyDescent="0.25">
      <c r="A747" s="2">
        <f t="shared" si="23"/>
        <v>742</v>
      </c>
      <c r="B747" s="2">
        <v>25113</v>
      </c>
      <c r="C747" s="2" t="s">
        <v>3253</v>
      </c>
      <c r="D747" s="14" t="s">
        <v>741</v>
      </c>
      <c r="E747" s="14">
        <v>0</v>
      </c>
      <c r="F747" s="14">
        <v>0</v>
      </c>
      <c r="G747" s="14">
        <v>0</v>
      </c>
      <c r="H747" s="16">
        <v>0</v>
      </c>
      <c r="I747" s="16">
        <v>0</v>
      </c>
      <c r="J747" s="3" t="s">
        <v>5011</v>
      </c>
      <c r="K747" s="16">
        <v>0</v>
      </c>
      <c r="L747" s="16">
        <v>0</v>
      </c>
      <c r="M747" s="16">
        <v>0</v>
      </c>
    </row>
    <row r="748" spans="1:13" x14ac:dyDescent="0.25">
      <c r="A748" s="2">
        <f t="shared" si="23"/>
        <v>743</v>
      </c>
      <c r="B748" s="2">
        <v>25140</v>
      </c>
      <c r="C748" s="2" t="s">
        <v>3254</v>
      </c>
      <c r="D748" s="14" t="s">
        <v>742</v>
      </c>
      <c r="E748" s="14">
        <v>5.4169300000000004E-2</v>
      </c>
      <c r="F748" s="14">
        <v>0</v>
      </c>
      <c r="G748" s="14">
        <v>5.4169300000000004E-2</v>
      </c>
      <c r="H748" s="16">
        <v>63.487521399999999</v>
      </c>
      <c r="I748" s="16">
        <v>60.383695099999997</v>
      </c>
      <c r="J748" s="3" t="s">
        <v>5011</v>
      </c>
      <c r="K748" s="16">
        <v>150.63136237749998</v>
      </c>
      <c r="L748" s="16">
        <v>67.2059316</v>
      </c>
      <c r="M748" s="16">
        <f t="shared" si="22"/>
        <v>1.0585691505669648</v>
      </c>
    </row>
    <row r="749" spans="1:13" x14ac:dyDescent="0.25">
      <c r="A749" s="2">
        <f t="shared" si="23"/>
        <v>744</v>
      </c>
      <c r="B749" s="2">
        <v>25299</v>
      </c>
      <c r="C749" s="2" t="s">
        <v>3255</v>
      </c>
      <c r="D749" s="14" t="s">
        <v>743</v>
      </c>
      <c r="E749" s="14">
        <v>2.7417899999999999E-2</v>
      </c>
      <c r="F749" s="14">
        <v>0</v>
      </c>
      <c r="G749" s="14">
        <v>2.7417899999999999E-2</v>
      </c>
      <c r="H749" s="16">
        <v>3.5998199999999998</v>
      </c>
      <c r="I749" s="16">
        <v>3.5998199999999998</v>
      </c>
      <c r="J749" s="3" t="s">
        <v>5011</v>
      </c>
      <c r="K749" s="16">
        <v>33.957867129299999</v>
      </c>
      <c r="L749" s="16">
        <v>5.4732094999999994</v>
      </c>
      <c r="M749" s="16">
        <f t="shared" si="22"/>
        <v>1.5204119928218631</v>
      </c>
    </row>
    <row r="750" spans="1:13" x14ac:dyDescent="0.25">
      <c r="A750" s="2">
        <f t="shared" si="23"/>
        <v>745</v>
      </c>
      <c r="B750" s="2">
        <v>25312</v>
      </c>
      <c r="C750" s="2" t="s">
        <v>3256</v>
      </c>
      <c r="D750" s="14" t="s">
        <v>744</v>
      </c>
      <c r="E750" s="14">
        <v>1.4596300000000001E-2</v>
      </c>
      <c r="F750" s="14">
        <v>0</v>
      </c>
      <c r="G750" s="14">
        <v>1.4596300000000001E-2</v>
      </c>
      <c r="H750" s="16">
        <v>91.878906099999995</v>
      </c>
      <c r="I750" s="16">
        <v>89.453903699999998</v>
      </c>
      <c r="J750" s="3" t="s">
        <v>5011</v>
      </c>
      <c r="K750" s="16">
        <v>81.346031130399993</v>
      </c>
      <c r="L750" s="16">
        <v>90.900300000000001</v>
      </c>
      <c r="M750" s="16">
        <f t="shared" si="22"/>
        <v>0.98934895786705501</v>
      </c>
    </row>
    <row r="751" spans="1:13" x14ac:dyDescent="0.25">
      <c r="A751" s="2">
        <f t="shared" si="23"/>
        <v>746</v>
      </c>
      <c r="B751" s="2">
        <v>25382</v>
      </c>
      <c r="C751" s="2" t="s">
        <v>3257</v>
      </c>
      <c r="D751" s="14" t="s">
        <v>745</v>
      </c>
      <c r="E751" s="14">
        <v>0.3460531</v>
      </c>
      <c r="F751" s="14">
        <v>0</v>
      </c>
      <c r="G751" s="14">
        <v>0.3460531</v>
      </c>
      <c r="H751" s="16">
        <v>8.6688666000000012</v>
      </c>
      <c r="I751" s="16">
        <v>6.6495666</v>
      </c>
      <c r="J751" s="3" t="s">
        <v>5011</v>
      </c>
      <c r="K751" s="16">
        <v>276.59188009290006</v>
      </c>
      <c r="L751" s="16">
        <v>31.424893399999998</v>
      </c>
      <c r="M751" s="16">
        <f t="shared" si="22"/>
        <v>3.6250290666602245</v>
      </c>
    </row>
    <row r="752" spans="1:13" x14ac:dyDescent="0.25">
      <c r="A752" s="2">
        <f t="shared" si="23"/>
        <v>747</v>
      </c>
      <c r="B752" s="2">
        <v>25475</v>
      </c>
      <c r="C752" s="2" t="s">
        <v>3258</v>
      </c>
      <c r="D752" s="14" t="s">
        <v>746</v>
      </c>
      <c r="E752" s="14">
        <v>0.32181159999999998</v>
      </c>
      <c r="F752" s="14">
        <v>0</v>
      </c>
      <c r="G752" s="14">
        <v>0.32181159999999998</v>
      </c>
      <c r="H752" s="16">
        <v>98.825059100000004</v>
      </c>
      <c r="I752" s="16">
        <v>97.834848600000001</v>
      </c>
      <c r="J752" s="3" t="s">
        <v>5011</v>
      </c>
      <c r="K752" s="16">
        <v>342.74503902859999</v>
      </c>
      <c r="L752" s="16">
        <v>115.96880090000001</v>
      </c>
      <c r="M752" s="16">
        <f t="shared" si="22"/>
        <v>1.1734756544152676</v>
      </c>
    </row>
    <row r="753" spans="1:13" x14ac:dyDescent="0.25">
      <c r="A753" s="2">
        <f t="shared" si="23"/>
        <v>748</v>
      </c>
      <c r="B753" s="2">
        <v>25998</v>
      </c>
      <c r="C753" s="2" t="s">
        <v>3259</v>
      </c>
      <c r="D753" s="14" t="s">
        <v>747</v>
      </c>
      <c r="E753" s="14">
        <v>0</v>
      </c>
      <c r="F753" s="14">
        <v>0</v>
      </c>
      <c r="G753" s="14">
        <v>0</v>
      </c>
      <c r="H753" s="16">
        <v>0</v>
      </c>
      <c r="I753" s="16">
        <v>0</v>
      </c>
      <c r="J753" s="3" t="s">
        <v>5011</v>
      </c>
      <c r="K753" s="16">
        <v>0</v>
      </c>
      <c r="L753" s="16">
        <v>0</v>
      </c>
      <c r="M753" s="16">
        <v>0</v>
      </c>
    </row>
    <row r="754" spans="1:13" x14ac:dyDescent="0.25">
      <c r="A754" s="2">
        <f t="shared" si="23"/>
        <v>749</v>
      </c>
      <c r="B754" s="2">
        <v>26001</v>
      </c>
      <c r="C754" s="2" t="s">
        <v>3260</v>
      </c>
      <c r="D754" s="14" t="s">
        <v>748</v>
      </c>
      <c r="E754" s="14">
        <v>0</v>
      </c>
      <c r="F754" s="14">
        <v>0</v>
      </c>
      <c r="G754" s="14">
        <v>0</v>
      </c>
      <c r="H754" s="16">
        <v>0</v>
      </c>
      <c r="I754" s="16">
        <v>-8.8441900000000004E-2</v>
      </c>
      <c r="J754" s="3" t="s">
        <v>5011</v>
      </c>
      <c r="K754" s="16">
        <v>0.74637231199999998</v>
      </c>
      <c r="L754" s="16">
        <v>0</v>
      </c>
      <c r="M754" s="16">
        <v>0</v>
      </c>
    </row>
    <row r="755" spans="1:13" x14ac:dyDescent="0.25">
      <c r="A755" s="2">
        <f t="shared" si="23"/>
        <v>750</v>
      </c>
      <c r="B755" s="2">
        <v>26010</v>
      </c>
      <c r="C755" s="2" t="s">
        <v>3261</v>
      </c>
      <c r="D755" s="14" t="s">
        <v>749</v>
      </c>
      <c r="E755" s="14">
        <v>2.6276000000000008E-2</v>
      </c>
      <c r="F755" s="14">
        <v>0</v>
      </c>
      <c r="G755" s="14">
        <v>2.6276000000000008E-2</v>
      </c>
      <c r="H755" s="16">
        <v>12.884355800000002</v>
      </c>
      <c r="I755" s="16">
        <v>12.198051800000002</v>
      </c>
      <c r="J755" s="3" t="s">
        <v>5011</v>
      </c>
      <c r="K755" s="16">
        <v>43.557152611500001</v>
      </c>
      <c r="L755" s="16">
        <v>14.285531899999999</v>
      </c>
      <c r="M755" s="16">
        <f t="shared" si="22"/>
        <v>1.1087501867963003</v>
      </c>
    </row>
    <row r="756" spans="1:13" x14ac:dyDescent="0.25">
      <c r="A756" s="2">
        <f t="shared" si="23"/>
        <v>751</v>
      </c>
      <c r="B756" s="2">
        <v>26116</v>
      </c>
      <c r="C756" s="2" t="s">
        <v>3262</v>
      </c>
      <c r="D756" s="14" t="s">
        <v>750</v>
      </c>
      <c r="E756" s="14">
        <v>0.35991980000000001</v>
      </c>
      <c r="F756" s="14">
        <v>0</v>
      </c>
      <c r="G756" s="14">
        <v>0.35991980000000001</v>
      </c>
      <c r="H756" s="16">
        <v>38.448077499999997</v>
      </c>
      <c r="I756" s="16">
        <v>38.448077499999997</v>
      </c>
      <c r="J756" s="3" t="s">
        <v>5011</v>
      </c>
      <c r="K756" s="16">
        <v>304.18481726550004</v>
      </c>
      <c r="L756" s="16">
        <v>47.184341699999997</v>
      </c>
      <c r="M756" s="16">
        <f t="shared" si="22"/>
        <v>1.2272223936294344</v>
      </c>
    </row>
    <row r="757" spans="1:13" x14ac:dyDescent="0.25">
      <c r="A757" s="2">
        <f t="shared" si="23"/>
        <v>752</v>
      </c>
      <c r="B757" s="2">
        <v>26233</v>
      </c>
      <c r="C757" s="2" t="s">
        <v>3263</v>
      </c>
      <c r="D757" s="14" t="s">
        <v>751</v>
      </c>
      <c r="E757" s="14">
        <v>3.3375000000000002E-3</v>
      </c>
      <c r="F757" s="14">
        <v>0</v>
      </c>
      <c r="G757" s="14">
        <v>3.3375000000000002E-3</v>
      </c>
      <c r="H757" s="16">
        <v>3.7098145000000002</v>
      </c>
      <c r="I757" s="16">
        <v>3.7098145000000002</v>
      </c>
      <c r="J757" s="3" t="s">
        <v>5011</v>
      </c>
      <c r="K757" s="16">
        <v>7.9406753815000002</v>
      </c>
      <c r="L757" s="16">
        <v>3.9454738000000003</v>
      </c>
      <c r="M757" s="16">
        <f t="shared" si="22"/>
        <v>1.0635232031143336</v>
      </c>
    </row>
    <row r="758" spans="1:13" x14ac:dyDescent="0.25">
      <c r="A758" s="2">
        <f t="shared" si="23"/>
        <v>753</v>
      </c>
      <c r="B758" s="2">
        <v>26378</v>
      </c>
      <c r="C758" s="2" t="s">
        <v>3264</v>
      </c>
      <c r="D758" s="14" t="s">
        <v>752</v>
      </c>
      <c r="E758" s="14">
        <v>2.6644300000000003E-2</v>
      </c>
      <c r="F758" s="14">
        <v>0</v>
      </c>
      <c r="G758" s="14">
        <v>2.6644300000000003E-2</v>
      </c>
      <c r="H758" s="16">
        <v>6.4257686999999999</v>
      </c>
      <c r="I758" s="16">
        <v>1.5437767999999998</v>
      </c>
      <c r="J758" s="3" t="s">
        <v>5011</v>
      </c>
      <c r="K758" s="16">
        <v>25.378007685699998</v>
      </c>
      <c r="L758" s="16">
        <v>7.1171693999999999</v>
      </c>
      <c r="M758" s="16">
        <f t="shared" si="22"/>
        <v>1.1075981306329934</v>
      </c>
    </row>
    <row r="759" spans="1:13" x14ac:dyDescent="0.25">
      <c r="A759" s="2">
        <f t="shared" si="23"/>
        <v>754</v>
      </c>
      <c r="B759" s="2">
        <v>26543</v>
      </c>
      <c r="C759" s="2" t="s">
        <v>3265</v>
      </c>
      <c r="D759" s="14" t="s">
        <v>753</v>
      </c>
      <c r="E759" s="14">
        <v>2.8480200000000001E-2</v>
      </c>
      <c r="F759" s="14">
        <v>0</v>
      </c>
      <c r="G759" s="14">
        <v>2.8480200000000001E-2</v>
      </c>
      <c r="H759" s="16">
        <v>1.5400397000000001</v>
      </c>
      <c r="I759" s="16">
        <v>1.4649235</v>
      </c>
      <c r="J759" s="3" t="s">
        <v>5011</v>
      </c>
      <c r="K759" s="16">
        <v>37.366420771500003</v>
      </c>
      <c r="L759" s="16">
        <v>4.4875242000000002</v>
      </c>
      <c r="M759" s="16">
        <f t="shared" si="22"/>
        <v>2.9139016351331719</v>
      </c>
    </row>
    <row r="760" spans="1:13" x14ac:dyDescent="0.25">
      <c r="A760" s="2">
        <f t="shared" si="23"/>
        <v>755</v>
      </c>
      <c r="B760" s="2">
        <v>26613</v>
      </c>
      <c r="C760" s="2" t="s">
        <v>3266</v>
      </c>
      <c r="D760" s="14" t="s">
        <v>754</v>
      </c>
      <c r="E760" s="14">
        <v>0</v>
      </c>
      <c r="F760" s="14">
        <v>0</v>
      </c>
      <c r="G760" s="14">
        <v>0</v>
      </c>
      <c r="H760" s="16">
        <v>0</v>
      </c>
      <c r="I760" s="16">
        <v>0</v>
      </c>
      <c r="J760" s="3" t="s">
        <v>5011</v>
      </c>
      <c r="K760" s="16">
        <v>0</v>
      </c>
      <c r="L760" s="16">
        <v>0</v>
      </c>
      <c r="M760" s="16">
        <v>0</v>
      </c>
    </row>
    <row r="761" spans="1:13" x14ac:dyDescent="0.25">
      <c r="A761" s="2">
        <f t="shared" si="23"/>
        <v>756</v>
      </c>
      <c r="B761" s="2">
        <v>26616</v>
      </c>
      <c r="C761" s="2" t="s">
        <v>3267</v>
      </c>
      <c r="D761" s="14" t="s">
        <v>755</v>
      </c>
      <c r="E761" s="14">
        <v>0.13537520000000003</v>
      </c>
      <c r="F761" s="14">
        <v>0</v>
      </c>
      <c r="G761" s="14">
        <v>0.13537520000000003</v>
      </c>
      <c r="H761" s="16">
        <v>11.091949399999999</v>
      </c>
      <c r="I761" s="16">
        <v>10.7334455</v>
      </c>
      <c r="J761" s="3" t="s">
        <v>5011</v>
      </c>
      <c r="K761" s="16">
        <v>208.9731517347</v>
      </c>
      <c r="L761" s="16">
        <v>27.160555499999997</v>
      </c>
      <c r="M761" s="16">
        <f t="shared" si="22"/>
        <v>2.4486728635815811</v>
      </c>
    </row>
    <row r="762" spans="1:13" x14ac:dyDescent="0.25">
      <c r="A762" s="2">
        <f t="shared" si="23"/>
        <v>757</v>
      </c>
      <c r="B762" s="2">
        <v>26761</v>
      </c>
      <c r="C762" s="2" t="s">
        <v>3268</v>
      </c>
      <c r="D762" s="14" t="s">
        <v>756</v>
      </c>
      <c r="E762" s="14">
        <v>12.805721</v>
      </c>
      <c r="F762" s="14">
        <v>0</v>
      </c>
      <c r="G762" s="14">
        <v>12.805721</v>
      </c>
      <c r="H762" s="16">
        <v>666.38706139999999</v>
      </c>
      <c r="I762" s="16">
        <v>598.81917429999999</v>
      </c>
      <c r="J762" s="3" t="s">
        <v>5011</v>
      </c>
      <c r="K762" s="16">
        <v>10893.100129655399</v>
      </c>
      <c r="L762" s="16">
        <v>1491.9383682</v>
      </c>
      <c r="M762" s="16">
        <f t="shared" si="22"/>
        <v>2.2388465422266974</v>
      </c>
    </row>
    <row r="763" spans="1:13" x14ac:dyDescent="0.25">
      <c r="A763" s="2">
        <f t="shared" si="23"/>
        <v>758</v>
      </c>
      <c r="B763" s="2">
        <v>26772</v>
      </c>
      <c r="C763" s="2" t="s">
        <v>3269</v>
      </c>
      <c r="D763" s="14" t="s">
        <v>757</v>
      </c>
      <c r="E763" s="14">
        <v>0.81234200000000001</v>
      </c>
      <c r="F763" s="14">
        <v>0</v>
      </c>
      <c r="G763" s="14">
        <v>0.81234200000000001</v>
      </c>
      <c r="H763" s="16">
        <v>27.048649100000002</v>
      </c>
      <c r="I763" s="16">
        <v>24.451465200000001</v>
      </c>
      <c r="J763" s="3" t="s">
        <v>5011</v>
      </c>
      <c r="K763" s="16">
        <v>1560.8478141386997</v>
      </c>
      <c r="L763" s="16">
        <v>184.45916079999998</v>
      </c>
      <c r="M763" s="16">
        <f t="shared" si="22"/>
        <v>6.8195332091464769</v>
      </c>
    </row>
    <row r="764" spans="1:13" x14ac:dyDescent="0.25">
      <c r="A764" s="2">
        <f t="shared" si="23"/>
        <v>759</v>
      </c>
      <c r="B764" s="2">
        <v>26869</v>
      </c>
      <c r="C764" s="2" t="s">
        <v>3270</v>
      </c>
      <c r="D764" s="14" t="s">
        <v>758</v>
      </c>
      <c r="E764" s="14">
        <v>0</v>
      </c>
      <c r="F764" s="14">
        <v>0</v>
      </c>
      <c r="G764" s="14">
        <v>0</v>
      </c>
      <c r="H764" s="16">
        <v>0</v>
      </c>
      <c r="I764" s="16">
        <v>0</v>
      </c>
      <c r="J764" s="3" t="s">
        <v>5011</v>
      </c>
      <c r="K764" s="16">
        <v>0</v>
      </c>
      <c r="L764" s="16">
        <v>0</v>
      </c>
      <c r="M764" s="16">
        <v>0</v>
      </c>
    </row>
    <row r="765" spans="1:13" x14ac:dyDescent="0.25">
      <c r="A765" s="2">
        <f t="shared" si="23"/>
        <v>760</v>
      </c>
      <c r="B765" s="2">
        <v>26919</v>
      </c>
      <c r="C765" s="2" t="s">
        <v>3271</v>
      </c>
      <c r="D765" s="14" t="s">
        <v>759</v>
      </c>
      <c r="E765" s="14">
        <v>5.7829107999999998</v>
      </c>
      <c r="F765" s="14">
        <v>0</v>
      </c>
      <c r="G765" s="14">
        <v>5.7829107999999998</v>
      </c>
      <c r="H765" s="16">
        <v>408.76030549999996</v>
      </c>
      <c r="I765" s="16">
        <v>380.02980519999994</v>
      </c>
      <c r="J765" s="3" t="s">
        <v>5011</v>
      </c>
      <c r="K765" s="16">
        <v>4156.6750094506997</v>
      </c>
      <c r="L765" s="16">
        <v>700.76551819999997</v>
      </c>
      <c r="M765" s="16">
        <f t="shared" si="22"/>
        <v>1.7143678306601129</v>
      </c>
    </row>
    <row r="766" spans="1:13" x14ac:dyDescent="0.25">
      <c r="A766" s="2">
        <f t="shared" si="23"/>
        <v>761</v>
      </c>
      <c r="B766" s="2">
        <v>27130</v>
      </c>
      <c r="C766" s="2" t="s">
        <v>3272</v>
      </c>
      <c r="D766" s="14" t="s">
        <v>760</v>
      </c>
      <c r="E766" s="14">
        <v>9.8500999999999988E-3</v>
      </c>
      <c r="F766" s="14">
        <v>0</v>
      </c>
      <c r="G766" s="14">
        <v>9.8500999999999988E-3</v>
      </c>
      <c r="H766" s="16">
        <v>0.99995000000000001</v>
      </c>
      <c r="I766" s="16">
        <v>0.99995000000000001</v>
      </c>
      <c r="J766" s="3" t="s">
        <v>5011</v>
      </c>
      <c r="K766" s="16">
        <v>46.026399915299997</v>
      </c>
      <c r="L766" s="16">
        <v>5.1229591000000001</v>
      </c>
      <c r="M766" s="16">
        <f t="shared" si="22"/>
        <v>5.1232152607630379</v>
      </c>
    </row>
    <row r="767" spans="1:13" x14ac:dyDescent="0.25">
      <c r="A767" s="2">
        <f t="shared" si="23"/>
        <v>762</v>
      </c>
      <c r="B767" s="2">
        <v>27210</v>
      </c>
      <c r="C767" s="2" t="s">
        <v>3273</v>
      </c>
      <c r="D767" s="14" t="s">
        <v>761</v>
      </c>
      <c r="E767" s="14">
        <v>2.8802995999999998</v>
      </c>
      <c r="F767" s="14">
        <v>0</v>
      </c>
      <c r="G767" s="14">
        <v>2.8802995999999998</v>
      </c>
      <c r="H767" s="16">
        <v>240.15461059999998</v>
      </c>
      <c r="I767" s="16">
        <v>142.22978609999998</v>
      </c>
      <c r="J767" s="3" t="s">
        <v>5011</v>
      </c>
      <c r="K767" s="16">
        <v>3167.4642690050005</v>
      </c>
      <c r="L767" s="16">
        <v>399.35883229999996</v>
      </c>
      <c r="M767" s="16">
        <f t="shared" si="22"/>
        <v>1.6629238610170576</v>
      </c>
    </row>
    <row r="768" spans="1:13" x14ac:dyDescent="0.25">
      <c r="A768" s="2">
        <f t="shared" si="23"/>
        <v>763</v>
      </c>
      <c r="B768" s="2">
        <v>27400</v>
      </c>
      <c r="C768" s="2" t="s">
        <v>3274</v>
      </c>
      <c r="D768" s="14" t="s">
        <v>762</v>
      </c>
      <c r="E768" s="14">
        <v>0</v>
      </c>
      <c r="F768" s="14">
        <v>0</v>
      </c>
      <c r="G768" s="14">
        <v>0</v>
      </c>
      <c r="H768" s="16">
        <v>0</v>
      </c>
      <c r="I768" s="16">
        <v>0</v>
      </c>
      <c r="J768" s="3" t="s">
        <v>5011</v>
      </c>
      <c r="K768" s="16">
        <v>0</v>
      </c>
      <c r="L768" s="16">
        <v>0</v>
      </c>
      <c r="M768" s="16">
        <v>0</v>
      </c>
    </row>
    <row r="769" spans="1:13" x14ac:dyDescent="0.25">
      <c r="A769" s="2">
        <f t="shared" si="23"/>
        <v>764</v>
      </c>
      <c r="B769" s="2">
        <v>27403</v>
      </c>
      <c r="C769" s="2" t="s">
        <v>3275</v>
      </c>
      <c r="D769" s="14" t="s">
        <v>763</v>
      </c>
      <c r="E769" s="14">
        <v>2.8763844999999999</v>
      </c>
      <c r="F769" s="14">
        <v>0</v>
      </c>
      <c r="G769" s="14">
        <v>2.8763844999999999</v>
      </c>
      <c r="H769" s="16">
        <v>43.597831599999999</v>
      </c>
      <c r="I769" s="16">
        <v>22.9726125</v>
      </c>
      <c r="J769" s="3" t="s">
        <v>5011</v>
      </c>
      <c r="K769" s="16">
        <v>1962.4507750410003</v>
      </c>
      <c r="L769" s="16">
        <v>223.81466609999998</v>
      </c>
      <c r="M769" s="16">
        <f t="shared" si="22"/>
        <v>5.1336192165116756</v>
      </c>
    </row>
    <row r="770" spans="1:13" x14ac:dyDescent="0.25">
      <c r="A770" s="2">
        <f t="shared" si="23"/>
        <v>765</v>
      </c>
      <c r="B770" s="2">
        <v>27531</v>
      </c>
      <c r="C770" s="2" t="s">
        <v>3276</v>
      </c>
      <c r="D770" s="14" t="s">
        <v>764</v>
      </c>
      <c r="E770" s="14">
        <v>4.6435304999999998</v>
      </c>
      <c r="F770" s="14">
        <v>0</v>
      </c>
      <c r="G770" s="14">
        <v>4.6435304999999998</v>
      </c>
      <c r="H770" s="16">
        <v>147.87761860000001</v>
      </c>
      <c r="I770" s="16">
        <v>124.20878429999999</v>
      </c>
      <c r="J770" s="3" t="s">
        <v>5011</v>
      </c>
      <c r="K770" s="16">
        <v>3970.3171115778991</v>
      </c>
      <c r="L770" s="16">
        <v>466.2029938</v>
      </c>
      <c r="M770" s="16">
        <f t="shared" si="22"/>
        <v>3.1526271400207686</v>
      </c>
    </row>
    <row r="771" spans="1:13" x14ac:dyDescent="0.25">
      <c r="A771" s="2">
        <f t="shared" si="23"/>
        <v>766</v>
      </c>
      <c r="B771" s="2">
        <v>27574</v>
      </c>
      <c r="C771" s="2" t="s">
        <v>3277</v>
      </c>
      <c r="D771" s="14" t="s">
        <v>765</v>
      </c>
      <c r="E771" s="14">
        <v>0</v>
      </c>
      <c r="F771" s="14">
        <v>0</v>
      </c>
      <c r="G771" s="14">
        <v>0</v>
      </c>
      <c r="H771" s="16">
        <v>0</v>
      </c>
      <c r="I771" s="16">
        <v>0</v>
      </c>
      <c r="J771" s="3" t="s">
        <v>5011</v>
      </c>
      <c r="K771" s="16">
        <v>0</v>
      </c>
      <c r="L771" s="16">
        <v>0</v>
      </c>
      <c r="M771" s="16">
        <v>0</v>
      </c>
    </row>
    <row r="772" spans="1:13" x14ac:dyDescent="0.25">
      <c r="A772" s="2">
        <f t="shared" si="23"/>
        <v>767</v>
      </c>
      <c r="B772" s="2">
        <v>27605</v>
      </c>
      <c r="C772" s="2" t="s">
        <v>3278</v>
      </c>
      <c r="D772" s="14" t="s">
        <v>766</v>
      </c>
      <c r="E772" s="14">
        <v>0.24851480000000004</v>
      </c>
      <c r="F772" s="14">
        <v>0</v>
      </c>
      <c r="G772" s="14">
        <v>0.24851480000000004</v>
      </c>
      <c r="H772" s="16">
        <v>28.428579300000003</v>
      </c>
      <c r="I772" s="16">
        <v>15.961040200000003</v>
      </c>
      <c r="J772" s="3" t="s">
        <v>5011</v>
      </c>
      <c r="K772" s="16">
        <v>383.82408359570007</v>
      </c>
      <c r="L772" s="16">
        <v>39.865517199999999</v>
      </c>
      <c r="M772" s="16">
        <f t="shared" si="22"/>
        <v>1.4023042368494298</v>
      </c>
    </row>
    <row r="773" spans="1:13" x14ac:dyDescent="0.25">
      <c r="A773" s="2">
        <f t="shared" si="23"/>
        <v>768</v>
      </c>
      <c r="B773" s="2">
        <v>27770</v>
      </c>
      <c r="C773" s="2" t="s">
        <v>3279</v>
      </c>
      <c r="D773" s="14" t="s">
        <v>767</v>
      </c>
      <c r="E773" s="14">
        <v>2.0128242000000003</v>
      </c>
      <c r="F773" s="14">
        <v>0</v>
      </c>
      <c r="G773" s="14">
        <v>2.0128242000000003</v>
      </c>
      <c r="H773" s="16">
        <v>343.55782829999998</v>
      </c>
      <c r="I773" s="16">
        <v>315.0111263</v>
      </c>
      <c r="J773" s="3" t="s">
        <v>5011</v>
      </c>
      <c r="K773" s="16">
        <v>1914.0780376111995</v>
      </c>
      <c r="L773" s="16">
        <v>398.3106368</v>
      </c>
      <c r="M773" s="16">
        <f t="shared" si="22"/>
        <v>1.1593699924432781</v>
      </c>
    </row>
    <row r="774" spans="1:13" x14ac:dyDescent="0.25">
      <c r="A774" s="2">
        <f t="shared" si="23"/>
        <v>769</v>
      </c>
      <c r="B774" s="2">
        <v>27799</v>
      </c>
      <c r="C774" s="2" t="s">
        <v>3280</v>
      </c>
      <c r="D774" s="14" t="s">
        <v>768</v>
      </c>
      <c r="E774" s="14">
        <v>6.9464999999999996E-3</v>
      </c>
      <c r="F774" s="14">
        <v>0</v>
      </c>
      <c r="G774" s="14">
        <v>6.9464999999999996E-3</v>
      </c>
      <c r="H774" s="16">
        <v>3.3998300000000001</v>
      </c>
      <c r="I774" s="16">
        <v>3.3998300000000001</v>
      </c>
      <c r="J774" s="3" t="s">
        <v>5011</v>
      </c>
      <c r="K774" s="16">
        <v>12.1963504255</v>
      </c>
      <c r="L774" s="16">
        <v>4.2197328000000001</v>
      </c>
      <c r="M774" s="16">
        <f t="shared" si="22"/>
        <v>1.2411599403499587</v>
      </c>
    </row>
    <row r="775" spans="1:13" x14ac:dyDescent="0.25">
      <c r="A775" s="2">
        <f t="shared" si="23"/>
        <v>770</v>
      </c>
      <c r="B775" s="2">
        <v>27842</v>
      </c>
      <c r="C775" s="2" t="s">
        <v>3281</v>
      </c>
      <c r="D775" s="14" t="s">
        <v>769</v>
      </c>
      <c r="E775" s="14">
        <v>0.46118170000000003</v>
      </c>
      <c r="F775" s="14">
        <v>0</v>
      </c>
      <c r="G775" s="14">
        <v>0.46118170000000003</v>
      </c>
      <c r="H775" s="16">
        <v>37.142613500000003</v>
      </c>
      <c r="I775" s="16">
        <v>33.758142800000002</v>
      </c>
      <c r="J775" s="3" t="s">
        <v>5011</v>
      </c>
      <c r="K775" s="16">
        <v>582.37382010249996</v>
      </c>
      <c r="L775" s="16">
        <v>83.708992499999994</v>
      </c>
      <c r="M775" s="16">
        <f t="shared" ref="M775:M838" si="24">L775/H775</f>
        <v>2.2537184277568403</v>
      </c>
    </row>
    <row r="776" spans="1:13" x14ac:dyDescent="0.25">
      <c r="A776" s="2">
        <f t="shared" ref="A776:A839" si="25">A775+1</f>
        <v>771</v>
      </c>
      <c r="B776" s="2">
        <v>27909</v>
      </c>
      <c r="C776" s="2" t="s">
        <v>3282</v>
      </c>
      <c r="D776" s="14" t="s">
        <v>770</v>
      </c>
      <c r="E776" s="14">
        <v>4.6822043999999998</v>
      </c>
      <c r="F776" s="14">
        <v>0</v>
      </c>
      <c r="G776" s="14">
        <v>4.6822043999999998</v>
      </c>
      <c r="H776" s="16">
        <v>590.18380769999999</v>
      </c>
      <c r="I776" s="16">
        <v>147.76168020000003</v>
      </c>
      <c r="J776" s="3" t="s">
        <v>5011</v>
      </c>
      <c r="K776" s="16">
        <v>4054.4683395389993</v>
      </c>
      <c r="L776" s="16">
        <v>698.27702540000007</v>
      </c>
      <c r="M776" s="16">
        <f t="shared" si="24"/>
        <v>1.183151784731691</v>
      </c>
    </row>
    <row r="777" spans="1:13" x14ac:dyDescent="0.25">
      <c r="A777" s="2">
        <f t="shared" si="25"/>
        <v>772</v>
      </c>
      <c r="B777" s="2">
        <v>27981</v>
      </c>
      <c r="C777" s="2" t="s">
        <v>3283</v>
      </c>
      <c r="D777" s="14" t="s">
        <v>771</v>
      </c>
      <c r="E777" s="14">
        <v>0</v>
      </c>
      <c r="F777" s="14">
        <v>0</v>
      </c>
      <c r="G777" s="14">
        <v>0</v>
      </c>
      <c r="H777" s="16">
        <v>0</v>
      </c>
      <c r="I777" s="16">
        <v>0</v>
      </c>
      <c r="J777" s="3" t="s">
        <v>5011</v>
      </c>
      <c r="K777" s="16">
        <v>0</v>
      </c>
      <c r="L777" s="16">
        <v>0</v>
      </c>
      <c r="M777" s="16">
        <v>0</v>
      </c>
    </row>
    <row r="778" spans="1:13" x14ac:dyDescent="0.25">
      <c r="A778" s="2">
        <f t="shared" si="25"/>
        <v>773</v>
      </c>
      <c r="B778" s="2">
        <v>27988</v>
      </c>
      <c r="C778" s="2" t="s">
        <v>3284</v>
      </c>
      <c r="D778" s="14" t="s">
        <v>772</v>
      </c>
      <c r="E778" s="14">
        <v>1.6163562</v>
      </c>
      <c r="F778" s="14">
        <v>0</v>
      </c>
      <c r="G778" s="14">
        <v>1.6163562</v>
      </c>
      <c r="H778" s="16">
        <v>81.553555000000003</v>
      </c>
      <c r="I778" s="16">
        <v>-37.794406699999996</v>
      </c>
      <c r="J778" s="3" t="s">
        <v>5011</v>
      </c>
      <c r="K778" s="16">
        <v>2322.7583441590004</v>
      </c>
      <c r="L778" s="16">
        <v>194.22202710000002</v>
      </c>
      <c r="M778" s="16">
        <f t="shared" si="24"/>
        <v>2.3815274159415862</v>
      </c>
    </row>
    <row r="779" spans="1:13" x14ac:dyDescent="0.25">
      <c r="A779" s="2">
        <f t="shared" si="25"/>
        <v>774</v>
      </c>
      <c r="B779" s="2">
        <v>28003</v>
      </c>
      <c r="C779" s="2" t="s">
        <v>3285</v>
      </c>
      <c r="D779" s="14" t="s">
        <v>773</v>
      </c>
      <c r="E779" s="14">
        <v>0.11654470000000001</v>
      </c>
      <c r="F779" s="14">
        <v>0</v>
      </c>
      <c r="G779" s="14">
        <v>0.11654470000000001</v>
      </c>
      <c r="H779" s="16">
        <v>1.4649273</v>
      </c>
      <c r="I779" s="16">
        <v>1.4649273</v>
      </c>
      <c r="J779" s="3" t="s">
        <v>5011</v>
      </c>
      <c r="K779" s="16">
        <v>60.427472837699995</v>
      </c>
      <c r="L779" s="16">
        <v>6.9922443999999997</v>
      </c>
      <c r="M779" s="16">
        <f t="shared" si="24"/>
        <v>4.7730999347203094</v>
      </c>
    </row>
    <row r="780" spans="1:13" x14ac:dyDescent="0.25">
      <c r="A780" s="2">
        <f t="shared" si="25"/>
        <v>775</v>
      </c>
      <c r="B780" s="2">
        <v>28004</v>
      </c>
      <c r="C780" s="2" t="s">
        <v>3286</v>
      </c>
      <c r="D780" s="14" t="s">
        <v>774</v>
      </c>
      <c r="E780" s="14">
        <v>17.2183244</v>
      </c>
      <c r="F780" s="14">
        <v>0</v>
      </c>
      <c r="G780" s="14">
        <v>17.2183244</v>
      </c>
      <c r="H780" s="16">
        <v>1772.3107719999998</v>
      </c>
      <c r="I780" s="16">
        <v>1107.0310764999999</v>
      </c>
      <c r="J780" s="3" t="s">
        <v>5011</v>
      </c>
      <c r="K780" s="16">
        <v>19446.238622751502</v>
      </c>
      <c r="L780" s="16">
        <v>2564.0450138000001</v>
      </c>
      <c r="M780" s="16">
        <f t="shared" si="24"/>
        <v>1.446724273365755</v>
      </c>
    </row>
    <row r="781" spans="1:13" x14ac:dyDescent="0.25">
      <c r="A781" s="2">
        <f t="shared" si="25"/>
        <v>776</v>
      </c>
      <c r="B781" s="2">
        <v>28159</v>
      </c>
      <c r="C781" s="2" t="s">
        <v>3287</v>
      </c>
      <c r="D781" s="14" t="s">
        <v>775</v>
      </c>
      <c r="E781" s="14">
        <v>0</v>
      </c>
      <c r="F781" s="14">
        <v>0</v>
      </c>
      <c r="G781" s="14">
        <v>0</v>
      </c>
      <c r="H781" s="16">
        <v>0</v>
      </c>
      <c r="I781" s="16">
        <v>0</v>
      </c>
      <c r="J781" s="3" t="s">
        <v>5011</v>
      </c>
      <c r="K781" s="16">
        <v>0</v>
      </c>
      <c r="L781" s="16">
        <v>0</v>
      </c>
      <c r="M781" s="16">
        <v>0</v>
      </c>
    </row>
    <row r="782" spans="1:13" x14ac:dyDescent="0.25">
      <c r="A782" s="2">
        <f t="shared" si="25"/>
        <v>777</v>
      </c>
      <c r="B782" s="2">
        <v>28230</v>
      </c>
      <c r="C782" s="2" t="s">
        <v>3288</v>
      </c>
      <c r="D782" s="14" t="s">
        <v>776</v>
      </c>
      <c r="E782" s="14">
        <v>0</v>
      </c>
      <c r="F782" s="14">
        <v>0</v>
      </c>
      <c r="G782" s="14">
        <v>0</v>
      </c>
      <c r="H782" s="16">
        <v>7.9995999999999998E-2</v>
      </c>
      <c r="I782" s="16">
        <v>7.9995999999999998E-2</v>
      </c>
      <c r="J782" s="3" t="s">
        <v>5011</v>
      </c>
      <c r="K782" s="16">
        <v>6.9268145099999998E-2</v>
      </c>
      <c r="L782" s="16">
        <v>7.7489600000000006E-2</v>
      </c>
      <c r="M782" s="16">
        <f t="shared" si="24"/>
        <v>0.96866843342167119</v>
      </c>
    </row>
    <row r="783" spans="1:13" x14ac:dyDescent="0.25">
      <c r="A783" s="2">
        <f t="shared" si="25"/>
        <v>778</v>
      </c>
      <c r="B783" s="2">
        <v>28244</v>
      </c>
      <c r="C783" s="2" t="s">
        <v>3289</v>
      </c>
      <c r="D783" s="14" t="s">
        <v>777</v>
      </c>
      <c r="E783" s="14">
        <v>2.8970052999999996</v>
      </c>
      <c r="F783" s="14">
        <v>0</v>
      </c>
      <c r="G783" s="14">
        <v>2.8970052999999996</v>
      </c>
      <c r="H783" s="16">
        <v>316.15782339999998</v>
      </c>
      <c r="I783" s="16">
        <v>167.5941918</v>
      </c>
      <c r="J783" s="3" t="s">
        <v>5011</v>
      </c>
      <c r="K783" s="16">
        <v>3288.3300177027004</v>
      </c>
      <c r="L783" s="16">
        <v>462.27654469999999</v>
      </c>
      <c r="M783" s="16">
        <f t="shared" si="24"/>
        <v>1.4621701899659523</v>
      </c>
    </row>
    <row r="784" spans="1:13" x14ac:dyDescent="0.25">
      <c r="A784" s="2">
        <f t="shared" si="25"/>
        <v>779</v>
      </c>
      <c r="B784" s="2">
        <v>28283</v>
      </c>
      <c r="C784" s="2" t="s">
        <v>3290</v>
      </c>
      <c r="D784" s="14" t="s">
        <v>778</v>
      </c>
      <c r="E784" s="14">
        <v>2.3675253000000001</v>
      </c>
      <c r="F784" s="14">
        <v>0</v>
      </c>
      <c r="G784" s="14">
        <v>2.3675253000000001</v>
      </c>
      <c r="H784" s="16">
        <v>154.9018907</v>
      </c>
      <c r="I784" s="16">
        <v>103.62579460000001</v>
      </c>
      <c r="J784" s="3" t="s">
        <v>5011</v>
      </c>
      <c r="K784" s="16">
        <v>2207.7496597081999</v>
      </c>
      <c r="L784" s="16">
        <v>320.52307569999999</v>
      </c>
      <c r="M784" s="16">
        <f t="shared" si="24"/>
        <v>2.0692005388156312</v>
      </c>
    </row>
    <row r="785" spans="1:13" x14ac:dyDescent="0.25">
      <c r="A785" s="2">
        <f t="shared" si="25"/>
        <v>780</v>
      </c>
      <c r="B785" s="2">
        <v>28323</v>
      </c>
      <c r="C785" s="2" t="s">
        <v>3291</v>
      </c>
      <c r="D785" s="14" t="s">
        <v>779</v>
      </c>
      <c r="E785" s="14">
        <v>2.6578328000000004</v>
      </c>
      <c r="F785" s="14">
        <v>0</v>
      </c>
      <c r="G785" s="14">
        <v>2.6578328000000004</v>
      </c>
      <c r="H785" s="16">
        <v>1705.6057721000002</v>
      </c>
      <c r="I785" s="16">
        <v>1197.5662308999999</v>
      </c>
      <c r="J785" s="3" t="s">
        <v>5011</v>
      </c>
      <c r="K785" s="16">
        <v>7588.6779791233021</v>
      </c>
      <c r="L785" s="16">
        <v>1389.1964256000001</v>
      </c>
      <c r="M785" s="16">
        <f t="shared" si="24"/>
        <v>0.81448858131476298</v>
      </c>
    </row>
    <row r="786" spans="1:13" x14ac:dyDescent="0.25">
      <c r="A786" s="2">
        <f t="shared" si="25"/>
        <v>781</v>
      </c>
      <c r="B786" s="2">
        <v>28391</v>
      </c>
      <c r="C786" s="2" t="s">
        <v>3292</v>
      </c>
      <c r="D786" s="14" t="s">
        <v>780</v>
      </c>
      <c r="E786" s="14">
        <v>0</v>
      </c>
      <c r="F786" s="14">
        <v>0</v>
      </c>
      <c r="G786" s="14">
        <v>0</v>
      </c>
      <c r="H786" s="16">
        <v>0</v>
      </c>
      <c r="I786" s="16">
        <v>0</v>
      </c>
      <c r="J786" s="3" t="s">
        <v>5011</v>
      </c>
      <c r="K786" s="16">
        <v>0</v>
      </c>
      <c r="L786" s="16">
        <v>0</v>
      </c>
      <c r="M786" s="16">
        <v>0</v>
      </c>
    </row>
    <row r="787" spans="1:13" x14ac:dyDescent="0.25">
      <c r="A787" s="2">
        <f t="shared" si="25"/>
        <v>782</v>
      </c>
      <c r="B787" s="2">
        <v>28395</v>
      </c>
      <c r="C787" s="2" t="s">
        <v>3293</v>
      </c>
      <c r="D787" s="14" t="s">
        <v>781</v>
      </c>
      <c r="E787" s="14">
        <v>9.8959000000000019E-2</v>
      </c>
      <c r="F787" s="14">
        <v>0</v>
      </c>
      <c r="G787" s="14">
        <v>9.8959000000000019E-2</v>
      </c>
      <c r="H787" s="16">
        <v>8.6695700999999996</v>
      </c>
      <c r="I787" s="16">
        <v>8.2678948999999999</v>
      </c>
      <c r="J787" s="3" t="s">
        <v>5011</v>
      </c>
      <c r="K787" s="16">
        <v>120.41983492289998</v>
      </c>
      <c r="L787" s="16">
        <v>17.6251453</v>
      </c>
      <c r="M787" s="16">
        <f t="shared" si="24"/>
        <v>2.0329895365861335</v>
      </c>
    </row>
    <row r="788" spans="1:13" x14ac:dyDescent="0.25">
      <c r="A788" s="2">
        <f t="shared" si="25"/>
        <v>783</v>
      </c>
      <c r="B788" s="2">
        <v>28400</v>
      </c>
      <c r="C788" s="2" t="s">
        <v>3294</v>
      </c>
      <c r="D788" s="14" t="s">
        <v>782</v>
      </c>
      <c r="E788" s="14">
        <v>4.3036832</v>
      </c>
      <c r="F788" s="14">
        <v>0</v>
      </c>
      <c r="G788" s="14">
        <v>4.3036832</v>
      </c>
      <c r="H788" s="16">
        <v>319.4651083</v>
      </c>
      <c r="I788" s="16">
        <v>263.3235042</v>
      </c>
      <c r="J788" s="3" t="s">
        <v>5011</v>
      </c>
      <c r="K788" s="16">
        <v>3859.0675552992989</v>
      </c>
      <c r="L788" s="16">
        <v>587.65019740000002</v>
      </c>
      <c r="M788" s="16">
        <f t="shared" si="24"/>
        <v>1.8394816276717003</v>
      </c>
    </row>
    <row r="789" spans="1:13" x14ac:dyDescent="0.25">
      <c r="A789" s="2">
        <f t="shared" si="25"/>
        <v>784</v>
      </c>
      <c r="B789" s="2">
        <v>28457</v>
      </c>
      <c r="C789" s="2" t="s">
        <v>3295</v>
      </c>
      <c r="D789" s="14" t="s">
        <v>783</v>
      </c>
      <c r="E789" s="14">
        <v>0</v>
      </c>
      <c r="F789" s="14">
        <v>0</v>
      </c>
      <c r="G789" s="14">
        <v>0</v>
      </c>
      <c r="H789" s="16">
        <v>0</v>
      </c>
      <c r="I789" s="16">
        <v>0</v>
      </c>
      <c r="J789" s="3" t="s">
        <v>5011</v>
      </c>
      <c r="K789" s="16">
        <v>0</v>
      </c>
      <c r="L789" s="16">
        <v>0</v>
      </c>
      <c r="M789" s="16">
        <v>0</v>
      </c>
    </row>
    <row r="790" spans="1:13" x14ac:dyDescent="0.25">
      <c r="A790" s="2">
        <f t="shared" si="25"/>
        <v>785</v>
      </c>
      <c r="B790" s="2">
        <v>28543</v>
      </c>
      <c r="C790" s="2" t="s">
        <v>3296</v>
      </c>
      <c r="D790" s="14" t="s">
        <v>784</v>
      </c>
      <c r="E790" s="14">
        <v>4.5638565</v>
      </c>
      <c r="F790" s="14">
        <v>0</v>
      </c>
      <c r="G790" s="14">
        <v>4.5638565</v>
      </c>
      <c r="H790" s="16">
        <v>99.721670700000004</v>
      </c>
      <c r="I790" s="16">
        <v>44.6730467</v>
      </c>
      <c r="J790" s="3" t="s">
        <v>5011</v>
      </c>
      <c r="K790" s="16">
        <v>3731.6111694734004</v>
      </c>
      <c r="L790" s="16">
        <v>438.58800759999997</v>
      </c>
      <c r="M790" s="16">
        <f t="shared" si="24"/>
        <v>4.3981213363285532</v>
      </c>
    </row>
    <row r="791" spans="1:13" x14ac:dyDescent="0.25">
      <c r="A791" s="2">
        <f t="shared" si="25"/>
        <v>786</v>
      </c>
      <c r="B791" s="2">
        <v>28591</v>
      </c>
      <c r="C791" s="2" t="s">
        <v>3297</v>
      </c>
      <c r="D791" s="14" t="s">
        <v>785</v>
      </c>
      <c r="E791" s="14">
        <v>3.5899999999999998E-5</v>
      </c>
      <c r="F791" s="14">
        <v>0</v>
      </c>
      <c r="G791" s="14">
        <v>3.5899999999999998E-5</v>
      </c>
      <c r="H791" s="16">
        <v>0.39998</v>
      </c>
      <c r="I791" s="16">
        <v>0.39998</v>
      </c>
      <c r="J791" s="3" t="s">
        <v>5011</v>
      </c>
      <c r="K791" s="16">
        <v>0.32338059339999997</v>
      </c>
      <c r="L791" s="16">
        <v>0.40867510000000001</v>
      </c>
      <c r="M791" s="16">
        <f t="shared" si="24"/>
        <v>1.0217388369418472</v>
      </c>
    </row>
    <row r="792" spans="1:13" x14ac:dyDescent="0.25">
      <c r="A792" s="2">
        <f t="shared" si="25"/>
        <v>787</v>
      </c>
      <c r="B792" s="2">
        <v>28592</v>
      </c>
      <c r="C792" s="2" t="s">
        <v>3298</v>
      </c>
      <c r="D792" s="14" t="s">
        <v>786</v>
      </c>
      <c r="E792" s="14">
        <v>0</v>
      </c>
      <c r="F792" s="14">
        <v>0</v>
      </c>
      <c r="G792" s="14">
        <v>0</v>
      </c>
      <c r="H792" s="16">
        <v>0</v>
      </c>
      <c r="I792" s="16">
        <v>0</v>
      </c>
      <c r="J792" s="3" t="s">
        <v>5011</v>
      </c>
      <c r="K792" s="16">
        <v>0</v>
      </c>
      <c r="L792" s="16">
        <v>0</v>
      </c>
      <c r="M792" s="16">
        <v>0</v>
      </c>
    </row>
    <row r="793" spans="1:13" x14ac:dyDescent="0.25">
      <c r="A793" s="2">
        <f t="shared" si="25"/>
        <v>788</v>
      </c>
      <c r="B793" s="2">
        <v>28601</v>
      </c>
      <c r="C793" s="2" t="s">
        <v>3299</v>
      </c>
      <c r="D793" s="14" t="s">
        <v>787</v>
      </c>
      <c r="E793" s="14">
        <v>0.77685499999999996</v>
      </c>
      <c r="F793" s="14">
        <v>0</v>
      </c>
      <c r="G793" s="14">
        <v>0.77685499999999996</v>
      </c>
      <c r="H793" s="16">
        <v>62.496875000000003</v>
      </c>
      <c r="I793" s="16">
        <v>62.496875000000003</v>
      </c>
      <c r="J793" s="3" t="s">
        <v>5011</v>
      </c>
      <c r="K793" s="16">
        <v>785.29442150859984</v>
      </c>
      <c r="L793" s="16">
        <v>107.8279357</v>
      </c>
      <c r="M793" s="16">
        <f t="shared" si="24"/>
        <v>1.7253332378618931</v>
      </c>
    </row>
    <row r="794" spans="1:13" x14ac:dyDescent="0.25">
      <c r="A794" s="2">
        <f t="shared" si="25"/>
        <v>789</v>
      </c>
      <c r="B794" s="2">
        <v>28608</v>
      </c>
      <c r="C794" s="2" t="s">
        <v>3300</v>
      </c>
      <c r="D794" s="14" t="s">
        <v>788</v>
      </c>
      <c r="E794" s="14">
        <v>0</v>
      </c>
      <c r="F794" s="14">
        <v>0</v>
      </c>
      <c r="G794" s="14">
        <v>0</v>
      </c>
      <c r="H794" s="16">
        <v>0</v>
      </c>
      <c r="I794" s="16">
        <v>0</v>
      </c>
      <c r="J794" s="3" t="s">
        <v>5011</v>
      </c>
      <c r="K794" s="16">
        <v>0</v>
      </c>
      <c r="L794" s="16">
        <v>0</v>
      </c>
      <c r="M794" s="16">
        <v>0</v>
      </c>
    </row>
    <row r="795" spans="1:13" x14ac:dyDescent="0.25">
      <c r="A795" s="2">
        <f t="shared" si="25"/>
        <v>790</v>
      </c>
      <c r="B795" s="2">
        <v>28730</v>
      </c>
      <c r="C795" s="2" t="s">
        <v>3301</v>
      </c>
      <c r="D795" s="14" t="s">
        <v>789</v>
      </c>
      <c r="E795" s="14">
        <v>9.7035500000000011E-2</v>
      </c>
      <c r="F795" s="14">
        <v>0</v>
      </c>
      <c r="G795" s="14">
        <v>9.7035500000000011E-2</v>
      </c>
      <c r="H795" s="16">
        <v>30.348862400000002</v>
      </c>
      <c r="I795" s="16">
        <v>29.293486500000004</v>
      </c>
      <c r="J795" s="3" t="s">
        <v>5011</v>
      </c>
      <c r="K795" s="16">
        <v>119.7137795469</v>
      </c>
      <c r="L795" s="16">
        <v>36.165022200000003</v>
      </c>
      <c r="M795" s="16">
        <f t="shared" si="24"/>
        <v>1.1916434205454765</v>
      </c>
    </row>
    <row r="796" spans="1:13" x14ac:dyDescent="0.25">
      <c r="A796" s="2">
        <f t="shared" si="25"/>
        <v>791</v>
      </c>
      <c r="B796" s="2">
        <v>28786</v>
      </c>
      <c r="C796" s="2" t="s">
        <v>3302</v>
      </c>
      <c r="D796" s="14" t="s">
        <v>790</v>
      </c>
      <c r="E796" s="14">
        <v>0.23689769999999996</v>
      </c>
      <c r="F796" s="14">
        <v>0</v>
      </c>
      <c r="G796" s="14">
        <v>0.23689769999999996</v>
      </c>
      <c r="H796" s="16">
        <v>2.4348814999999999</v>
      </c>
      <c r="I796" s="16">
        <v>2.4348814999999999</v>
      </c>
      <c r="J796" s="3" t="s">
        <v>5011</v>
      </c>
      <c r="K796" s="16">
        <v>172.79871261379998</v>
      </c>
      <c r="L796" s="16">
        <v>19.942546699999998</v>
      </c>
      <c r="M796" s="16">
        <f t="shared" si="24"/>
        <v>8.1903561631233384</v>
      </c>
    </row>
    <row r="797" spans="1:13" x14ac:dyDescent="0.25">
      <c r="A797" s="2">
        <f t="shared" si="25"/>
        <v>792</v>
      </c>
      <c r="B797" s="2">
        <v>28883</v>
      </c>
      <c r="C797" s="2" t="s">
        <v>3303</v>
      </c>
      <c r="D797" s="14" t="s">
        <v>791</v>
      </c>
      <c r="E797" s="14">
        <v>0</v>
      </c>
      <c r="F797" s="14">
        <v>0</v>
      </c>
      <c r="G797" s="14">
        <v>0</v>
      </c>
      <c r="H797" s="16">
        <v>0</v>
      </c>
      <c r="I797" s="16">
        <v>0</v>
      </c>
      <c r="J797" s="3" t="s">
        <v>5011</v>
      </c>
      <c r="K797" s="16">
        <v>0</v>
      </c>
      <c r="L797" s="16">
        <v>0</v>
      </c>
      <c r="M797" s="16">
        <v>0</v>
      </c>
    </row>
    <row r="798" spans="1:13" x14ac:dyDescent="0.25">
      <c r="A798" s="2">
        <f t="shared" si="25"/>
        <v>793</v>
      </c>
      <c r="B798" s="2">
        <v>28905</v>
      </c>
      <c r="C798" s="2" t="s">
        <v>3304</v>
      </c>
      <c r="D798" s="14" t="s">
        <v>792</v>
      </c>
      <c r="E798" s="14">
        <v>0.62073429999999996</v>
      </c>
      <c r="F798" s="14">
        <v>0</v>
      </c>
      <c r="G798" s="14">
        <v>0.62073429999999996</v>
      </c>
      <c r="H798" s="16">
        <v>47.332640199999993</v>
      </c>
      <c r="I798" s="16">
        <v>44.558884499999991</v>
      </c>
      <c r="J798" s="3" t="s">
        <v>5011</v>
      </c>
      <c r="K798" s="16">
        <v>602.43956833419998</v>
      </c>
      <c r="L798" s="16">
        <v>86.341259100000002</v>
      </c>
      <c r="M798" s="16">
        <f t="shared" si="24"/>
        <v>1.8241378198041025</v>
      </c>
    </row>
    <row r="799" spans="1:13" x14ac:dyDescent="0.25">
      <c r="A799" s="2">
        <f t="shared" si="25"/>
        <v>794</v>
      </c>
      <c r="B799" s="2">
        <v>28943</v>
      </c>
      <c r="C799" s="2" t="s">
        <v>3305</v>
      </c>
      <c r="D799" s="14" t="s">
        <v>793</v>
      </c>
      <c r="E799" s="14">
        <v>3.6205042999999999</v>
      </c>
      <c r="F799" s="14">
        <v>0</v>
      </c>
      <c r="G799" s="14">
        <v>3.6205042999999999</v>
      </c>
      <c r="H799" s="16">
        <v>769.71784330000003</v>
      </c>
      <c r="I799" s="16">
        <v>652.86036549999994</v>
      </c>
      <c r="J799" s="3" t="s">
        <v>5011</v>
      </c>
      <c r="K799" s="16">
        <v>3711.3807907778</v>
      </c>
      <c r="L799" s="16">
        <v>822.3059078</v>
      </c>
      <c r="M799" s="16">
        <f t="shared" si="24"/>
        <v>1.0683212231050017</v>
      </c>
    </row>
    <row r="800" spans="1:13" x14ac:dyDescent="0.25">
      <c r="A800" s="2">
        <f t="shared" si="25"/>
        <v>795</v>
      </c>
      <c r="B800" s="2">
        <v>28958</v>
      </c>
      <c r="C800" s="2" t="s">
        <v>3306</v>
      </c>
      <c r="D800" s="14" t="s">
        <v>794</v>
      </c>
      <c r="E800" s="14">
        <v>7.0966630000000004</v>
      </c>
      <c r="F800" s="14">
        <v>0</v>
      </c>
      <c r="G800" s="14">
        <v>7.0966630000000004</v>
      </c>
      <c r="H800" s="16">
        <v>322.86652129999999</v>
      </c>
      <c r="I800" s="16">
        <v>265.47068669999999</v>
      </c>
      <c r="J800" s="3" t="s">
        <v>5011</v>
      </c>
      <c r="K800" s="16">
        <v>6537.2889893861002</v>
      </c>
      <c r="L800" s="16">
        <v>819.5073670999999</v>
      </c>
      <c r="M800" s="16">
        <f t="shared" si="24"/>
        <v>2.5382234237241739</v>
      </c>
    </row>
    <row r="801" spans="1:13" x14ac:dyDescent="0.25">
      <c r="A801" s="2">
        <f t="shared" si="25"/>
        <v>796</v>
      </c>
      <c r="B801" s="2">
        <v>28985</v>
      </c>
      <c r="C801" s="2" t="s">
        <v>3307</v>
      </c>
      <c r="D801" s="14" t="s">
        <v>795</v>
      </c>
      <c r="E801" s="14">
        <v>0</v>
      </c>
      <c r="F801" s="14">
        <v>0</v>
      </c>
      <c r="G801" s="14">
        <v>0</v>
      </c>
      <c r="H801" s="16">
        <v>0</v>
      </c>
      <c r="I801" s="16">
        <v>0</v>
      </c>
      <c r="J801" s="3" t="s">
        <v>5011</v>
      </c>
      <c r="K801" s="16">
        <v>0</v>
      </c>
      <c r="L801" s="16">
        <v>0</v>
      </c>
      <c r="M801" s="16">
        <v>0</v>
      </c>
    </row>
    <row r="802" spans="1:13" x14ac:dyDescent="0.25">
      <c r="A802" s="2">
        <f t="shared" si="25"/>
        <v>797</v>
      </c>
      <c r="B802" s="2">
        <v>29043</v>
      </c>
      <c r="C802" s="2" t="s">
        <v>3308</v>
      </c>
      <c r="D802" s="14" t="s">
        <v>796</v>
      </c>
      <c r="E802" s="14">
        <v>0</v>
      </c>
      <c r="F802" s="14">
        <v>0</v>
      </c>
      <c r="G802" s="14">
        <v>0</v>
      </c>
      <c r="H802" s="16">
        <v>0</v>
      </c>
      <c r="I802" s="16">
        <v>0</v>
      </c>
      <c r="J802" s="3" t="s">
        <v>5011</v>
      </c>
      <c r="K802" s="16">
        <v>0</v>
      </c>
      <c r="L802" s="16">
        <v>0</v>
      </c>
      <c r="M802" s="16">
        <v>0</v>
      </c>
    </row>
    <row r="803" spans="1:13" x14ac:dyDescent="0.25">
      <c r="A803" s="2">
        <f t="shared" si="25"/>
        <v>798</v>
      </c>
      <c r="B803" s="2">
        <v>29053</v>
      </c>
      <c r="C803" s="2" t="s">
        <v>3309</v>
      </c>
      <c r="D803" s="14" t="s">
        <v>797</v>
      </c>
      <c r="E803" s="14">
        <v>1.1009999999999999E-4</v>
      </c>
      <c r="F803" s="14">
        <v>0</v>
      </c>
      <c r="G803" s="14">
        <v>1.1009999999999999E-4</v>
      </c>
      <c r="H803" s="16">
        <v>0.65996699999999997</v>
      </c>
      <c r="I803" s="16">
        <v>0.65996699999999997</v>
      </c>
      <c r="J803" s="3" t="s">
        <v>5011</v>
      </c>
      <c r="K803" s="16">
        <v>0.78461847439999999</v>
      </c>
      <c r="L803" s="16">
        <v>0.64997559999999999</v>
      </c>
      <c r="M803" s="16">
        <f t="shared" si="24"/>
        <v>0.98486075818942465</v>
      </c>
    </row>
    <row r="804" spans="1:13" x14ac:dyDescent="0.25">
      <c r="A804" s="2">
        <f t="shared" si="25"/>
        <v>799</v>
      </c>
      <c r="B804" s="2">
        <v>29224</v>
      </c>
      <c r="C804" s="2" t="s">
        <v>3310</v>
      </c>
      <c r="D804" s="14" t="s">
        <v>798</v>
      </c>
      <c r="E804" s="14">
        <v>9.0920100000000004E-2</v>
      </c>
      <c r="F804" s="14">
        <v>0</v>
      </c>
      <c r="G804" s="14">
        <v>9.0920100000000004E-2</v>
      </c>
      <c r="H804" s="16">
        <v>4.9797516000000002</v>
      </c>
      <c r="I804" s="16">
        <v>4.3229301999999992</v>
      </c>
      <c r="J804" s="3" t="s">
        <v>5011</v>
      </c>
      <c r="K804" s="16">
        <v>324.54823274360001</v>
      </c>
      <c r="L804" s="16">
        <v>38.664708599999997</v>
      </c>
      <c r="M804" s="16">
        <f t="shared" si="24"/>
        <v>7.7643849946250327</v>
      </c>
    </row>
    <row r="805" spans="1:13" x14ac:dyDescent="0.25">
      <c r="A805" s="2">
        <f t="shared" si="25"/>
        <v>800</v>
      </c>
      <c r="B805" s="2">
        <v>29235</v>
      </c>
      <c r="C805" s="2" t="s">
        <v>3311</v>
      </c>
      <c r="D805" s="14" t="s">
        <v>799</v>
      </c>
      <c r="E805" s="14">
        <v>1.0027E-3</v>
      </c>
      <c r="F805" s="14">
        <v>0</v>
      </c>
      <c r="G805" s="14">
        <v>1.0027E-3</v>
      </c>
      <c r="H805" s="16">
        <v>5.9987000999999998</v>
      </c>
      <c r="I805" s="16">
        <v>5.9987000999999998</v>
      </c>
      <c r="J805" s="3" t="s">
        <v>5011</v>
      </c>
      <c r="K805" s="16">
        <v>7.2188026955</v>
      </c>
      <c r="L805" s="16">
        <v>6.0207754000000007</v>
      </c>
      <c r="M805" s="16">
        <f t="shared" si="24"/>
        <v>1.0036800139416873</v>
      </c>
    </row>
    <row r="806" spans="1:13" x14ac:dyDescent="0.25">
      <c r="A806" s="2">
        <f t="shared" si="25"/>
        <v>801</v>
      </c>
      <c r="B806" s="2">
        <v>29236</v>
      </c>
      <c r="C806" s="2" t="s">
        <v>3312</v>
      </c>
      <c r="D806" s="14" t="s">
        <v>800</v>
      </c>
      <c r="E806" s="14">
        <v>0.34385369999999993</v>
      </c>
      <c r="F806" s="14">
        <v>0</v>
      </c>
      <c r="G806" s="14">
        <v>0.34385369999999993</v>
      </c>
      <c r="H806" s="16">
        <v>50.717467999999997</v>
      </c>
      <c r="I806" s="16">
        <v>50.191514299999994</v>
      </c>
      <c r="J806" s="3" t="s">
        <v>5011</v>
      </c>
      <c r="K806" s="16">
        <v>453.11096551369997</v>
      </c>
      <c r="L806" s="16">
        <v>78.296307099999993</v>
      </c>
      <c r="M806" s="16">
        <f t="shared" si="24"/>
        <v>1.5437739734956799</v>
      </c>
    </row>
    <row r="807" spans="1:13" x14ac:dyDescent="0.25">
      <c r="A807" s="2">
        <f t="shared" si="25"/>
        <v>802</v>
      </c>
      <c r="B807" s="2">
        <v>29261</v>
      </c>
      <c r="C807" s="2" t="s">
        <v>3313</v>
      </c>
      <c r="D807" s="14" t="s">
        <v>801</v>
      </c>
      <c r="E807" s="14">
        <v>6.7214499999999996E-2</v>
      </c>
      <c r="F807" s="14">
        <v>0</v>
      </c>
      <c r="G807" s="14">
        <v>6.7214499999999996E-2</v>
      </c>
      <c r="H807" s="16">
        <v>11.044448899999999</v>
      </c>
      <c r="I807" s="16">
        <v>11.044448899999999</v>
      </c>
      <c r="J807" s="3" t="s">
        <v>5011</v>
      </c>
      <c r="K807" s="16">
        <v>136.65922918740003</v>
      </c>
      <c r="L807" s="16">
        <v>21.623253800000001</v>
      </c>
      <c r="M807" s="16">
        <f t="shared" si="24"/>
        <v>1.9578390914552561</v>
      </c>
    </row>
    <row r="808" spans="1:13" x14ac:dyDescent="0.25">
      <c r="A808" s="2">
        <f t="shared" si="25"/>
        <v>803</v>
      </c>
      <c r="B808" s="2">
        <v>29282</v>
      </c>
      <c r="C808" s="2" t="s">
        <v>3314</v>
      </c>
      <c r="D808" s="14" t="s">
        <v>802</v>
      </c>
      <c r="E808" s="14">
        <v>0</v>
      </c>
      <c r="F808" s="14">
        <v>0</v>
      </c>
      <c r="G808" s="14">
        <v>0</v>
      </c>
      <c r="H808" s="16">
        <v>0</v>
      </c>
      <c r="I808" s="16">
        <v>0</v>
      </c>
      <c r="J808" s="3" t="s">
        <v>5011</v>
      </c>
      <c r="K808" s="16">
        <v>0</v>
      </c>
      <c r="L808" s="16">
        <v>0</v>
      </c>
      <c r="M808" s="16">
        <v>0</v>
      </c>
    </row>
    <row r="809" spans="1:13" x14ac:dyDescent="0.25">
      <c r="A809" s="2">
        <f t="shared" si="25"/>
        <v>804</v>
      </c>
      <c r="B809" s="2">
        <v>29333</v>
      </c>
      <c r="C809" s="2" t="s">
        <v>3315</v>
      </c>
      <c r="D809" s="14" t="s">
        <v>803</v>
      </c>
      <c r="E809" s="14">
        <v>8.2462300000000002E-2</v>
      </c>
      <c r="F809" s="14">
        <v>0</v>
      </c>
      <c r="G809" s="14">
        <v>8.2462300000000002E-2</v>
      </c>
      <c r="H809" s="16">
        <v>37.383130899999998</v>
      </c>
      <c r="I809" s="16">
        <v>34.061218599999997</v>
      </c>
      <c r="J809" s="3" t="s">
        <v>5011</v>
      </c>
      <c r="K809" s="16">
        <v>197.8774195325</v>
      </c>
      <c r="L809" s="16">
        <v>43.758810700000005</v>
      </c>
      <c r="M809" s="16">
        <f t="shared" si="24"/>
        <v>1.170549647568444</v>
      </c>
    </row>
    <row r="810" spans="1:13" x14ac:dyDescent="0.25">
      <c r="A810" s="2">
        <f t="shared" si="25"/>
        <v>805</v>
      </c>
      <c r="B810" s="2">
        <v>29345</v>
      </c>
      <c r="C810" s="2" t="s">
        <v>3316</v>
      </c>
      <c r="D810" s="14" t="s">
        <v>804</v>
      </c>
      <c r="E810" s="14">
        <v>20.9636548</v>
      </c>
      <c r="F810" s="14">
        <v>0</v>
      </c>
      <c r="G810" s="14">
        <v>20.9636548</v>
      </c>
      <c r="H810" s="16">
        <v>1739.6834050999998</v>
      </c>
      <c r="I810" s="16">
        <v>1496.2370481</v>
      </c>
      <c r="J810" s="3" t="s">
        <v>5011</v>
      </c>
      <c r="K810" s="16">
        <v>20815.172855605699</v>
      </c>
      <c r="L810" s="16">
        <v>3172.5558583999996</v>
      </c>
      <c r="M810" s="16">
        <f t="shared" si="24"/>
        <v>1.8236397778466111</v>
      </c>
    </row>
    <row r="811" spans="1:13" x14ac:dyDescent="0.25">
      <c r="A811" s="2">
        <f t="shared" si="25"/>
        <v>806</v>
      </c>
      <c r="B811" s="2">
        <v>29380</v>
      </c>
      <c r="C811" s="2" t="s">
        <v>3317</v>
      </c>
      <c r="D811" s="14" t="s">
        <v>805</v>
      </c>
      <c r="E811" s="14">
        <v>0.42099079999999994</v>
      </c>
      <c r="F811" s="14">
        <v>0</v>
      </c>
      <c r="G811" s="14">
        <v>0.42099079999999994</v>
      </c>
      <c r="H811" s="16">
        <v>51.5759282</v>
      </c>
      <c r="I811" s="16">
        <v>47.539737700000003</v>
      </c>
      <c r="J811" s="3" t="s">
        <v>5011</v>
      </c>
      <c r="K811" s="16">
        <v>474.13354897829993</v>
      </c>
      <c r="L811" s="16">
        <v>81.605671200000003</v>
      </c>
      <c r="M811" s="16">
        <f t="shared" si="24"/>
        <v>1.5822433846183306</v>
      </c>
    </row>
    <row r="812" spans="1:13" x14ac:dyDescent="0.25">
      <c r="A812" s="2">
        <f t="shared" si="25"/>
        <v>807</v>
      </c>
      <c r="B812" s="2">
        <v>29460</v>
      </c>
      <c r="C812" s="2" t="s">
        <v>3318</v>
      </c>
      <c r="D812" s="14" t="s">
        <v>806</v>
      </c>
      <c r="E812" s="14">
        <v>0</v>
      </c>
      <c r="F812" s="14">
        <v>0</v>
      </c>
      <c r="G812" s="14">
        <v>0</v>
      </c>
      <c r="H812" s="16">
        <v>0</v>
      </c>
      <c r="I812" s="16">
        <v>0</v>
      </c>
      <c r="J812" s="3" t="s">
        <v>5011</v>
      </c>
      <c r="K812" s="16">
        <v>0</v>
      </c>
      <c r="L812" s="16">
        <v>0</v>
      </c>
      <c r="M812" s="16">
        <v>0</v>
      </c>
    </row>
    <row r="813" spans="1:13" x14ac:dyDescent="0.25">
      <c r="A813" s="2">
        <f t="shared" si="25"/>
        <v>808</v>
      </c>
      <c r="B813" s="2">
        <v>29517</v>
      </c>
      <c r="C813" s="2" t="s">
        <v>3319</v>
      </c>
      <c r="D813" s="14" t="s">
        <v>807</v>
      </c>
      <c r="E813" s="14">
        <v>0</v>
      </c>
      <c r="F813" s="14">
        <v>0</v>
      </c>
      <c r="G813" s="14">
        <v>0</v>
      </c>
      <c r="H813" s="16">
        <v>0.19999</v>
      </c>
      <c r="I813" s="16">
        <v>0.19999</v>
      </c>
      <c r="J813" s="3" t="s">
        <v>5011</v>
      </c>
      <c r="K813" s="16">
        <v>8.8680067123999997</v>
      </c>
      <c r="L813" s="16">
        <v>0.97142910000000005</v>
      </c>
      <c r="M813" s="16">
        <f t="shared" si="24"/>
        <v>4.8573883694184712</v>
      </c>
    </row>
    <row r="814" spans="1:13" x14ac:dyDescent="0.25">
      <c r="A814" s="2">
        <f t="shared" si="25"/>
        <v>809</v>
      </c>
      <c r="B814" s="2">
        <v>29657</v>
      </c>
      <c r="C814" s="2" t="s">
        <v>3320</v>
      </c>
      <c r="D814" s="14" t="s">
        <v>808</v>
      </c>
      <c r="E814" s="14">
        <v>0</v>
      </c>
      <c r="F814" s="14">
        <v>0</v>
      </c>
      <c r="G814" s="14">
        <v>0</v>
      </c>
      <c r="H814" s="16">
        <v>0</v>
      </c>
      <c r="I814" s="16">
        <v>0</v>
      </c>
      <c r="J814" s="3" t="s">
        <v>5011</v>
      </c>
      <c r="K814" s="16">
        <v>0</v>
      </c>
      <c r="L814" s="16">
        <v>0</v>
      </c>
      <c r="M814" s="16">
        <v>0</v>
      </c>
    </row>
    <row r="815" spans="1:13" x14ac:dyDescent="0.25">
      <c r="A815" s="2">
        <f t="shared" si="25"/>
        <v>810</v>
      </c>
      <c r="B815" s="2">
        <v>29696</v>
      </c>
      <c r="C815" s="2" t="s">
        <v>3321</v>
      </c>
      <c r="D815" s="14" t="s">
        <v>809</v>
      </c>
      <c r="E815" s="14">
        <v>25.967200999999996</v>
      </c>
      <c r="F815" s="14">
        <v>0</v>
      </c>
      <c r="G815" s="14">
        <v>25.967200999999996</v>
      </c>
      <c r="H815" s="16">
        <v>40362.986343000004</v>
      </c>
      <c r="I815" s="16">
        <v>1210.4819209000016</v>
      </c>
      <c r="J815" s="3" t="s">
        <v>5011</v>
      </c>
      <c r="K815" s="16">
        <v>30402.063668670198</v>
      </c>
      <c r="L815" s="16">
        <v>2450.5919647000001</v>
      </c>
      <c r="M815" s="16">
        <f t="shared" si="24"/>
        <v>6.0713841732996467E-2</v>
      </c>
    </row>
    <row r="816" spans="1:13" x14ac:dyDescent="0.25">
      <c r="A816" s="2">
        <f t="shared" si="25"/>
        <v>811</v>
      </c>
      <c r="B816" s="2">
        <v>29704</v>
      </c>
      <c r="C816" s="2" t="s">
        <v>3322</v>
      </c>
      <c r="D816" s="14" t="s">
        <v>810</v>
      </c>
      <c r="E816" s="14">
        <v>0</v>
      </c>
      <c r="F816" s="14">
        <v>0</v>
      </c>
      <c r="G816" s="14">
        <v>0</v>
      </c>
      <c r="H816" s="16">
        <v>0</v>
      </c>
      <c r="I816" s="16">
        <v>0</v>
      </c>
      <c r="J816" s="3" t="s">
        <v>5011</v>
      </c>
      <c r="K816" s="16">
        <v>0</v>
      </c>
      <c r="L816" s="16">
        <v>0</v>
      </c>
      <c r="M816" s="16">
        <v>0</v>
      </c>
    </row>
    <row r="817" spans="1:13" x14ac:dyDescent="0.25">
      <c r="A817" s="2">
        <f t="shared" si="25"/>
        <v>812</v>
      </c>
      <c r="B817" s="2">
        <v>29711</v>
      </c>
      <c r="C817" s="2" t="s">
        <v>3323</v>
      </c>
      <c r="D817" s="14" t="s">
        <v>811</v>
      </c>
      <c r="E817" s="14">
        <v>0</v>
      </c>
      <c r="F817" s="14">
        <v>0</v>
      </c>
      <c r="G817" s="14">
        <v>0</v>
      </c>
      <c r="H817" s="16">
        <v>0</v>
      </c>
      <c r="I817" s="16">
        <v>0</v>
      </c>
      <c r="J817" s="3" t="s">
        <v>5011</v>
      </c>
      <c r="K817" s="16">
        <v>0</v>
      </c>
      <c r="L817" s="16">
        <v>0</v>
      </c>
      <c r="M817" s="16">
        <v>0</v>
      </c>
    </row>
    <row r="818" spans="1:13" x14ac:dyDescent="0.25">
      <c r="A818" s="2">
        <f t="shared" si="25"/>
        <v>813</v>
      </c>
      <c r="B818" s="2">
        <v>29727</v>
      </c>
      <c r="C818" s="2" t="s">
        <v>3324</v>
      </c>
      <c r="D818" s="14" t="s">
        <v>812</v>
      </c>
      <c r="E818" s="14">
        <v>1.2266E-3</v>
      </c>
      <c r="F818" s="14">
        <v>0</v>
      </c>
      <c r="G818" s="14">
        <v>1.2266E-3</v>
      </c>
      <c r="H818" s="16">
        <v>0.44997749999999997</v>
      </c>
      <c r="I818" s="16">
        <v>0.44997749999999997</v>
      </c>
      <c r="J818" s="3" t="s">
        <v>5011</v>
      </c>
      <c r="K818" s="16">
        <v>2.3999566823</v>
      </c>
      <c r="L818" s="16">
        <v>0.54789559999999993</v>
      </c>
      <c r="M818" s="16">
        <f t="shared" si="24"/>
        <v>1.2176066581106832</v>
      </c>
    </row>
    <row r="819" spans="1:13" x14ac:dyDescent="0.25">
      <c r="A819" s="2">
        <f t="shared" si="25"/>
        <v>814</v>
      </c>
      <c r="B819" s="2">
        <v>29800</v>
      </c>
      <c r="C819" s="2" t="s">
        <v>3325</v>
      </c>
      <c r="D819" s="14" t="s">
        <v>813</v>
      </c>
      <c r="E819" s="14">
        <v>1.5093844999999999</v>
      </c>
      <c r="F819" s="14">
        <v>0</v>
      </c>
      <c r="G819" s="14">
        <v>1.5093844999999999</v>
      </c>
      <c r="H819" s="16">
        <v>98.702489600000007</v>
      </c>
      <c r="I819" s="16">
        <v>96.256124100000008</v>
      </c>
      <c r="J819" s="3" t="s">
        <v>5011</v>
      </c>
      <c r="K819" s="16">
        <v>1057.1303841854999</v>
      </c>
      <c r="L819" s="16">
        <v>164.93829940000001</v>
      </c>
      <c r="M819" s="16">
        <f t="shared" si="24"/>
        <v>1.6710652392703171</v>
      </c>
    </row>
    <row r="820" spans="1:13" x14ac:dyDescent="0.25">
      <c r="A820" s="2">
        <f t="shared" si="25"/>
        <v>815</v>
      </c>
      <c r="B820" s="2">
        <v>29808</v>
      </c>
      <c r="C820" s="2" t="s">
        <v>3326</v>
      </c>
      <c r="D820" s="14" t="s">
        <v>814</v>
      </c>
      <c r="E820" s="14">
        <v>0</v>
      </c>
      <c r="F820" s="14">
        <v>0</v>
      </c>
      <c r="G820" s="14">
        <v>0</v>
      </c>
      <c r="H820" s="16">
        <v>0</v>
      </c>
      <c r="I820" s="16">
        <v>0</v>
      </c>
      <c r="J820" s="3" t="s">
        <v>5011</v>
      </c>
      <c r="K820" s="16">
        <v>0</v>
      </c>
      <c r="L820" s="16">
        <v>0</v>
      </c>
      <c r="M820" s="16">
        <v>0</v>
      </c>
    </row>
    <row r="821" spans="1:13" x14ac:dyDescent="0.25">
      <c r="A821" s="2">
        <f t="shared" si="25"/>
        <v>816</v>
      </c>
      <c r="B821" s="2">
        <v>29819</v>
      </c>
      <c r="C821" s="2" t="s">
        <v>3327</v>
      </c>
      <c r="D821" s="14" t="s">
        <v>815</v>
      </c>
      <c r="E821" s="14">
        <v>60.449369900000001</v>
      </c>
      <c r="F821" s="14">
        <v>0</v>
      </c>
      <c r="G821" s="14">
        <v>60.449369900000001</v>
      </c>
      <c r="H821" s="16">
        <v>19001.513243199999</v>
      </c>
      <c r="I821" s="16">
        <v>12406.320544899998</v>
      </c>
      <c r="J821" s="3" t="s">
        <v>5011</v>
      </c>
      <c r="K821" s="16">
        <v>97345.616643292917</v>
      </c>
      <c r="L821" s="16">
        <v>17189.944170899998</v>
      </c>
      <c r="M821" s="16">
        <f t="shared" si="24"/>
        <v>0.90466185250017916</v>
      </c>
    </row>
    <row r="822" spans="1:13" x14ac:dyDescent="0.25">
      <c r="A822" s="2">
        <f t="shared" si="25"/>
        <v>817</v>
      </c>
      <c r="B822" s="2">
        <v>29860</v>
      </c>
      <c r="C822" s="2" t="s">
        <v>3328</v>
      </c>
      <c r="D822" s="14" t="s">
        <v>816</v>
      </c>
      <c r="E822" s="14">
        <v>1.9132487999999999</v>
      </c>
      <c r="F822" s="14">
        <v>0</v>
      </c>
      <c r="G822" s="14">
        <v>1.9132487999999999</v>
      </c>
      <c r="H822" s="16">
        <v>99.117672200000001</v>
      </c>
      <c r="I822" s="16">
        <v>73.316163800000012</v>
      </c>
      <c r="J822" s="3" t="s">
        <v>5011</v>
      </c>
      <c r="K822" s="16">
        <v>1607.5690338491995</v>
      </c>
      <c r="L822" s="16">
        <v>212.11024469999998</v>
      </c>
      <c r="M822" s="16">
        <f t="shared" si="24"/>
        <v>2.1399841218224247</v>
      </c>
    </row>
    <row r="823" spans="1:13" x14ac:dyDescent="0.25">
      <c r="A823" s="2">
        <f t="shared" si="25"/>
        <v>818</v>
      </c>
      <c r="B823" s="2">
        <v>29886</v>
      </c>
      <c r="C823" s="2" t="s">
        <v>3329</v>
      </c>
      <c r="D823" s="14" t="s">
        <v>817</v>
      </c>
      <c r="E823" s="14">
        <v>12.302785500000001</v>
      </c>
      <c r="F823" s="14">
        <v>0</v>
      </c>
      <c r="G823" s="14">
        <v>12.302785500000001</v>
      </c>
      <c r="H823" s="16">
        <v>519.48073320000003</v>
      </c>
      <c r="I823" s="16">
        <v>317.56871050000001</v>
      </c>
      <c r="J823" s="3" t="s">
        <v>5011</v>
      </c>
      <c r="K823" s="16">
        <v>10292.555314926998</v>
      </c>
      <c r="L823" s="16">
        <v>0</v>
      </c>
      <c r="M823" s="16">
        <f t="shared" si="24"/>
        <v>0</v>
      </c>
    </row>
    <row r="824" spans="1:13" x14ac:dyDescent="0.25">
      <c r="A824" s="2">
        <f t="shared" si="25"/>
        <v>819</v>
      </c>
      <c r="B824" s="2">
        <v>29889</v>
      </c>
      <c r="C824" s="2" t="s">
        <v>3330</v>
      </c>
      <c r="D824" s="14" t="s">
        <v>818</v>
      </c>
      <c r="E824" s="14">
        <v>0.72006770000000009</v>
      </c>
      <c r="F824" s="14">
        <v>0</v>
      </c>
      <c r="G824" s="14">
        <v>0.72006770000000009</v>
      </c>
      <c r="H824" s="16">
        <v>13.033348600000002</v>
      </c>
      <c r="I824" s="16">
        <v>2.1653533000000009</v>
      </c>
      <c r="J824" s="3" t="s">
        <v>5011</v>
      </c>
      <c r="K824" s="16">
        <v>854.54152306130027</v>
      </c>
      <c r="L824" s="16">
        <v>90.466780799999995</v>
      </c>
      <c r="M824" s="16">
        <f t="shared" si="24"/>
        <v>6.9411770970355215</v>
      </c>
    </row>
    <row r="825" spans="1:13" x14ac:dyDescent="0.25">
      <c r="A825" s="2">
        <f t="shared" si="25"/>
        <v>820</v>
      </c>
      <c r="B825" s="2">
        <v>29900</v>
      </c>
      <c r="C825" s="2" t="s">
        <v>3331</v>
      </c>
      <c r="D825" s="14" t="s">
        <v>819</v>
      </c>
      <c r="E825" s="14">
        <v>0</v>
      </c>
      <c r="F825" s="14">
        <v>0</v>
      </c>
      <c r="G825" s="14">
        <v>0</v>
      </c>
      <c r="H825" s="16">
        <v>0</v>
      </c>
      <c r="I825" s="16">
        <v>0</v>
      </c>
      <c r="J825" s="3" t="s">
        <v>5011</v>
      </c>
      <c r="K825" s="16">
        <v>0</v>
      </c>
      <c r="L825" s="16">
        <v>0</v>
      </c>
      <c r="M825" s="16">
        <v>0</v>
      </c>
    </row>
    <row r="826" spans="1:13" x14ac:dyDescent="0.25">
      <c r="A826" s="2">
        <f t="shared" si="25"/>
        <v>821</v>
      </c>
      <c r="B826" s="2">
        <v>30031</v>
      </c>
      <c r="C826" s="2" t="s">
        <v>3332</v>
      </c>
      <c r="D826" s="14" t="s">
        <v>820</v>
      </c>
      <c r="E826" s="14">
        <v>0</v>
      </c>
      <c r="F826" s="14">
        <v>0</v>
      </c>
      <c r="G826" s="14">
        <v>0</v>
      </c>
      <c r="H826" s="16">
        <v>0</v>
      </c>
      <c r="I826" s="16">
        <v>0</v>
      </c>
      <c r="J826" s="3" t="s">
        <v>5011</v>
      </c>
      <c r="K826" s="16">
        <v>0</v>
      </c>
      <c r="L826" s="16">
        <v>0</v>
      </c>
      <c r="M826" s="16">
        <v>0</v>
      </c>
    </row>
    <row r="827" spans="1:13" x14ac:dyDescent="0.25">
      <c r="A827" s="2">
        <f t="shared" si="25"/>
        <v>822</v>
      </c>
      <c r="B827" s="2">
        <v>30061</v>
      </c>
      <c r="C827" s="2" t="s">
        <v>3333</v>
      </c>
      <c r="D827" s="14" t="s">
        <v>821</v>
      </c>
      <c r="E827" s="14">
        <v>1.1588594999999999</v>
      </c>
      <c r="F827" s="14">
        <v>0</v>
      </c>
      <c r="G827" s="14">
        <v>1.1588594999999999</v>
      </c>
      <c r="H827" s="16">
        <v>204.6357002</v>
      </c>
      <c r="I827" s="16">
        <v>184.82214569999999</v>
      </c>
      <c r="J827" s="3" t="s">
        <v>5011</v>
      </c>
      <c r="K827" s="16">
        <v>1337.3311271676998</v>
      </c>
      <c r="L827" s="16">
        <v>259.63949880000001</v>
      </c>
      <c r="M827" s="16">
        <f t="shared" si="24"/>
        <v>1.2687888699100023</v>
      </c>
    </row>
    <row r="828" spans="1:13" x14ac:dyDescent="0.25">
      <c r="A828" s="2">
        <f t="shared" si="25"/>
        <v>823</v>
      </c>
      <c r="B828" s="2">
        <v>30156</v>
      </c>
      <c r="C828" s="2" t="s">
        <v>3334</v>
      </c>
      <c r="D828" s="14" t="s">
        <v>822</v>
      </c>
      <c r="E828" s="14">
        <v>0</v>
      </c>
      <c r="F828" s="14">
        <v>0</v>
      </c>
      <c r="G828" s="14">
        <v>0</v>
      </c>
      <c r="H828" s="16">
        <v>24.813768700000001</v>
      </c>
      <c r="I828" s="16">
        <v>16.217335800000001</v>
      </c>
      <c r="J828" s="3" t="s">
        <v>5011</v>
      </c>
      <c r="K828" s="16">
        <v>364.19615782059998</v>
      </c>
      <c r="L828" s="16">
        <v>44.100324800000003</v>
      </c>
      <c r="M828" s="16">
        <f t="shared" si="24"/>
        <v>1.7772521914416008</v>
      </c>
    </row>
    <row r="829" spans="1:13" x14ac:dyDescent="0.25">
      <c r="A829" s="2">
        <f t="shared" si="25"/>
        <v>824</v>
      </c>
      <c r="B829" s="2">
        <v>30161</v>
      </c>
      <c r="C829" s="2" t="s">
        <v>3335</v>
      </c>
      <c r="D829" s="14" t="s">
        <v>823</v>
      </c>
      <c r="E829" s="14">
        <v>1.4058899999999999E-2</v>
      </c>
      <c r="F829" s="14">
        <v>0</v>
      </c>
      <c r="G829" s="14">
        <v>1.4058899999999999E-2</v>
      </c>
      <c r="H829" s="16">
        <v>4.2647876</v>
      </c>
      <c r="I829" s="16">
        <v>4.2647876</v>
      </c>
      <c r="J829" s="3" t="s">
        <v>5011</v>
      </c>
      <c r="K829" s="16">
        <v>26.5228481973</v>
      </c>
      <c r="L829" s="16">
        <v>5.4730135999999998</v>
      </c>
      <c r="M829" s="16">
        <f t="shared" si="24"/>
        <v>1.283302737046037</v>
      </c>
    </row>
    <row r="830" spans="1:13" x14ac:dyDescent="0.25">
      <c r="A830" s="2">
        <f t="shared" si="25"/>
        <v>825</v>
      </c>
      <c r="B830" s="2">
        <v>30173</v>
      </c>
      <c r="C830" s="2" t="s">
        <v>3336</v>
      </c>
      <c r="D830" s="14" t="s">
        <v>824</v>
      </c>
      <c r="E830" s="14">
        <v>0</v>
      </c>
      <c r="F830" s="14">
        <v>0</v>
      </c>
      <c r="G830" s="14">
        <v>0</v>
      </c>
      <c r="H830" s="16">
        <v>0</v>
      </c>
      <c r="I830" s="16">
        <v>0</v>
      </c>
      <c r="J830" s="3" t="s">
        <v>5011</v>
      </c>
      <c r="K830" s="16">
        <v>0</v>
      </c>
      <c r="L830" s="16">
        <v>0</v>
      </c>
      <c r="M830" s="16">
        <v>0</v>
      </c>
    </row>
    <row r="831" spans="1:13" x14ac:dyDescent="0.25">
      <c r="A831" s="2">
        <f t="shared" si="25"/>
        <v>826</v>
      </c>
      <c r="B831" s="2">
        <v>30201</v>
      </c>
      <c r="C831" s="2" t="s">
        <v>3337</v>
      </c>
      <c r="D831" s="14" t="s">
        <v>825</v>
      </c>
      <c r="E831" s="14">
        <v>0</v>
      </c>
      <c r="F831" s="14">
        <v>0</v>
      </c>
      <c r="G831" s="14">
        <v>0</v>
      </c>
      <c r="H831" s="16">
        <v>0</v>
      </c>
      <c r="I831" s="16">
        <v>0</v>
      </c>
      <c r="J831" s="3" t="s">
        <v>5011</v>
      </c>
      <c r="K831" s="16">
        <v>0</v>
      </c>
      <c r="L831" s="16">
        <v>0</v>
      </c>
      <c r="M831" s="16">
        <v>0</v>
      </c>
    </row>
    <row r="832" spans="1:13" x14ac:dyDescent="0.25">
      <c r="A832" s="2">
        <f t="shared" si="25"/>
        <v>827</v>
      </c>
      <c r="B832" s="2">
        <v>30242</v>
      </c>
      <c r="C832" s="2" t="s">
        <v>3338</v>
      </c>
      <c r="D832" s="14" t="s">
        <v>826</v>
      </c>
      <c r="E832" s="14">
        <v>0.12861149999999999</v>
      </c>
      <c r="F832" s="14">
        <v>0</v>
      </c>
      <c r="G832" s="14">
        <v>0.12861149999999999</v>
      </c>
      <c r="H832" s="16">
        <v>67.746612499999998</v>
      </c>
      <c r="I832" s="16">
        <v>67.746612499999998</v>
      </c>
      <c r="J832" s="3" t="s">
        <v>5011</v>
      </c>
      <c r="K832" s="16">
        <v>261.18094523970001</v>
      </c>
      <c r="L832" s="16">
        <v>80.770537000000004</v>
      </c>
      <c r="M832" s="16">
        <f t="shared" si="24"/>
        <v>1.19224466020349</v>
      </c>
    </row>
    <row r="833" spans="1:13" x14ac:dyDescent="0.25">
      <c r="A833" s="2">
        <f t="shared" si="25"/>
        <v>828</v>
      </c>
      <c r="B833" s="2">
        <v>30246</v>
      </c>
      <c r="C833" s="2" t="s">
        <v>3339</v>
      </c>
      <c r="D833" s="14" t="s">
        <v>827</v>
      </c>
      <c r="E833" s="14">
        <v>1.3731700000000001E-2</v>
      </c>
      <c r="F833" s="14">
        <v>0</v>
      </c>
      <c r="G833" s="14">
        <v>1.3731700000000001E-2</v>
      </c>
      <c r="H833" s="16">
        <v>7.8696081000000007</v>
      </c>
      <c r="I833" s="16">
        <v>7.8696081000000007</v>
      </c>
      <c r="J833" s="3" t="s">
        <v>5011</v>
      </c>
      <c r="K833" s="16">
        <v>32.096978262500002</v>
      </c>
      <c r="L833" s="16">
        <v>8.9156478000000003</v>
      </c>
      <c r="M833" s="16">
        <f t="shared" si="24"/>
        <v>1.1329214475114713</v>
      </c>
    </row>
    <row r="834" spans="1:13" x14ac:dyDescent="0.25">
      <c r="A834" s="2">
        <f t="shared" si="25"/>
        <v>829</v>
      </c>
      <c r="B834" s="2">
        <v>30370</v>
      </c>
      <c r="C834" s="2" t="s">
        <v>3340</v>
      </c>
      <c r="D834" s="14" t="s">
        <v>828</v>
      </c>
      <c r="E834" s="14">
        <v>1.6384485999999998</v>
      </c>
      <c r="F834" s="14">
        <v>0</v>
      </c>
      <c r="G834" s="14">
        <v>1.6384485999999998</v>
      </c>
      <c r="H834" s="16">
        <v>72.5322982</v>
      </c>
      <c r="I834" s="16">
        <v>66.395367700000008</v>
      </c>
      <c r="J834" s="3" t="s">
        <v>5011</v>
      </c>
      <c r="K834" s="16">
        <v>1662.2355784258998</v>
      </c>
      <c r="L834" s="16">
        <v>200.52809569999999</v>
      </c>
      <c r="M834" s="16">
        <f t="shared" si="24"/>
        <v>2.7646731273710006</v>
      </c>
    </row>
    <row r="835" spans="1:13" x14ac:dyDescent="0.25">
      <c r="A835" s="2">
        <f t="shared" si="25"/>
        <v>830</v>
      </c>
      <c r="B835" s="2">
        <v>30403</v>
      </c>
      <c r="C835" s="2" t="s">
        <v>3341</v>
      </c>
      <c r="D835" s="14" t="s">
        <v>829</v>
      </c>
      <c r="E835" s="14">
        <v>0</v>
      </c>
      <c r="F835" s="14">
        <v>0</v>
      </c>
      <c r="G835" s="14">
        <v>0</v>
      </c>
      <c r="H835" s="16">
        <v>0</v>
      </c>
      <c r="I835" s="16">
        <v>0</v>
      </c>
      <c r="J835" s="3" t="s">
        <v>5011</v>
      </c>
      <c r="K835" s="16">
        <v>0</v>
      </c>
      <c r="L835" s="16">
        <v>0</v>
      </c>
      <c r="M835" s="16">
        <v>0</v>
      </c>
    </row>
    <row r="836" spans="1:13" x14ac:dyDescent="0.25">
      <c r="A836" s="2">
        <f t="shared" si="25"/>
        <v>831</v>
      </c>
      <c r="B836" s="2">
        <v>30533</v>
      </c>
      <c r="C836" s="2" t="s">
        <v>3342</v>
      </c>
      <c r="D836" s="14" t="s">
        <v>830</v>
      </c>
      <c r="E836" s="14">
        <v>25.688524099999995</v>
      </c>
      <c r="F836" s="14">
        <v>0</v>
      </c>
      <c r="G836" s="14">
        <v>25.688524099999995</v>
      </c>
      <c r="H836" s="16">
        <v>31.883703999999998</v>
      </c>
      <c r="I836" s="16">
        <v>6.5523219999999975</v>
      </c>
      <c r="J836" s="3" t="s">
        <v>5011</v>
      </c>
      <c r="K836" s="16">
        <v>20147.596109240003</v>
      </c>
      <c r="L836" s="16">
        <v>2081.0824463999998</v>
      </c>
      <c r="M836" s="16">
        <f t="shared" si="24"/>
        <v>65.271037718829646</v>
      </c>
    </row>
    <row r="837" spans="1:13" x14ac:dyDescent="0.25">
      <c r="A837" s="2">
        <f t="shared" si="25"/>
        <v>832</v>
      </c>
      <c r="B837" s="2">
        <v>30544</v>
      </c>
      <c r="C837" s="2" t="s">
        <v>3343</v>
      </c>
      <c r="D837" s="14" t="s">
        <v>831</v>
      </c>
      <c r="E837" s="14">
        <v>0</v>
      </c>
      <c r="F837" s="14">
        <v>0</v>
      </c>
      <c r="G837" s="14">
        <v>0</v>
      </c>
      <c r="H837" s="16">
        <v>0</v>
      </c>
      <c r="I837" s="16">
        <v>0</v>
      </c>
      <c r="J837" s="3" t="s">
        <v>5011</v>
      </c>
      <c r="K837" s="16">
        <v>0</v>
      </c>
      <c r="L837" s="16">
        <v>0</v>
      </c>
      <c r="M837" s="16">
        <v>0</v>
      </c>
    </row>
    <row r="838" spans="1:13" x14ac:dyDescent="0.25">
      <c r="A838" s="2">
        <f t="shared" si="25"/>
        <v>833</v>
      </c>
      <c r="B838" s="2">
        <v>30601</v>
      </c>
      <c r="C838" s="2" t="s">
        <v>3344</v>
      </c>
      <c r="D838" s="14" t="s">
        <v>832</v>
      </c>
      <c r="E838" s="14">
        <v>1.2795E-3</v>
      </c>
      <c r="F838" s="14">
        <v>0</v>
      </c>
      <c r="G838" s="14">
        <v>1.2795E-3</v>
      </c>
      <c r="H838" s="16">
        <v>16.264186800000001</v>
      </c>
      <c r="I838" s="16">
        <v>16.264186800000001</v>
      </c>
      <c r="J838" s="3" t="s">
        <v>5011</v>
      </c>
      <c r="K838" s="16">
        <v>14.756329561600001</v>
      </c>
      <c r="L838" s="16">
        <v>16.3609644</v>
      </c>
      <c r="M838" s="16">
        <f t="shared" si="24"/>
        <v>1.0059503497586488</v>
      </c>
    </row>
    <row r="839" spans="1:13" x14ac:dyDescent="0.25">
      <c r="A839" s="2">
        <f t="shared" si="25"/>
        <v>834</v>
      </c>
      <c r="B839" s="2">
        <v>30617</v>
      </c>
      <c r="C839" s="2" t="s">
        <v>3345</v>
      </c>
      <c r="D839" s="14" t="s">
        <v>833</v>
      </c>
      <c r="E839" s="14">
        <v>7.6034900000000002E-2</v>
      </c>
      <c r="F839" s="14">
        <v>0</v>
      </c>
      <c r="G839" s="14">
        <v>7.6034900000000002E-2</v>
      </c>
      <c r="H839" s="16">
        <v>7.6304837000000001</v>
      </c>
      <c r="I839" s="16">
        <v>1.8996205000000004</v>
      </c>
      <c r="J839" s="3" t="s">
        <v>5011</v>
      </c>
      <c r="K839" s="16">
        <v>127.60278868690003</v>
      </c>
      <c r="L839" s="16">
        <v>14.1118653</v>
      </c>
      <c r="M839" s="16">
        <f t="shared" ref="M839:M902" si="26">L839/H839</f>
        <v>1.8494063882214964</v>
      </c>
    </row>
    <row r="840" spans="1:13" x14ac:dyDescent="0.25">
      <c r="A840" s="2">
        <f t="shared" ref="A840:A903" si="27">A839+1</f>
        <v>835</v>
      </c>
      <c r="B840" s="2">
        <v>30779</v>
      </c>
      <c r="C840" s="2" t="s">
        <v>3346</v>
      </c>
      <c r="D840" s="14" t="s">
        <v>834</v>
      </c>
      <c r="E840" s="14">
        <v>0.21226680000000001</v>
      </c>
      <c r="F840" s="14">
        <v>0</v>
      </c>
      <c r="G840" s="14">
        <v>0.21226680000000001</v>
      </c>
      <c r="H840" s="16">
        <v>11.749418700000001</v>
      </c>
      <c r="I840" s="16">
        <v>9.138216700000001</v>
      </c>
      <c r="J840" s="3" t="s">
        <v>5011</v>
      </c>
      <c r="K840" s="16">
        <v>239.82600068660003</v>
      </c>
      <c r="L840" s="16">
        <v>31.451552299999999</v>
      </c>
      <c r="M840" s="16">
        <f t="shared" si="26"/>
        <v>2.6768602858624821</v>
      </c>
    </row>
    <row r="841" spans="1:13" x14ac:dyDescent="0.25">
      <c r="A841" s="2">
        <f t="shared" si="27"/>
        <v>836</v>
      </c>
      <c r="B841" s="2">
        <v>30808</v>
      </c>
      <c r="C841" s="2" t="s">
        <v>3347</v>
      </c>
      <c r="D841" s="14" t="s">
        <v>835</v>
      </c>
      <c r="E841" s="14">
        <v>3.8649192999999999</v>
      </c>
      <c r="F841" s="14">
        <v>0</v>
      </c>
      <c r="G841" s="14">
        <v>3.8649192999999999</v>
      </c>
      <c r="H841" s="16">
        <v>400.63281069999999</v>
      </c>
      <c r="I841" s="16">
        <v>269.66879539999996</v>
      </c>
      <c r="J841" s="3" t="s">
        <v>5011</v>
      </c>
      <c r="K841" s="16">
        <v>4725.9341259872981</v>
      </c>
      <c r="L841" s="16">
        <v>576.73262390000002</v>
      </c>
      <c r="M841" s="16">
        <f t="shared" si="26"/>
        <v>1.4395541465820338</v>
      </c>
    </row>
    <row r="842" spans="1:13" x14ac:dyDescent="0.25">
      <c r="A842" s="2">
        <f t="shared" si="27"/>
        <v>837</v>
      </c>
      <c r="B842" s="2">
        <v>30846</v>
      </c>
      <c r="C842" s="2" t="s">
        <v>3348</v>
      </c>
      <c r="D842" s="14" t="s">
        <v>836</v>
      </c>
      <c r="E842" s="14">
        <v>4.2394399999999999E-2</v>
      </c>
      <c r="F842" s="14">
        <v>0</v>
      </c>
      <c r="G842" s="14">
        <v>4.2394399999999999E-2</v>
      </c>
      <c r="H842" s="16">
        <v>30.545621400000002</v>
      </c>
      <c r="I842" s="16">
        <v>20.508436400000001</v>
      </c>
      <c r="J842" s="3" t="s">
        <v>5011</v>
      </c>
      <c r="K842" s="16">
        <v>93.662203942600001</v>
      </c>
      <c r="L842" s="16">
        <v>28.171939200000001</v>
      </c>
      <c r="M842" s="16">
        <f t="shared" si="26"/>
        <v>0.92229059055907758</v>
      </c>
    </row>
    <row r="843" spans="1:13" x14ac:dyDescent="0.25">
      <c r="A843" s="2">
        <f t="shared" si="27"/>
        <v>838</v>
      </c>
      <c r="B843" s="2">
        <v>31210</v>
      </c>
      <c r="C843" s="2" t="s">
        <v>3349</v>
      </c>
      <c r="D843" s="14" t="s">
        <v>837</v>
      </c>
      <c r="E843" s="14">
        <v>1.517015</v>
      </c>
      <c r="F843" s="14">
        <v>0</v>
      </c>
      <c r="G843" s="14">
        <v>1.517015</v>
      </c>
      <c r="H843" s="16">
        <v>175.3008232</v>
      </c>
      <c r="I843" s="16">
        <v>157.63730630000001</v>
      </c>
      <c r="J843" s="3" t="s">
        <v>5011</v>
      </c>
      <c r="K843" s="16">
        <v>1643.1509987070999</v>
      </c>
      <c r="L843" s="16">
        <v>260.75106360000001</v>
      </c>
      <c r="M843" s="16">
        <f t="shared" si="26"/>
        <v>1.4874491678941528</v>
      </c>
    </row>
    <row r="844" spans="1:13" x14ac:dyDescent="0.25">
      <c r="A844" s="2">
        <f t="shared" si="27"/>
        <v>839</v>
      </c>
      <c r="B844" s="2">
        <v>31237</v>
      </c>
      <c r="C844" s="2" t="s">
        <v>3350</v>
      </c>
      <c r="D844" s="14" t="s">
        <v>838</v>
      </c>
      <c r="E844" s="14">
        <v>0</v>
      </c>
      <c r="F844" s="14">
        <v>0</v>
      </c>
      <c r="G844" s="14">
        <v>0</v>
      </c>
      <c r="H844" s="16">
        <v>0</v>
      </c>
      <c r="I844" s="16">
        <v>0</v>
      </c>
      <c r="J844" s="3" t="s">
        <v>5011</v>
      </c>
      <c r="K844" s="16">
        <v>0</v>
      </c>
      <c r="L844" s="16">
        <v>0</v>
      </c>
      <c r="M844" s="16">
        <v>0</v>
      </c>
    </row>
    <row r="845" spans="1:13" x14ac:dyDescent="0.25">
      <c r="A845" s="2">
        <f t="shared" si="27"/>
        <v>840</v>
      </c>
      <c r="B845" s="2">
        <v>31321</v>
      </c>
      <c r="C845" s="2" t="s">
        <v>3351</v>
      </c>
      <c r="D845" s="14" t="s">
        <v>839</v>
      </c>
      <c r="E845" s="14">
        <v>1.9220283000000002</v>
      </c>
      <c r="F845" s="14">
        <v>0</v>
      </c>
      <c r="G845" s="14">
        <v>1.9220283000000002</v>
      </c>
      <c r="H845" s="16">
        <v>40.396471599999998</v>
      </c>
      <c r="I845" s="16">
        <v>30.084291200000003</v>
      </c>
      <c r="J845" s="3" t="s">
        <v>5011</v>
      </c>
      <c r="K845" s="16">
        <v>1478.8738377666</v>
      </c>
      <c r="L845" s="16">
        <v>0</v>
      </c>
      <c r="M845" s="16">
        <f t="shared" si="26"/>
        <v>0</v>
      </c>
    </row>
    <row r="846" spans="1:13" x14ac:dyDescent="0.25">
      <c r="A846" s="2">
        <f t="shared" si="27"/>
        <v>841</v>
      </c>
      <c r="B846" s="2">
        <v>31340</v>
      </c>
      <c r="C846" s="2" t="s">
        <v>3352</v>
      </c>
      <c r="D846" s="14" t="s">
        <v>840</v>
      </c>
      <c r="E846" s="14">
        <v>0</v>
      </c>
      <c r="F846" s="14">
        <v>0</v>
      </c>
      <c r="G846" s="14">
        <v>0</v>
      </c>
      <c r="H846" s="16">
        <v>0</v>
      </c>
      <c r="I846" s="16">
        <v>0</v>
      </c>
      <c r="J846" s="3" t="s">
        <v>5011</v>
      </c>
      <c r="K846" s="16">
        <v>0</v>
      </c>
      <c r="L846" s="16">
        <v>0</v>
      </c>
      <c r="M846" s="16">
        <v>0</v>
      </c>
    </row>
    <row r="847" spans="1:13" x14ac:dyDescent="0.25">
      <c r="A847" s="2">
        <f t="shared" si="27"/>
        <v>842</v>
      </c>
      <c r="B847" s="2">
        <v>31375</v>
      </c>
      <c r="C847" s="2" t="s">
        <v>3353</v>
      </c>
      <c r="D847" s="14" t="s">
        <v>841</v>
      </c>
      <c r="E847" s="14">
        <v>0</v>
      </c>
      <c r="F847" s="14">
        <v>0</v>
      </c>
      <c r="G847" s="14">
        <v>0</v>
      </c>
      <c r="H847" s="16">
        <v>0</v>
      </c>
      <c r="I847" s="16">
        <v>0</v>
      </c>
      <c r="J847" s="3" t="s">
        <v>5011</v>
      </c>
      <c r="K847" s="16">
        <v>0</v>
      </c>
      <c r="L847" s="16">
        <v>0</v>
      </c>
      <c r="M847" s="16">
        <v>0</v>
      </c>
    </row>
    <row r="848" spans="1:13" x14ac:dyDescent="0.25">
      <c r="A848" s="2">
        <f t="shared" si="27"/>
        <v>843</v>
      </c>
      <c r="B848" s="2">
        <v>31388</v>
      </c>
      <c r="C848" s="2" t="s">
        <v>3354</v>
      </c>
      <c r="D848" s="14" t="s">
        <v>842</v>
      </c>
      <c r="E848" s="14">
        <v>0.45485089999999995</v>
      </c>
      <c r="F848" s="14">
        <v>0</v>
      </c>
      <c r="G848" s="14">
        <v>0.45485089999999995</v>
      </c>
      <c r="H848" s="16">
        <v>13.674316299999999</v>
      </c>
      <c r="I848" s="16">
        <v>12.0743163</v>
      </c>
      <c r="J848" s="3" t="s">
        <v>5011</v>
      </c>
      <c r="K848" s="16">
        <v>427.34997635210004</v>
      </c>
      <c r="L848" s="16">
        <v>54.978518700000002</v>
      </c>
      <c r="M848" s="16">
        <f t="shared" si="26"/>
        <v>4.0205680118720091</v>
      </c>
    </row>
    <row r="849" spans="1:13" x14ac:dyDescent="0.25">
      <c r="A849" s="2">
        <f t="shared" si="27"/>
        <v>844</v>
      </c>
      <c r="B849" s="2">
        <v>31514</v>
      </c>
      <c r="C849" s="2" t="s">
        <v>3355</v>
      </c>
      <c r="D849" s="14" t="s">
        <v>843</v>
      </c>
      <c r="E849" s="14">
        <v>0.1084035</v>
      </c>
      <c r="F849" s="14">
        <v>0</v>
      </c>
      <c r="G849" s="14">
        <v>0.1084035</v>
      </c>
      <c r="H849" s="16">
        <v>11.3295104</v>
      </c>
      <c r="I849" s="16">
        <v>11.3295104</v>
      </c>
      <c r="J849" s="3" t="s">
        <v>5011</v>
      </c>
      <c r="K849" s="16">
        <v>85.26739808100001</v>
      </c>
      <c r="L849" s="16">
        <v>17.7459986</v>
      </c>
      <c r="M849" s="16">
        <f t="shared" si="26"/>
        <v>1.5663517639738429</v>
      </c>
    </row>
    <row r="850" spans="1:13" x14ac:dyDescent="0.25">
      <c r="A850" s="2">
        <f t="shared" si="27"/>
        <v>845</v>
      </c>
      <c r="B850" s="2">
        <v>31569</v>
      </c>
      <c r="C850" s="2" t="s">
        <v>3356</v>
      </c>
      <c r="D850" s="14" t="s">
        <v>844</v>
      </c>
      <c r="E850" s="14">
        <v>3.2101896000000001</v>
      </c>
      <c r="F850" s="14">
        <v>0</v>
      </c>
      <c r="G850" s="14">
        <v>3.2101896000000001</v>
      </c>
      <c r="H850" s="16">
        <v>278.04643729999998</v>
      </c>
      <c r="I850" s="16">
        <v>192.04100980000001</v>
      </c>
      <c r="J850" s="3" t="s">
        <v>5011</v>
      </c>
      <c r="K850" s="16">
        <v>3390.0032082432008</v>
      </c>
      <c r="L850" s="16">
        <v>449.82407189999998</v>
      </c>
      <c r="M850" s="16">
        <f t="shared" si="26"/>
        <v>1.6178019623918412</v>
      </c>
    </row>
    <row r="851" spans="1:13" x14ac:dyDescent="0.25">
      <c r="A851" s="2">
        <f t="shared" si="27"/>
        <v>846</v>
      </c>
      <c r="B851" s="2">
        <v>31574</v>
      </c>
      <c r="C851" s="2" t="s">
        <v>3357</v>
      </c>
      <c r="D851" s="14" t="s">
        <v>845</v>
      </c>
      <c r="E851" s="14">
        <v>0</v>
      </c>
      <c r="F851" s="14">
        <v>0</v>
      </c>
      <c r="G851" s="14">
        <v>0</v>
      </c>
      <c r="H851" s="16">
        <v>0</v>
      </c>
      <c r="I851" s="16">
        <v>0</v>
      </c>
      <c r="J851" s="3" t="s">
        <v>5011</v>
      </c>
      <c r="K851" s="16">
        <v>0</v>
      </c>
      <c r="L851" s="16">
        <v>0</v>
      </c>
      <c r="M851" s="16">
        <v>0</v>
      </c>
    </row>
    <row r="852" spans="1:13" x14ac:dyDescent="0.25">
      <c r="A852" s="2">
        <f t="shared" si="27"/>
        <v>847</v>
      </c>
      <c r="B852" s="2">
        <v>31642</v>
      </c>
      <c r="C852" s="2" t="s">
        <v>3358</v>
      </c>
      <c r="D852" s="14" t="s">
        <v>846</v>
      </c>
      <c r="E852" s="14">
        <v>7.9154999999999989E-3</v>
      </c>
      <c r="F852" s="14">
        <v>0</v>
      </c>
      <c r="G852" s="14">
        <v>7.9154999999999989E-3</v>
      </c>
      <c r="H852" s="16">
        <v>8.8046404999999996</v>
      </c>
      <c r="I852" s="16">
        <v>8.8046404999999996</v>
      </c>
      <c r="J852" s="3" t="s">
        <v>5011</v>
      </c>
      <c r="K852" s="16">
        <v>23.069904092199998</v>
      </c>
      <c r="L852" s="16">
        <v>9.4188037999999992</v>
      </c>
      <c r="M852" s="16">
        <f t="shared" si="26"/>
        <v>1.0697545004818765</v>
      </c>
    </row>
    <row r="853" spans="1:13" x14ac:dyDescent="0.25">
      <c r="A853" s="2">
        <f t="shared" si="27"/>
        <v>848</v>
      </c>
      <c r="B853" s="2">
        <v>31735</v>
      </c>
      <c r="C853" s="2" t="s">
        <v>3359</v>
      </c>
      <c r="D853" s="14" t="s">
        <v>847</v>
      </c>
      <c r="E853" s="14">
        <v>0.31905979999999995</v>
      </c>
      <c r="F853" s="14">
        <v>0</v>
      </c>
      <c r="G853" s="14">
        <v>0.31905979999999995</v>
      </c>
      <c r="H853" s="16">
        <v>27.918603999999998</v>
      </c>
      <c r="I853" s="16">
        <v>27.918603999999998</v>
      </c>
      <c r="J853" s="3" t="s">
        <v>5011</v>
      </c>
      <c r="K853" s="16">
        <v>268.10686608399999</v>
      </c>
      <c r="L853" s="16">
        <v>47.764889699999998</v>
      </c>
      <c r="M853" s="16">
        <f t="shared" si="26"/>
        <v>1.7108623948389396</v>
      </c>
    </row>
    <row r="854" spans="1:13" x14ac:dyDescent="0.25">
      <c r="A854" s="2">
        <f t="shared" si="27"/>
        <v>849</v>
      </c>
      <c r="B854" s="2">
        <v>31739</v>
      </c>
      <c r="C854" s="2" t="s">
        <v>3360</v>
      </c>
      <c r="D854" s="14" t="s">
        <v>848</v>
      </c>
      <c r="E854" s="14">
        <v>0</v>
      </c>
      <c r="F854" s="14">
        <v>0</v>
      </c>
      <c r="G854" s="14">
        <v>0</v>
      </c>
      <c r="H854" s="16">
        <v>0</v>
      </c>
      <c r="I854" s="16">
        <v>0</v>
      </c>
      <c r="J854" s="3" t="s">
        <v>5011</v>
      </c>
      <c r="K854" s="16">
        <v>0</v>
      </c>
      <c r="L854" s="16">
        <v>0</v>
      </c>
      <c r="M854" s="16">
        <v>0</v>
      </c>
    </row>
    <row r="855" spans="1:13" x14ac:dyDescent="0.25">
      <c r="A855" s="2">
        <f t="shared" si="27"/>
        <v>850</v>
      </c>
      <c r="B855" s="2">
        <v>31751</v>
      </c>
      <c r="C855" s="2" t="s">
        <v>3361</v>
      </c>
      <c r="D855" s="14" t="s">
        <v>849</v>
      </c>
      <c r="E855" s="14">
        <v>3.1098447000000005</v>
      </c>
      <c r="F855" s="14">
        <v>0</v>
      </c>
      <c r="G855" s="14">
        <v>3.1098447000000005</v>
      </c>
      <c r="H855" s="16">
        <v>132.93405490000001</v>
      </c>
      <c r="I855" s="16">
        <v>113.65527300000001</v>
      </c>
      <c r="J855" s="3" t="s">
        <v>5011</v>
      </c>
      <c r="K855" s="16">
        <v>2847.1790960825019</v>
      </c>
      <c r="L855" s="16">
        <v>369.25782979999997</v>
      </c>
      <c r="M855" s="16">
        <f t="shared" si="26"/>
        <v>2.7777519468414256</v>
      </c>
    </row>
    <row r="856" spans="1:13" x14ac:dyDescent="0.25">
      <c r="A856" s="2">
        <f t="shared" si="27"/>
        <v>851</v>
      </c>
      <c r="B856" s="2">
        <v>31822</v>
      </c>
      <c r="C856" s="2" t="s">
        <v>3362</v>
      </c>
      <c r="D856" s="14" t="s">
        <v>850</v>
      </c>
      <c r="E856" s="14">
        <v>0.38498309999999997</v>
      </c>
      <c r="F856" s="14">
        <v>0</v>
      </c>
      <c r="G856" s="14">
        <v>0.38498309999999997</v>
      </c>
      <c r="H856" s="16">
        <v>64.613772600000004</v>
      </c>
      <c r="I856" s="16">
        <v>63.063747199999995</v>
      </c>
      <c r="J856" s="3" t="s">
        <v>5011</v>
      </c>
      <c r="K856" s="16">
        <v>462.50208066119995</v>
      </c>
      <c r="L856" s="16">
        <v>87.173974399999992</v>
      </c>
      <c r="M856" s="16">
        <f t="shared" si="26"/>
        <v>1.3491546908994443</v>
      </c>
    </row>
    <row r="857" spans="1:13" x14ac:dyDescent="0.25">
      <c r="A857" s="2">
        <f t="shared" si="27"/>
        <v>852</v>
      </c>
      <c r="B857" s="2">
        <v>31824</v>
      </c>
      <c r="C857" s="2" t="s">
        <v>3363</v>
      </c>
      <c r="D857" s="14" t="s">
        <v>851</v>
      </c>
      <c r="E857" s="14">
        <v>0</v>
      </c>
      <c r="F857" s="14">
        <v>0</v>
      </c>
      <c r="G857" s="14">
        <v>0</v>
      </c>
      <c r="H857" s="16">
        <v>0</v>
      </c>
      <c r="I857" s="16">
        <v>0</v>
      </c>
      <c r="J857" s="3" t="s">
        <v>5011</v>
      </c>
      <c r="K857" s="16">
        <v>0</v>
      </c>
      <c r="L857" s="16">
        <v>0</v>
      </c>
      <c r="M857" s="16">
        <v>0</v>
      </c>
    </row>
    <row r="858" spans="1:13" x14ac:dyDescent="0.25">
      <c r="A858" s="2">
        <f t="shared" si="27"/>
        <v>853</v>
      </c>
      <c r="B858" s="2">
        <v>31899</v>
      </c>
      <c r="C858" s="2" t="s">
        <v>3364</v>
      </c>
      <c r="D858" s="14" t="s">
        <v>852</v>
      </c>
      <c r="E858" s="14">
        <v>2.8460000000000003E-4</v>
      </c>
      <c r="F858" s="14">
        <v>0</v>
      </c>
      <c r="G858" s="14">
        <v>2.8460000000000003E-4</v>
      </c>
      <c r="H858" s="16">
        <v>2.0498975000000002</v>
      </c>
      <c r="I858" s="16">
        <v>2.0498975000000002</v>
      </c>
      <c r="J858" s="3" t="s">
        <v>5011</v>
      </c>
      <c r="K858" s="16">
        <v>2.4578380021999999</v>
      </c>
      <c r="L858" s="16">
        <v>2.0009806999999999</v>
      </c>
      <c r="M858" s="16">
        <f t="shared" si="26"/>
        <v>0.97613695318912275</v>
      </c>
    </row>
    <row r="859" spans="1:13" x14ac:dyDescent="0.25">
      <c r="A859" s="2">
        <f t="shared" si="27"/>
        <v>854</v>
      </c>
      <c r="B859" s="2">
        <v>31968</v>
      </c>
      <c r="C859" s="2" t="s">
        <v>3365</v>
      </c>
      <c r="D859" s="14" t="s">
        <v>853</v>
      </c>
      <c r="E859" s="14">
        <v>0</v>
      </c>
      <c r="F859" s="14">
        <v>0</v>
      </c>
      <c r="G859" s="14">
        <v>0</v>
      </c>
      <c r="H859" s="16">
        <v>11.439428000000001</v>
      </c>
      <c r="I859" s="16">
        <v>11.439428000000001</v>
      </c>
      <c r="J859" s="3" t="s">
        <v>5011</v>
      </c>
      <c r="K859" s="16">
        <v>7.1908938548999997</v>
      </c>
      <c r="L859" s="16">
        <v>12.070539199999999</v>
      </c>
      <c r="M859" s="16">
        <f t="shared" si="26"/>
        <v>1.0551698214281342</v>
      </c>
    </row>
    <row r="860" spans="1:13" x14ac:dyDescent="0.25">
      <c r="A860" s="2">
        <f t="shared" si="27"/>
        <v>855</v>
      </c>
      <c r="B860" s="2">
        <v>31983</v>
      </c>
      <c r="C860" s="2" t="s">
        <v>3366</v>
      </c>
      <c r="D860" s="14" t="s">
        <v>854</v>
      </c>
      <c r="E860" s="14">
        <v>0</v>
      </c>
      <c r="F860" s="14">
        <v>0</v>
      </c>
      <c r="G860" s="14">
        <v>0</v>
      </c>
      <c r="H860" s="16">
        <v>0</v>
      </c>
      <c r="I860" s="16">
        <v>0</v>
      </c>
      <c r="J860" s="3" t="s">
        <v>5011</v>
      </c>
      <c r="K860" s="16">
        <v>0</v>
      </c>
      <c r="L860" s="16">
        <v>0</v>
      </c>
      <c r="M860" s="16">
        <v>0</v>
      </c>
    </row>
    <row r="861" spans="1:13" x14ac:dyDescent="0.25">
      <c r="A861" s="2">
        <f t="shared" si="27"/>
        <v>856</v>
      </c>
      <c r="B861" s="2">
        <v>32164</v>
      </c>
      <c r="C861" s="2" t="s">
        <v>3367</v>
      </c>
      <c r="D861" s="14" t="s">
        <v>855</v>
      </c>
      <c r="E861" s="14">
        <v>0</v>
      </c>
      <c r="F861" s="14">
        <v>0</v>
      </c>
      <c r="G861" s="14">
        <v>0</v>
      </c>
      <c r="H861" s="16">
        <v>0</v>
      </c>
      <c r="I861" s="16">
        <v>0</v>
      </c>
      <c r="J861" s="3" t="s">
        <v>5011</v>
      </c>
      <c r="K861" s="16">
        <v>0</v>
      </c>
      <c r="L861" s="16">
        <v>0</v>
      </c>
      <c r="M861" s="16">
        <v>0</v>
      </c>
    </row>
    <row r="862" spans="1:13" x14ac:dyDescent="0.25">
      <c r="A862" s="2">
        <f t="shared" si="27"/>
        <v>857</v>
      </c>
      <c r="B862" s="2">
        <v>32205</v>
      </c>
      <c r="C862" s="2" t="s">
        <v>3368</v>
      </c>
      <c r="D862" s="14" t="s">
        <v>856</v>
      </c>
      <c r="E862" s="14">
        <v>0</v>
      </c>
      <c r="F862" s="14">
        <v>0</v>
      </c>
      <c r="G862" s="14">
        <v>0</v>
      </c>
      <c r="H862" s="16">
        <v>0</v>
      </c>
      <c r="I862" s="16">
        <v>0</v>
      </c>
      <c r="J862" s="3" t="s">
        <v>5011</v>
      </c>
      <c r="K862" s="16">
        <v>0</v>
      </c>
      <c r="L862" s="16">
        <v>0</v>
      </c>
      <c r="M862" s="16">
        <v>0</v>
      </c>
    </row>
    <row r="863" spans="1:13" x14ac:dyDescent="0.25">
      <c r="A863" s="2">
        <f t="shared" si="27"/>
        <v>858</v>
      </c>
      <c r="B863" s="2">
        <v>32247</v>
      </c>
      <c r="C863" s="2" t="s">
        <v>3369</v>
      </c>
      <c r="D863" s="14" t="s">
        <v>857</v>
      </c>
      <c r="E863" s="14">
        <v>6.9448548000000008</v>
      </c>
      <c r="F863" s="14">
        <v>0</v>
      </c>
      <c r="G863" s="14">
        <v>6.9448548000000008</v>
      </c>
      <c r="H863" s="16">
        <v>187.35651809999999</v>
      </c>
      <c r="I863" s="16">
        <v>153.21384399999999</v>
      </c>
      <c r="J863" s="3" t="s">
        <v>5011</v>
      </c>
      <c r="K863" s="16">
        <v>5388.5121837604993</v>
      </c>
      <c r="L863" s="16">
        <v>625.55409359999999</v>
      </c>
      <c r="M863" s="16">
        <f t="shared" si="26"/>
        <v>3.3388435051195584</v>
      </c>
    </row>
    <row r="864" spans="1:13" x14ac:dyDescent="0.25">
      <c r="A864" s="2">
        <f t="shared" si="27"/>
        <v>859</v>
      </c>
      <c r="B864" s="2">
        <v>32347</v>
      </c>
      <c r="C864" s="2" t="s">
        <v>3370</v>
      </c>
      <c r="D864" s="14" t="s">
        <v>858</v>
      </c>
      <c r="E864" s="14">
        <v>0</v>
      </c>
      <c r="F864" s="14">
        <v>0</v>
      </c>
      <c r="G864" s="14">
        <v>0</v>
      </c>
      <c r="H864" s="16">
        <v>0</v>
      </c>
      <c r="I864" s="16">
        <v>0</v>
      </c>
      <c r="J864" s="3" t="s">
        <v>5011</v>
      </c>
      <c r="K864" s="16">
        <v>0</v>
      </c>
      <c r="L864" s="16">
        <v>0</v>
      </c>
      <c r="M864" s="16">
        <v>0</v>
      </c>
    </row>
    <row r="865" spans="1:13" x14ac:dyDescent="0.25">
      <c r="A865" s="2">
        <f t="shared" si="27"/>
        <v>860</v>
      </c>
      <c r="B865" s="2">
        <v>32388</v>
      </c>
      <c r="C865" s="2" t="s">
        <v>3371</v>
      </c>
      <c r="D865" s="14" t="s">
        <v>859</v>
      </c>
      <c r="E865" s="14">
        <v>4.7122000000000006E-3</v>
      </c>
      <c r="F865" s="14">
        <v>0</v>
      </c>
      <c r="G865" s="14">
        <v>4.7122000000000006E-3</v>
      </c>
      <c r="H865" s="16">
        <v>13.6643171</v>
      </c>
      <c r="I865" s="16">
        <v>13.0146657</v>
      </c>
      <c r="J865" s="3" t="s">
        <v>5011</v>
      </c>
      <c r="K865" s="16">
        <v>19.730887793100003</v>
      </c>
      <c r="L865" s="16">
        <v>13.4224321</v>
      </c>
      <c r="M865" s="16">
        <f t="shared" si="26"/>
        <v>0.98229805425109751</v>
      </c>
    </row>
    <row r="866" spans="1:13" x14ac:dyDescent="0.25">
      <c r="A866" s="2">
        <f t="shared" si="27"/>
        <v>861</v>
      </c>
      <c r="B866" s="2">
        <v>32418</v>
      </c>
      <c r="C866" s="2" t="s">
        <v>3372</v>
      </c>
      <c r="D866" s="14" t="s">
        <v>860</v>
      </c>
      <c r="E866" s="14">
        <v>0</v>
      </c>
      <c r="F866" s="14">
        <v>0</v>
      </c>
      <c r="G866" s="14">
        <v>0</v>
      </c>
      <c r="H866" s="16">
        <v>0</v>
      </c>
      <c r="I866" s="16">
        <v>0</v>
      </c>
      <c r="J866" s="3" t="s">
        <v>5011</v>
      </c>
      <c r="K866" s="16">
        <v>0</v>
      </c>
      <c r="L866" s="16">
        <v>0</v>
      </c>
      <c r="M866" s="16">
        <v>0</v>
      </c>
    </row>
    <row r="867" spans="1:13" x14ac:dyDescent="0.25">
      <c r="A867" s="2">
        <f t="shared" si="27"/>
        <v>862</v>
      </c>
      <c r="B867" s="2">
        <v>32455</v>
      </c>
      <c r="C867" s="2" t="s">
        <v>3373</v>
      </c>
      <c r="D867" s="14" t="s">
        <v>861</v>
      </c>
      <c r="E867" s="14">
        <v>0</v>
      </c>
      <c r="F867" s="14">
        <v>0</v>
      </c>
      <c r="G867" s="14">
        <v>0</v>
      </c>
      <c r="H867" s="16">
        <v>0</v>
      </c>
      <c r="I867" s="16">
        <v>0</v>
      </c>
      <c r="J867" s="3" t="s">
        <v>5011</v>
      </c>
      <c r="K867" s="16">
        <v>0</v>
      </c>
      <c r="L867" s="16">
        <v>0</v>
      </c>
      <c r="M867" s="16">
        <v>0</v>
      </c>
    </row>
    <row r="868" spans="1:13" x14ac:dyDescent="0.25">
      <c r="A868" s="2">
        <f t="shared" si="27"/>
        <v>863</v>
      </c>
      <c r="B868" s="2">
        <v>32495</v>
      </c>
      <c r="C868" s="2" t="s">
        <v>3374</v>
      </c>
      <c r="D868" s="14" t="s">
        <v>862</v>
      </c>
      <c r="E868" s="14">
        <v>2.3646469999999997</v>
      </c>
      <c r="F868" s="14">
        <v>0</v>
      </c>
      <c r="G868" s="14">
        <v>2.3646469999999997</v>
      </c>
      <c r="H868" s="16">
        <v>41.522947500000001</v>
      </c>
      <c r="I868" s="16">
        <v>-9.4593924000000023</v>
      </c>
      <c r="J868" s="3" t="s">
        <v>5011</v>
      </c>
      <c r="K868" s="16">
        <v>2181.9335820884999</v>
      </c>
      <c r="L868" s="16">
        <v>208.9146954</v>
      </c>
      <c r="M868" s="16">
        <f t="shared" si="26"/>
        <v>5.0313069754983069</v>
      </c>
    </row>
    <row r="869" spans="1:13" x14ac:dyDescent="0.25">
      <c r="A869" s="2">
        <f t="shared" si="27"/>
        <v>864</v>
      </c>
      <c r="B869" s="2">
        <v>32571</v>
      </c>
      <c r="C869" s="2" t="s">
        <v>3375</v>
      </c>
      <c r="D869" s="14" t="s">
        <v>863</v>
      </c>
      <c r="E869" s="14">
        <v>0</v>
      </c>
      <c r="F869" s="14">
        <v>0</v>
      </c>
      <c r="G869" s="14">
        <v>0</v>
      </c>
      <c r="H869" s="16">
        <v>0</v>
      </c>
      <c r="I869" s="16">
        <v>0</v>
      </c>
      <c r="J869" s="3" t="s">
        <v>5011</v>
      </c>
      <c r="K869" s="16">
        <v>0</v>
      </c>
      <c r="L869" s="16">
        <v>0</v>
      </c>
      <c r="M869" s="16">
        <v>0</v>
      </c>
    </row>
    <row r="870" spans="1:13" x14ac:dyDescent="0.25">
      <c r="A870" s="2">
        <f t="shared" si="27"/>
        <v>865</v>
      </c>
      <c r="B870" s="2">
        <v>32652</v>
      </c>
      <c r="C870" s="2" t="s">
        <v>3376</v>
      </c>
      <c r="D870" s="14" t="s">
        <v>864</v>
      </c>
      <c r="E870" s="14">
        <v>0.13808479999999998</v>
      </c>
      <c r="F870" s="14">
        <v>0</v>
      </c>
      <c r="G870" s="14">
        <v>0.13808479999999998</v>
      </c>
      <c r="H870" s="16">
        <v>4.9497524999999998</v>
      </c>
      <c r="I870" s="16">
        <v>4.8897525000000002</v>
      </c>
      <c r="J870" s="3" t="s">
        <v>5011</v>
      </c>
      <c r="K870" s="16">
        <v>150.86320868669998</v>
      </c>
      <c r="L870" s="16">
        <v>18.327044900000001</v>
      </c>
      <c r="M870" s="16">
        <f t="shared" si="26"/>
        <v>3.7026184440535159</v>
      </c>
    </row>
    <row r="871" spans="1:13" x14ac:dyDescent="0.25">
      <c r="A871" s="2">
        <f t="shared" si="27"/>
        <v>866</v>
      </c>
      <c r="B871" s="2">
        <v>32820</v>
      </c>
      <c r="C871" s="2" t="s">
        <v>3377</v>
      </c>
      <c r="D871" s="14" t="s">
        <v>865</v>
      </c>
      <c r="E871" s="14">
        <v>0</v>
      </c>
      <c r="F871" s="14">
        <v>0</v>
      </c>
      <c r="G871" s="14">
        <v>0</v>
      </c>
      <c r="H871" s="16">
        <v>0</v>
      </c>
      <c r="I871" s="16">
        <v>0</v>
      </c>
      <c r="J871" s="3" t="s">
        <v>5011</v>
      </c>
      <c r="K871" s="16">
        <v>0</v>
      </c>
      <c r="L871" s="16">
        <v>0</v>
      </c>
      <c r="M871" s="16">
        <v>0</v>
      </c>
    </row>
    <row r="872" spans="1:13" x14ac:dyDescent="0.25">
      <c r="A872" s="2">
        <f t="shared" si="27"/>
        <v>867</v>
      </c>
      <c r="B872" s="2">
        <v>32848</v>
      </c>
      <c r="C872" s="2" t="s">
        <v>3378</v>
      </c>
      <c r="D872" s="14" t="s">
        <v>866</v>
      </c>
      <c r="E872" s="14">
        <v>0</v>
      </c>
      <c r="F872" s="14">
        <v>0</v>
      </c>
      <c r="G872" s="14">
        <v>0</v>
      </c>
      <c r="H872" s="16">
        <v>0</v>
      </c>
      <c r="I872" s="16">
        <v>0</v>
      </c>
      <c r="J872" s="3" t="s">
        <v>5011</v>
      </c>
      <c r="K872" s="16">
        <v>0</v>
      </c>
      <c r="L872" s="16">
        <v>0</v>
      </c>
      <c r="M872" s="16">
        <v>0</v>
      </c>
    </row>
    <row r="873" spans="1:13" x14ac:dyDescent="0.25">
      <c r="A873" s="2">
        <f t="shared" si="27"/>
        <v>868</v>
      </c>
      <c r="B873" s="2">
        <v>32972</v>
      </c>
      <c r="C873" s="2" t="s">
        <v>3379</v>
      </c>
      <c r="D873" s="14" t="s">
        <v>867</v>
      </c>
      <c r="E873" s="14">
        <v>0.73446580000000006</v>
      </c>
      <c r="F873" s="14">
        <v>0</v>
      </c>
      <c r="G873" s="14">
        <v>0.73446580000000006</v>
      </c>
      <c r="H873" s="16">
        <v>135.23323830000001</v>
      </c>
      <c r="I873" s="16">
        <v>134.8016629</v>
      </c>
      <c r="J873" s="3" t="s">
        <v>5011</v>
      </c>
      <c r="K873" s="16">
        <v>1058.151561124</v>
      </c>
      <c r="L873" s="16">
        <v>173.44893870000001</v>
      </c>
      <c r="M873" s="16">
        <f t="shared" si="26"/>
        <v>1.2825910322077971</v>
      </c>
    </row>
    <row r="874" spans="1:13" x14ac:dyDescent="0.25">
      <c r="A874" s="2">
        <f t="shared" si="27"/>
        <v>869</v>
      </c>
      <c r="B874" s="2">
        <v>33035</v>
      </c>
      <c r="C874" s="2" t="s">
        <v>3380</v>
      </c>
      <c r="D874" s="14" t="s">
        <v>868</v>
      </c>
      <c r="E874" s="14">
        <v>6.1467884999999995</v>
      </c>
      <c r="F874" s="14">
        <v>0</v>
      </c>
      <c r="G874" s="14">
        <v>6.1467884999999995</v>
      </c>
      <c r="H874" s="16">
        <v>2474.3565733</v>
      </c>
      <c r="I874" s="16">
        <v>1442.4074986000001</v>
      </c>
      <c r="J874" s="3" t="s">
        <v>5011</v>
      </c>
      <c r="K874" s="16">
        <v>9523.2341628639006</v>
      </c>
      <c r="L874" s="16">
        <v>1772.1947931999998</v>
      </c>
      <c r="M874" s="16">
        <f t="shared" si="26"/>
        <v>0.71622449744034222</v>
      </c>
    </row>
    <row r="875" spans="1:13" x14ac:dyDescent="0.25">
      <c r="A875" s="2">
        <f t="shared" si="27"/>
        <v>870</v>
      </c>
      <c r="B875" s="2">
        <v>33051</v>
      </c>
      <c r="C875" s="2" t="s">
        <v>3381</v>
      </c>
      <c r="D875" s="14" t="s">
        <v>869</v>
      </c>
      <c r="E875" s="14">
        <v>0</v>
      </c>
      <c r="F875" s="14">
        <v>0</v>
      </c>
      <c r="G875" s="14">
        <v>0</v>
      </c>
      <c r="H875" s="16">
        <v>0</v>
      </c>
      <c r="I875" s="16">
        <v>0</v>
      </c>
      <c r="J875" s="3" t="s">
        <v>5011</v>
      </c>
      <c r="K875" s="16">
        <v>0</v>
      </c>
      <c r="L875" s="16">
        <v>0</v>
      </c>
      <c r="M875" s="16">
        <v>0</v>
      </c>
    </row>
    <row r="876" spans="1:13" x14ac:dyDescent="0.25">
      <c r="A876" s="2">
        <f t="shared" si="27"/>
        <v>871</v>
      </c>
      <c r="B876" s="2">
        <v>33074</v>
      </c>
      <c r="C876" s="2" t="s">
        <v>3382</v>
      </c>
      <c r="D876" s="14" t="s">
        <v>870</v>
      </c>
      <c r="E876" s="14">
        <v>0</v>
      </c>
      <c r="F876" s="14">
        <v>0</v>
      </c>
      <c r="G876" s="14">
        <v>0</v>
      </c>
      <c r="H876" s="16">
        <v>9.9995000000000001E-2</v>
      </c>
      <c r="I876" s="16">
        <v>9.9995000000000001E-2</v>
      </c>
      <c r="J876" s="3" t="s">
        <v>5011</v>
      </c>
      <c r="K876" s="16">
        <v>0.18058743460000001</v>
      </c>
      <c r="L876" s="16">
        <v>9.8959500000000006E-2</v>
      </c>
      <c r="M876" s="16">
        <f t="shared" si="26"/>
        <v>0.98964448222411128</v>
      </c>
    </row>
    <row r="877" spans="1:13" x14ac:dyDescent="0.25">
      <c r="A877" s="2">
        <f t="shared" si="27"/>
        <v>872</v>
      </c>
      <c r="B877" s="2">
        <v>33090</v>
      </c>
      <c r="C877" s="2" t="s">
        <v>3383</v>
      </c>
      <c r="D877" s="14" t="s">
        <v>871</v>
      </c>
      <c r="E877" s="14">
        <v>0</v>
      </c>
      <c r="F877" s="14">
        <v>0</v>
      </c>
      <c r="G877" s="14">
        <v>0</v>
      </c>
      <c r="H877" s="16">
        <v>0</v>
      </c>
      <c r="I877" s="16">
        <v>0</v>
      </c>
      <c r="J877" s="3" t="s">
        <v>5011</v>
      </c>
      <c r="K877" s="16">
        <v>0</v>
      </c>
      <c r="L877" s="16">
        <v>0</v>
      </c>
      <c r="M877" s="16">
        <v>0</v>
      </c>
    </row>
    <row r="878" spans="1:13" x14ac:dyDescent="0.25">
      <c r="A878" s="2">
        <f t="shared" si="27"/>
        <v>873</v>
      </c>
      <c r="B878" s="2">
        <v>33177</v>
      </c>
      <c r="C878" s="2" t="s">
        <v>3384</v>
      </c>
      <c r="D878" s="14" t="s">
        <v>872</v>
      </c>
      <c r="E878" s="14">
        <v>0</v>
      </c>
      <c r="F878" s="14">
        <v>0</v>
      </c>
      <c r="G878" s="14">
        <v>0</v>
      </c>
      <c r="H878" s="16">
        <v>0</v>
      </c>
      <c r="I878" s="16">
        <v>0</v>
      </c>
      <c r="J878" s="3" t="s">
        <v>5011</v>
      </c>
      <c r="K878" s="16">
        <v>0</v>
      </c>
      <c r="L878" s="16">
        <v>0</v>
      </c>
      <c r="M878" s="16">
        <v>0</v>
      </c>
    </row>
    <row r="879" spans="1:13" x14ac:dyDescent="0.25">
      <c r="A879" s="2">
        <f t="shared" si="27"/>
        <v>874</v>
      </c>
      <c r="B879" s="2">
        <v>33241</v>
      </c>
      <c r="C879" s="2" t="s">
        <v>3385</v>
      </c>
      <c r="D879" s="14" t="s">
        <v>873</v>
      </c>
      <c r="E879" s="14">
        <v>19.126843999999998</v>
      </c>
      <c r="F879" s="14">
        <v>0</v>
      </c>
      <c r="G879" s="14">
        <v>19.126843999999998</v>
      </c>
      <c r="H879" s="16">
        <v>635.8112486</v>
      </c>
      <c r="I879" s="16">
        <v>415.29058769999995</v>
      </c>
      <c r="J879" s="3" t="s">
        <v>5011</v>
      </c>
      <c r="K879" s="16">
        <v>15385.009005946598</v>
      </c>
      <c r="L879" s="16">
        <v>1723.4476854</v>
      </c>
      <c r="M879" s="16">
        <f t="shared" si="26"/>
        <v>2.7106278619556967</v>
      </c>
    </row>
    <row r="880" spans="1:13" x14ac:dyDescent="0.25">
      <c r="A880" s="2">
        <f t="shared" si="27"/>
        <v>875</v>
      </c>
      <c r="B880" s="2">
        <v>33249</v>
      </c>
      <c r="C880" s="2" t="s">
        <v>3386</v>
      </c>
      <c r="D880" s="14" t="s">
        <v>874</v>
      </c>
      <c r="E880" s="14">
        <v>0</v>
      </c>
      <c r="F880" s="14">
        <v>0</v>
      </c>
      <c r="G880" s="14">
        <v>0</v>
      </c>
      <c r="H880" s="16">
        <v>0</v>
      </c>
      <c r="I880" s="16">
        <v>0</v>
      </c>
      <c r="J880" s="3" t="s">
        <v>5011</v>
      </c>
      <c r="K880" s="16">
        <v>0</v>
      </c>
      <c r="L880" s="16">
        <v>0</v>
      </c>
      <c r="M880" s="16">
        <v>0</v>
      </c>
    </row>
    <row r="881" spans="1:13" x14ac:dyDescent="0.25">
      <c r="A881" s="2">
        <f t="shared" si="27"/>
        <v>876</v>
      </c>
      <c r="B881" s="2">
        <v>33307</v>
      </c>
      <c r="C881" s="2" t="s">
        <v>3387</v>
      </c>
      <c r="D881" s="14" t="s">
        <v>875</v>
      </c>
      <c r="E881" s="14">
        <v>0</v>
      </c>
      <c r="F881" s="14">
        <v>0</v>
      </c>
      <c r="G881" s="14">
        <v>0</v>
      </c>
      <c r="H881" s="16">
        <v>1.499925</v>
      </c>
      <c r="I881" s="16">
        <v>1.499925</v>
      </c>
      <c r="J881" s="3" t="s">
        <v>5011</v>
      </c>
      <c r="K881" s="16">
        <v>0.29314011610000001</v>
      </c>
      <c r="L881" s="16">
        <v>1.5202154000000001</v>
      </c>
      <c r="M881" s="16">
        <f t="shared" si="26"/>
        <v>1.0135276097138191</v>
      </c>
    </row>
    <row r="882" spans="1:13" x14ac:dyDescent="0.25">
      <c r="A882" s="2">
        <f t="shared" si="27"/>
        <v>877</v>
      </c>
      <c r="B882" s="2">
        <v>33349</v>
      </c>
      <c r="C882" s="2" t="s">
        <v>3388</v>
      </c>
      <c r="D882" s="14" t="s">
        <v>876</v>
      </c>
      <c r="E882" s="14">
        <v>18.145683500000001</v>
      </c>
      <c r="F882" s="14">
        <v>0</v>
      </c>
      <c r="G882" s="14">
        <v>18.145683500000001</v>
      </c>
      <c r="H882" s="16">
        <v>438.71189189999996</v>
      </c>
      <c r="I882" s="16">
        <v>273.91667909999995</v>
      </c>
      <c r="J882" s="3" t="s">
        <v>5011</v>
      </c>
      <c r="K882" s="16">
        <v>14021.331275026007</v>
      </c>
      <c r="L882" s="16">
        <v>1579.4687769999998</v>
      </c>
      <c r="M882" s="16">
        <f t="shared" si="26"/>
        <v>3.6002415392925435</v>
      </c>
    </row>
    <row r="883" spans="1:13" x14ac:dyDescent="0.25">
      <c r="A883" s="2">
        <f t="shared" si="27"/>
        <v>878</v>
      </c>
      <c r="B883" s="2">
        <v>33361</v>
      </c>
      <c r="C883" s="2" t="s">
        <v>3389</v>
      </c>
      <c r="D883" s="14" t="s">
        <v>877</v>
      </c>
      <c r="E883" s="14">
        <v>0</v>
      </c>
      <c r="F883" s="14">
        <v>0</v>
      </c>
      <c r="G883" s="14">
        <v>0</v>
      </c>
      <c r="H883" s="16">
        <v>0</v>
      </c>
      <c r="I883" s="16">
        <v>0</v>
      </c>
      <c r="J883" s="3" t="s">
        <v>5011</v>
      </c>
      <c r="K883" s="16">
        <v>0</v>
      </c>
      <c r="L883" s="16">
        <v>0</v>
      </c>
      <c r="M883" s="16">
        <v>0</v>
      </c>
    </row>
    <row r="884" spans="1:13" x14ac:dyDescent="0.25">
      <c r="A884" s="2">
        <f t="shared" si="27"/>
        <v>879</v>
      </c>
      <c r="B884" s="2">
        <v>33422</v>
      </c>
      <c r="C884" s="2" t="s">
        <v>3390</v>
      </c>
      <c r="D884" s="14" t="s">
        <v>878</v>
      </c>
      <c r="E884" s="14">
        <v>9.4530522000000001</v>
      </c>
      <c r="F884" s="14">
        <v>0</v>
      </c>
      <c r="G884" s="14">
        <v>9.4530522000000001</v>
      </c>
      <c r="H884" s="16">
        <v>140.5129829</v>
      </c>
      <c r="I884" s="16">
        <v>-28.117256600000001</v>
      </c>
      <c r="J884" s="3" t="s">
        <v>5011</v>
      </c>
      <c r="K884" s="16">
        <v>7445.570631763997</v>
      </c>
      <c r="L884" s="16">
        <v>740.69690730000002</v>
      </c>
      <c r="M884" s="16">
        <f t="shared" si="26"/>
        <v>5.2713770073982253</v>
      </c>
    </row>
    <row r="885" spans="1:13" x14ac:dyDescent="0.25">
      <c r="A885" s="2">
        <f t="shared" si="27"/>
        <v>880</v>
      </c>
      <c r="B885" s="2">
        <v>33430</v>
      </c>
      <c r="C885" s="2" t="s">
        <v>3391</v>
      </c>
      <c r="D885" s="14" t="s">
        <v>879</v>
      </c>
      <c r="E885" s="14">
        <v>0</v>
      </c>
      <c r="F885" s="14">
        <v>0</v>
      </c>
      <c r="G885" s="14">
        <v>0</v>
      </c>
      <c r="H885" s="16">
        <v>0</v>
      </c>
      <c r="I885" s="16">
        <v>0</v>
      </c>
      <c r="J885" s="3" t="s">
        <v>5011</v>
      </c>
      <c r="K885" s="16">
        <v>0</v>
      </c>
      <c r="L885" s="16">
        <v>0</v>
      </c>
      <c r="M885" s="16">
        <v>0</v>
      </c>
    </row>
    <row r="886" spans="1:13" x14ac:dyDescent="0.25">
      <c r="A886" s="2">
        <f t="shared" si="27"/>
        <v>881</v>
      </c>
      <c r="B886" s="2">
        <v>33448</v>
      </c>
      <c r="C886" s="2" t="s">
        <v>3392</v>
      </c>
      <c r="D886" s="14" t="s">
        <v>880</v>
      </c>
      <c r="E886" s="14">
        <v>0</v>
      </c>
      <c r="F886" s="14">
        <v>0</v>
      </c>
      <c r="G886" s="14">
        <v>0</v>
      </c>
      <c r="H886" s="16">
        <v>0</v>
      </c>
      <c r="I886" s="16">
        <v>0</v>
      </c>
      <c r="J886" s="3" t="s">
        <v>5011</v>
      </c>
      <c r="K886" s="16">
        <v>0</v>
      </c>
      <c r="L886" s="16">
        <v>0</v>
      </c>
      <c r="M886" s="16">
        <v>0</v>
      </c>
    </row>
    <row r="887" spans="1:13" x14ac:dyDescent="0.25">
      <c r="A887" s="2">
        <f t="shared" si="27"/>
        <v>882</v>
      </c>
      <c r="B887" s="2">
        <v>33582</v>
      </c>
      <c r="C887" s="2" t="s">
        <v>3393</v>
      </c>
      <c r="D887" s="14" t="s">
        <v>881</v>
      </c>
      <c r="E887" s="14">
        <v>0</v>
      </c>
      <c r="F887" s="14">
        <v>0</v>
      </c>
      <c r="G887" s="14">
        <v>0</v>
      </c>
      <c r="H887" s="16">
        <v>0</v>
      </c>
      <c r="I887" s="16">
        <v>0</v>
      </c>
      <c r="J887" s="3" t="s">
        <v>5011</v>
      </c>
      <c r="K887" s="16">
        <v>0</v>
      </c>
      <c r="L887" s="16">
        <v>0</v>
      </c>
      <c r="M887" s="16">
        <v>0</v>
      </c>
    </row>
    <row r="888" spans="1:13" x14ac:dyDescent="0.25">
      <c r="A888" s="2">
        <f t="shared" si="27"/>
        <v>883</v>
      </c>
      <c r="B888" s="2">
        <v>33585</v>
      </c>
      <c r="C888" s="2" t="s">
        <v>3394</v>
      </c>
      <c r="D888" s="14" t="s">
        <v>882</v>
      </c>
      <c r="E888" s="14">
        <v>0.33403279999999996</v>
      </c>
      <c r="F888" s="14">
        <v>0</v>
      </c>
      <c r="G888" s="14">
        <v>0.33403279999999996</v>
      </c>
      <c r="H888" s="16">
        <v>87.800609800000004</v>
      </c>
      <c r="I888" s="16">
        <v>87.800609800000004</v>
      </c>
      <c r="J888" s="3" t="s">
        <v>5011</v>
      </c>
      <c r="K888" s="16">
        <v>458.24228932619997</v>
      </c>
      <c r="L888" s="16">
        <v>120.4296367</v>
      </c>
      <c r="M888" s="16">
        <f t="shared" si="26"/>
        <v>1.3716264269043834</v>
      </c>
    </row>
    <row r="889" spans="1:13" x14ac:dyDescent="0.25">
      <c r="A889" s="2">
        <f t="shared" si="27"/>
        <v>884</v>
      </c>
      <c r="B889" s="2">
        <v>33614</v>
      </c>
      <c r="C889" s="2" t="s">
        <v>3395</v>
      </c>
      <c r="D889" s="14" t="s">
        <v>883</v>
      </c>
      <c r="E889" s="14">
        <v>0</v>
      </c>
      <c r="F889" s="14">
        <v>0</v>
      </c>
      <c r="G889" s="14">
        <v>0</v>
      </c>
      <c r="H889" s="16">
        <v>0</v>
      </c>
      <c r="I889" s="16">
        <v>0</v>
      </c>
      <c r="J889" s="3" t="s">
        <v>5011</v>
      </c>
      <c r="K889" s="16">
        <v>0</v>
      </c>
      <c r="L889" s="16">
        <v>0</v>
      </c>
      <c r="M889" s="16">
        <v>0</v>
      </c>
    </row>
    <row r="890" spans="1:13" x14ac:dyDescent="0.25">
      <c r="A890" s="2">
        <f t="shared" si="27"/>
        <v>885</v>
      </c>
      <c r="B890" s="2">
        <v>33662</v>
      </c>
      <c r="C890" s="2" t="s">
        <v>3396</v>
      </c>
      <c r="D890" s="14" t="s">
        <v>884</v>
      </c>
      <c r="E890" s="14">
        <v>2.1669999999999998E-2</v>
      </c>
      <c r="F890" s="14">
        <v>0</v>
      </c>
      <c r="G890" s="14">
        <v>2.1669999999999998E-2</v>
      </c>
      <c r="H890" s="16">
        <v>23.79881</v>
      </c>
      <c r="I890" s="16">
        <v>23.79881</v>
      </c>
      <c r="J890" s="3" t="s">
        <v>5011</v>
      </c>
      <c r="K890" s="16">
        <v>58.557116477199997</v>
      </c>
      <c r="L890" s="16">
        <v>24.657834100000002</v>
      </c>
      <c r="M890" s="16">
        <f t="shared" si="26"/>
        <v>1.0360952543425492</v>
      </c>
    </row>
    <row r="891" spans="1:13" x14ac:dyDescent="0.25">
      <c r="A891" s="2">
        <f t="shared" si="27"/>
        <v>886</v>
      </c>
      <c r="B891" s="2">
        <v>33666</v>
      </c>
      <c r="C891" s="2" t="s">
        <v>3397</v>
      </c>
      <c r="D891" s="14" t="s">
        <v>885</v>
      </c>
      <c r="E891" s="14">
        <v>1.9364846999999996</v>
      </c>
      <c r="F891" s="14">
        <v>0</v>
      </c>
      <c r="G891" s="14">
        <v>1.9364846999999996</v>
      </c>
      <c r="H891" s="16">
        <v>122.2567682</v>
      </c>
      <c r="I891" s="16">
        <v>61.078152300000006</v>
      </c>
      <c r="J891" s="3" t="s">
        <v>5011</v>
      </c>
      <c r="K891" s="16">
        <v>1775.5439516670999</v>
      </c>
      <c r="L891" s="16">
        <v>213.12094620000002</v>
      </c>
      <c r="M891" s="16">
        <f t="shared" si="26"/>
        <v>1.7432241121518541</v>
      </c>
    </row>
    <row r="892" spans="1:13" x14ac:dyDescent="0.25">
      <c r="A892" s="2">
        <f t="shared" si="27"/>
        <v>887</v>
      </c>
      <c r="B892" s="2">
        <v>33684</v>
      </c>
      <c r="C892" s="2" t="s">
        <v>3398</v>
      </c>
      <c r="D892" s="14" t="s">
        <v>886</v>
      </c>
      <c r="E892" s="14">
        <v>1.8556099999999996E-2</v>
      </c>
      <c r="F892" s="14">
        <v>0</v>
      </c>
      <c r="G892" s="14">
        <v>1.8556099999999996E-2</v>
      </c>
      <c r="H892" s="16">
        <v>0</v>
      </c>
      <c r="I892" s="16">
        <v>0</v>
      </c>
      <c r="J892" s="3" t="s">
        <v>5011</v>
      </c>
      <c r="K892" s="16">
        <v>20.811894801699999</v>
      </c>
      <c r="L892" s="16">
        <v>2.1422264000000002</v>
      </c>
      <c r="M892" s="16">
        <v>0</v>
      </c>
    </row>
    <row r="893" spans="1:13" x14ac:dyDescent="0.25">
      <c r="A893" s="2">
        <f t="shared" si="27"/>
        <v>888</v>
      </c>
      <c r="B893" s="2">
        <v>33741</v>
      </c>
      <c r="C893" s="2" t="s">
        <v>3399</v>
      </c>
      <c r="D893" s="14" t="s">
        <v>887</v>
      </c>
      <c r="E893" s="14">
        <v>1.5334999999999999E-3</v>
      </c>
      <c r="F893" s="14">
        <v>0</v>
      </c>
      <c r="G893" s="14">
        <v>1.5334999999999999E-3</v>
      </c>
      <c r="H893" s="16">
        <v>2.8298584999999998</v>
      </c>
      <c r="I893" s="16">
        <v>2.2598584999999995</v>
      </c>
      <c r="J893" s="3" t="s">
        <v>5011</v>
      </c>
      <c r="K893" s="16">
        <v>7.3695529778999997</v>
      </c>
      <c r="L893" s="16">
        <v>2.329631</v>
      </c>
      <c r="M893" s="16">
        <f t="shared" si="26"/>
        <v>0.82323232769412324</v>
      </c>
    </row>
    <row r="894" spans="1:13" x14ac:dyDescent="0.25">
      <c r="A894" s="2">
        <f t="shared" si="27"/>
        <v>889</v>
      </c>
      <c r="B894" s="2">
        <v>33752</v>
      </c>
      <c r="C894" s="2" t="s">
        <v>3400</v>
      </c>
      <c r="D894" s="14" t="s">
        <v>888</v>
      </c>
      <c r="E894" s="14">
        <v>53.114710199999998</v>
      </c>
      <c r="F894" s="14">
        <v>0</v>
      </c>
      <c r="G894" s="14">
        <v>53.114710199999998</v>
      </c>
      <c r="H894" s="16">
        <v>1997.0268113999998</v>
      </c>
      <c r="I894" s="16">
        <v>1372.7171102999996</v>
      </c>
      <c r="J894" s="3" t="s">
        <v>5011</v>
      </c>
      <c r="K894" s="16">
        <v>43871.413680662081</v>
      </c>
      <c r="L894" s="16">
        <v>5565.8113940999992</v>
      </c>
      <c r="M894" s="16">
        <f t="shared" si="26"/>
        <v>2.7870489080705587</v>
      </c>
    </row>
    <row r="895" spans="1:13" x14ac:dyDescent="0.25">
      <c r="A895" s="2">
        <f t="shared" si="27"/>
        <v>890</v>
      </c>
      <c r="B895" s="2">
        <v>33764</v>
      </c>
      <c r="C895" s="2" t="s">
        <v>3401</v>
      </c>
      <c r="D895" s="14" t="s">
        <v>889</v>
      </c>
      <c r="E895" s="14">
        <v>3.2254000000000002E-3</v>
      </c>
      <c r="F895" s="14">
        <v>0</v>
      </c>
      <c r="G895" s="14">
        <v>3.2254000000000002E-3</v>
      </c>
      <c r="H895" s="16">
        <v>0</v>
      </c>
      <c r="I895" s="16">
        <v>-1.5988479</v>
      </c>
      <c r="J895" s="3" t="s">
        <v>5011</v>
      </c>
      <c r="K895" s="16">
        <v>6.3171296681000007</v>
      </c>
      <c r="L895" s="16">
        <v>0</v>
      </c>
      <c r="M895" s="16">
        <v>0</v>
      </c>
    </row>
    <row r="896" spans="1:13" x14ac:dyDescent="0.25">
      <c r="A896" s="2">
        <f t="shared" si="27"/>
        <v>891</v>
      </c>
      <c r="B896" s="2">
        <v>33853</v>
      </c>
      <c r="C896" s="2" t="s">
        <v>3402</v>
      </c>
      <c r="D896" s="14" t="s">
        <v>890</v>
      </c>
      <c r="E896" s="14">
        <v>0</v>
      </c>
      <c r="F896" s="14">
        <v>0</v>
      </c>
      <c r="G896" s="14">
        <v>0</v>
      </c>
      <c r="H896" s="16">
        <v>0</v>
      </c>
      <c r="I896" s="16">
        <v>0</v>
      </c>
      <c r="J896" s="3" t="s">
        <v>5011</v>
      </c>
      <c r="K896" s="16">
        <v>0</v>
      </c>
      <c r="L896" s="16">
        <v>0</v>
      </c>
      <c r="M896" s="16">
        <v>0</v>
      </c>
    </row>
    <row r="897" spans="1:13" x14ac:dyDescent="0.25">
      <c r="A897" s="2">
        <f t="shared" si="27"/>
        <v>892</v>
      </c>
      <c r="B897" s="2">
        <v>33919</v>
      </c>
      <c r="C897" s="2" t="s">
        <v>3403</v>
      </c>
      <c r="D897" s="14" t="s">
        <v>891</v>
      </c>
      <c r="E897" s="14">
        <v>57.297511700000001</v>
      </c>
      <c r="F897" s="14">
        <v>0</v>
      </c>
      <c r="G897" s="14">
        <v>57.297511700000001</v>
      </c>
      <c r="H897" s="16">
        <v>3625.9415472000001</v>
      </c>
      <c r="I897" s="16">
        <v>1652.5615786000001</v>
      </c>
      <c r="J897" s="3" t="s">
        <v>5011</v>
      </c>
      <c r="K897" s="16">
        <v>54039.319286691527</v>
      </c>
      <c r="L897" s="16">
        <v>6471.1016165000001</v>
      </c>
      <c r="M897" s="16">
        <f t="shared" si="26"/>
        <v>1.7846679358350579</v>
      </c>
    </row>
    <row r="898" spans="1:13" x14ac:dyDescent="0.25">
      <c r="A898" s="2">
        <f t="shared" si="27"/>
        <v>893</v>
      </c>
      <c r="B898" s="2">
        <v>34033</v>
      </c>
      <c r="C898" s="2" t="s">
        <v>3404</v>
      </c>
      <c r="D898" s="14" t="s">
        <v>892</v>
      </c>
      <c r="E898" s="14">
        <v>1.8167247</v>
      </c>
      <c r="F898" s="14">
        <v>0</v>
      </c>
      <c r="G898" s="14">
        <v>1.8167247</v>
      </c>
      <c r="H898" s="16">
        <v>200.5192198</v>
      </c>
      <c r="I898" s="16">
        <v>136.41323420000001</v>
      </c>
      <c r="J898" s="3" t="s">
        <v>5011</v>
      </c>
      <c r="K898" s="16">
        <v>2091.7458218149</v>
      </c>
      <c r="L898" s="16">
        <v>292.45546410000003</v>
      </c>
      <c r="M898" s="16">
        <f t="shared" si="26"/>
        <v>1.4584909336456535</v>
      </c>
    </row>
    <row r="899" spans="1:13" x14ac:dyDescent="0.25">
      <c r="A899" s="2">
        <f t="shared" si="27"/>
        <v>894</v>
      </c>
      <c r="B899" s="2">
        <v>34042</v>
      </c>
      <c r="C899" s="2" t="s">
        <v>3405</v>
      </c>
      <c r="D899" s="14" t="s">
        <v>893</v>
      </c>
      <c r="E899" s="14">
        <v>0.75741059999999993</v>
      </c>
      <c r="F899" s="14">
        <v>0</v>
      </c>
      <c r="G899" s="14">
        <v>0.75741059999999993</v>
      </c>
      <c r="H899" s="16">
        <v>5.2497375000000002</v>
      </c>
      <c r="I899" s="16">
        <v>5.2234749000000003</v>
      </c>
      <c r="J899" s="3" t="s">
        <v>5011</v>
      </c>
      <c r="K899" s="16">
        <v>776.83493763590002</v>
      </c>
      <c r="L899" s="16">
        <v>82.274347899999995</v>
      </c>
      <c r="M899" s="16">
        <f t="shared" si="26"/>
        <v>15.672087966303076</v>
      </c>
    </row>
    <row r="900" spans="1:13" x14ac:dyDescent="0.25">
      <c r="A900" s="2">
        <f t="shared" si="27"/>
        <v>895</v>
      </c>
      <c r="B900" s="2">
        <v>34074</v>
      </c>
      <c r="C900" s="2" t="s">
        <v>3406</v>
      </c>
      <c r="D900" s="14" t="s">
        <v>894</v>
      </c>
      <c r="E900" s="14">
        <v>0</v>
      </c>
      <c r="F900" s="14">
        <v>0</v>
      </c>
      <c r="G900" s="14">
        <v>0</v>
      </c>
      <c r="H900" s="16">
        <v>0</v>
      </c>
      <c r="I900" s="16">
        <v>0</v>
      </c>
      <c r="J900" s="3" t="s">
        <v>5011</v>
      </c>
      <c r="K900" s="16">
        <v>0</v>
      </c>
      <c r="L900" s="16">
        <v>0</v>
      </c>
      <c r="M900" s="16">
        <v>0</v>
      </c>
    </row>
    <row r="901" spans="1:13" x14ac:dyDescent="0.25">
      <c r="A901" s="2">
        <f t="shared" si="27"/>
        <v>896</v>
      </c>
      <c r="B901" s="2">
        <v>34097</v>
      </c>
      <c r="C901" s="2" t="s">
        <v>3407</v>
      </c>
      <c r="D901" s="14" t="s">
        <v>895</v>
      </c>
      <c r="E901" s="14">
        <v>1.3340000000000001E-3</v>
      </c>
      <c r="F901" s="14">
        <v>0</v>
      </c>
      <c r="G901" s="14">
        <v>1.3340000000000001E-3</v>
      </c>
      <c r="H901" s="16">
        <v>2.5198741</v>
      </c>
      <c r="I901" s="16">
        <v>2.5198741</v>
      </c>
      <c r="J901" s="3" t="s">
        <v>5011</v>
      </c>
      <c r="K901" s="16">
        <v>14.048249798100002</v>
      </c>
      <c r="L901" s="16">
        <v>3.5429215000000003</v>
      </c>
      <c r="M901" s="16">
        <f t="shared" si="26"/>
        <v>1.4059914739391148</v>
      </c>
    </row>
    <row r="902" spans="1:13" x14ac:dyDescent="0.25">
      <c r="A902" s="2">
        <f t="shared" si="27"/>
        <v>897</v>
      </c>
      <c r="B902" s="2">
        <v>34180</v>
      </c>
      <c r="C902" s="2" t="s">
        <v>3408</v>
      </c>
      <c r="D902" s="14" t="s">
        <v>896</v>
      </c>
      <c r="E902" s="14">
        <v>20.210806900000001</v>
      </c>
      <c r="F902" s="14">
        <v>0</v>
      </c>
      <c r="G902" s="14">
        <v>20.210806900000001</v>
      </c>
      <c r="H902" s="16">
        <v>548.60807130000001</v>
      </c>
      <c r="I902" s="16">
        <v>397.62852810000004</v>
      </c>
      <c r="J902" s="3" t="s">
        <v>5011</v>
      </c>
      <c r="K902" s="16">
        <v>16349.800770261605</v>
      </c>
      <c r="L902" s="16">
        <v>1949.7684987</v>
      </c>
      <c r="M902" s="16">
        <f t="shared" si="26"/>
        <v>3.5540280952844232</v>
      </c>
    </row>
    <row r="903" spans="1:13" x14ac:dyDescent="0.25">
      <c r="A903" s="2">
        <f t="shared" si="27"/>
        <v>898</v>
      </c>
      <c r="B903" s="2">
        <v>34238</v>
      </c>
      <c r="C903" s="2" t="s">
        <v>3409</v>
      </c>
      <c r="D903" s="14" t="s">
        <v>897</v>
      </c>
      <c r="E903" s="14">
        <v>0</v>
      </c>
      <c r="F903" s="14">
        <v>0</v>
      </c>
      <c r="G903" s="14">
        <v>0</v>
      </c>
      <c r="H903" s="16">
        <v>0</v>
      </c>
      <c r="I903" s="16">
        <v>0</v>
      </c>
      <c r="J903" s="3" t="s">
        <v>5011</v>
      </c>
      <c r="K903" s="16">
        <v>0</v>
      </c>
      <c r="L903" s="16">
        <v>0</v>
      </c>
      <c r="M903" s="16">
        <v>0</v>
      </c>
    </row>
    <row r="904" spans="1:13" x14ac:dyDescent="0.25">
      <c r="A904" s="2">
        <f t="shared" ref="A904:A967" si="28">A903+1</f>
        <v>899</v>
      </c>
      <c r="B904" s="2">
        <v>34269</v>
      </c>
      <c r="C904" s="2" t="s">
        <v>3410</v>
      </c>
      <c r="D904" s="14" t="s">
        <v>898</v>
      </c>
      <c r="E904" s="14">
        <v>6.3876999999999996E-3</v>
      </c>
      <c r="F904" s="14">
        <v>0</v>
      </c>
      <c r="G904" s="14">
        <v>6.3876999999999996E-3</v>
      </c>
      <c r="H904" s="16">
        <v>21.950902899999999</v>
      </c>
      <c r="I904" s="16">
        <v>21.5939029</v>
      </c>
      <c r="J904" s="3" t="s">
        <v>5011</v>
      </c>
      <c r="K904" s="16">
        <v>23.9199329747</v>
      </c>
      <c r="L904" s="16">
        <v>22.244215299999997</v>
      </c>
      <c r="M904" s="16">
        <f t="shared" ref="M903:M966" si="29">L904/H904</f>
        <v>1.0133622020623123</v>
      </c>
    </row>
    <row r="905" spans="1:13" x14ac:dyDescent="0.25">
      <c r="A905" s="2">
        <f t="shared" si="28"/>
        <v>900</v>
      </c>
      <c r="B905" s="2">
        <v>34347</v>
      </c>
      <c r="C905" s="2" t="s">
        <v>3411</v>
      </c>
      <c r="D905" s="14" t="s">
        <v>899</v>
      </c>
      <c r="E905" s="14">
        <v>0.25404969999999999</v>
      </c>
      <c r="F905" s="14">
        <v>0</v>
      </c>
      <c r="G905" s="14">
        <v>0.25404969999999999</v>
      </c>
      <c r="H905" s="16">
        <v>17.387130900000002</v>
      </c>
      <c r="I905" s="16">
        <v>17.387130900000002</v>
      </c>
      <c r="J905" s="3" t="s">
        <v>5011</v>
      </c>
      <c r="K905" s="16">
        <v>274.71274459100005</v>
      </c>
      <c r="L905" s="16">
        <v>34.533415300000001</v>
      </c>
      <c r="M905" s="16">
        <f t="shared" si="29"/>
        <v>1.9861480021410547</v>
      </c>
    </row>
    <row r="906" spans="1:13" x14ac:dyDescent="0.25">
      <c r="A906" s="2">
        <f t="shared" si="28"/>
        <v>901</v>
      </c>
      <c r="B906" s="2">
        <v>34348</v>
      </c>
      <c r="C906" s="2" t="s">
        <v>3412</v>
      </c>
      <c r="D906" s="14" t="s">
        <v>900</v>
      </c>
      <c r="E906" s="14">
        <v>0</v>
      </c>
      <c r="F906" s="14">
        <v>0</v>
      </c>
      <c r="G906" s="14">
        <v>0</v>
      </c>
      <c r="H906" s="16">
        <v>0</v>
      </c>
      <c r="I906" s="16">
        <v>0</v>
      </c>
      <c r="J906" s="3" t="s">
        <v>5011</v>
      </c>
      <c r="K906" s="16">
        <v>0</v>
      </c>
      <c r="L906" s="16">
        <v>0</v>
      </c>
      <c r="M906" s="16">
        <v>0</v>
      </c>
    </row>
    <row r="907" spans="1:13" x14ac:dyDescent="0.25">
      <c r="A907" s="2">
        <f t="shared" si="28"/>
        <v>902</v>
      </c>
      <c r="B907" s="2">
        <v>34364</v>
      </c>
      <c r="C907" s="2" t="s">
        <v>3413</v>
      </c>
      <c r="D907" s="14" t="s">
        <v>901</v>
      </c>
      <c r="E907" s="14">
        <v>0</v>
      </c>
      <c r="F907" s="14">
        <v>0</v>
      </c>
      <c r="G907" s="14">
        <v>0</v>
      </c>
      <c r="H907" s="16">
        <v>0</v>
      </c>
      <c r="I907" s="16">
        <v>0</v>
      </c>
      <c r="J907" s="3" t="s">
        <v>5011</v>
      </c>
      <c r="K907" s="16">
        <v>0</v>
      </c>
      <c r="L907" s="16">
        <v>0</v>
      </c>
      <c r="M907" s="16">
        <v>0</v>
      </c>
    </row>
    <row r="908" spans="1:13" x14ac:dyDescent="0.25">
      <c r="A908" s="2">
        <f t="shared" si="28"/>
        <v>903</v>
      </c>
      <c r="B908" s="2">
        <v>34386</v>
      </c>
      <c r="C908" s="2" t="s">
        <v>3414</v>
      </c>
      <c r="D908" s="14" t="s">
        <v>902</v>
      </c>
      <c r="E908" s="14">
        <v>0</v>
      </c>
      <c r="F908" s="14">
        <v>0</v>
      </c>
      <c r="G908" s="14">
        <v>0</v>
      </c>
      <c r="H908" s="16">
        <v>0</v>
      </c>
      <c r="I908" s="16">
        <v>0</v>
      </c>
      <c r="J908" s="3" t="s">
        <v>5011</v>
      </c>
      <c r="K908" s="16">
        <v>0</v>
      </c>
      <c r="L908" s="16">
        <v>0</v>
      </c>
      <c r="M908" s="16">
        <v>0</v>
      </c>
    </row>
    <row r="909" spans="1:13" x14ac:dyDescent="0.25">
      <c r="A909" s="2">
        <f t="shared" si="28"/>
        <v>904</v>
      </c>
      <c r="B909" s="2">
        <v>34413</v>
      </c>
      <c r="C909" s="2" t="s">
        <v>3415</v>
      </c>
      <c r="D909" s="14" t="s">
        <v>903</v>
      </c>
      <c r="E909" s="14">
        <v>5.6365999999999992E-2</v>
      </c>
      <c r="F909" s="14">
        <v>0</v>
      </c>
      <c r="G909" s="14">
        <v>5.6365999999999992E-2</v>
      </c>
      <c r="H909" s="16">
        <v>8.7195640000000001</v>
      </c>
      <c r="I909" s="16">
        <v>8.7195640000000001</v>
      </c>
      <c r="J909" s="3" t="s">
        <v>5011</v>
      </c>
      <c r="K909" s="16">
        <v>87.980290322099989</v>
      </c>
      <c r="L909" s="16">
        <v>13.927529</v>
      </c>
      <c r="M909" s="16">
        <f t="shared" si="29"/>
        <v>1.5972735563383673</v>
      </c>
    </row>
    <row r="910" spans="1:13" x14ac:dyDescent="0.25">
      <c r="A910" s="2">
        <f t="shared" si="28"/>
        <v>905</v>
      </c>
      <c r="B910" s="2">
        <v>34481</v>
      </c>
      <c r="C910" s="2" t="s">
        <v>3416</v>
      </c>
      <c r="D910" s="14" t="s">
        <v>904</v>
      </c>
      <c r="E910" s="14">
        <v>0</v>
      </c>
      <c r="F910" s="14">
        <v>0</v>
      </c>
      <c r="G910" s="14">
        <v>0</v>
      </c>
      <c r="H910" s="16">
        <v>0</v>
      </c>
      <c r="I910" s="16">
        <v>0</v>
      </c>
      <c r="J910" s="3" t="s">
        <v>5011</v>
      </c>
      <c r="K910" s="16">
        <v>0</v>
      </c>
      <c r="L910" s="16">
        <v>0</v>
      </c>
      <c r="M910" s="16">
        <v>0</v>
      </c>
    </row>
    <row r="911" spans="1:13" x14ac:dyDescent="0.25">
      <c r="A911" s="2">
        <f t="shared" si="28"/>
        <v>906</v>
      </c>
      <c r="B911" s="2">
        <v>34488</v>
      </c>
      <c r="C911" s="2" t="s">
        <v>3417</v>
      </c>
      <c r="D911" s="14" t="s">
        <v>905</v>
      </c>
      <c r="E911" s="14">
        <v>3.4500000000000005E-5</v>
      </c>
      <c r="F911" s="14">
        <v>0</v>
      </c>
      <c r="G911" s="14">
        <v>3.4500000000000005E-5</v>
      </c>
      <c r="H911" s="16">
        <v>1.6699165</v>
      </c>
      <c r="I911" s="16">
        <v>1.6699165</v>
      </c>
      <c r="J911" s="3" t="s">
        <v>5011</v>
      </c>
      <c r="K911" s="16">
        <v>2.0206106583999999</v>
      </c>
      <c r="L911" s="16">
        <v>1.8454098999999999</v>
      </c>
      <c r="M911" s="16">
        <f t="shared" si="29"/>
        <v>1.1050911228196141</v>
      </c>
    </row>
    <row r="912" spans="1:13" x14ac:dyDescent="0.25">
      <c r="A912" s="2">
        <f t="shared" si="28"/>
        <v>907</v>
      </c>
      <c r="B912" s="2">
        <v>34515</v>
      </c>
      <c r="C912" s="2" t="s">
        <v>3418</v>
      </c>
      <c r="D912" s="14" t="s">
        <v>906</v>
      </c>
      <c r="E912" s="14">
        <v>0</v>
      </c>
      <c r="F912" s="14">
        <v>0</v>
      </c>
      <c r="G912" s="14">
        <v>0</v>
      </c>
      <c r="H912" s="16">
        <v>0</v>
      </c>
      <c r="I912" s="16">
        <v>0</v>
      </c>
      <c r="J912" s="3" t="s">
        <v>5011</v>
      </c>
      <c r="K912" s="16">
        <v>0</v>
      </c>
      <c r="L912" s="16">
        <v>0</v>
      </c>
      <c r="M912" s="16">
        <v>0</v>
      </c>
    </row>
    <row r="913" spans="1:13" x14ac:dyDescent="0.25">
      <c r="A913" s="2">
        <f t="shared" si="28"/>
        <v>908</v>
      </c>
      <c r="B913" s="2">
        <v>34796</v>
      </c>
      <c r="C913" s="2" t="s">
        <v>3419</v>
      </c>
      <c r="D913" s="14" t="s">
        <v>907</v>
      </c>
      <c r="E913" s="14">
        <v>0</v>
      </c>
      <c r="F913" s="14">
        <v>0</v>
      </c>
      <c r="G913" s="14">
        <v>0</v>
      </c>
      <c r="H913" s="16">
        <v>0</v>
      </c>
      <c r="I913" s="16">
        <v>0</v>
      </c>
      <c r="J913" s="3" t="s">
        <v>5011</v>
      </c>
      <c r="K913" s="16">
        <v>0</v>
      </c>
      <c r="L913" s="16">
        <v>0</v>
      </c>
      <c r="M913" s="16">
        <v>0</v>
      </c>
    </row>
    <row r="914" spans="1:13" x14ac:dyDescent="0.25">
      <c r="A914" s="2">
        <f t="shared" si="28"/>
        <v>909</v>
      </c>
      <c r="B914" s="2">
        <v>34797</v>
      </c>
      <c r="C914" s="2" t="s">
        <v>3420</v>
      </c>
      <c r="D914" s="14" t="s">
        <v>908</v>
      </c>
      <c r="E914" s="14">
        <v>0.31353259999999999</v>
      </c>
      <c r="F914" s="14">
        <v>0</v>
      </c>
      <c r="G914" s="14">
        <v>0.31353259999999999</v>
      </c>
      <c r="H914" s="16">
        <v>43.390655799999998</v>
      </c>
      <c r="I914" s="16">
        <v>24.891583900000001</v>
      </c>
      <c r="J914" s="3" t="s">
        <v>5011</v>
      </c>
      <c r="K914" s="16">
        <v>442.36592532880002</v>
      </c>
      <c r="L914" s="16">
        <v>52.868665199999995</v>
      </c>
      <c r="M914" s="16">
        <f t="shared" si="29"/>
        <v>1.2184343431840916</v>
      </c>
    </row>
    <row r="915" spans="1:13" x14ac:dyDescent="0.25">
      <c r="A915" s="2">
        <f t="shared" si="28"/>
        <v>910</v>
      </c>
      <c r="B915" s="2">
        <v>34829</v>
      </c>
      <c r="C915" s="2" t="s">
        <v>3421</v>
      </c>
      <c r="D915" s="14" t="s">
        <v>909</v>
      </c>
      <c r="E915" s="14">
        <v>11.412622799999999</v>
      </c>
      <c r="F915" s="14">
        <v>0</v>
      </c>
      <c r="G915" s="14">
        <v>11.412622799999999</v>
      </c>
      <c r="H915" s="16">
        <v>271.51949300000001</v>
      </c>
      <c r="I915" s="16">
        <v>220.29773899999998</v>
      </c>
      <c r="J915" s="3" t="s">
        <v>5011</v>
      </c>
      <c r="K915" s="16">
        <v>8530.0938102479977</v>
      </c>
      <c r="L915" s="16">
        <v>1021.0371611</v>
      </c>
      <c r="M915" s="16">
        <f t="shared" si="29"/>
        <v>3.7604562008371163</v>
      </c>
    </row>
    <row r="916" spans="1:13" x14ac:dyDescent="0.25">
      <c r="A916" s="2">
        <f t="shared" si="28"/>
        <v>911</v>
      </c>
      <c r="B916" s="2">
        <v>34833</v>
      </c>
      <c r="C916" s="2" t="s">
        <v>3422</v>
      </c>
      <c r="D916" s="14" t="s">
        <v>910</v>
      </c>
      <c r="E916" s="14">
        <v>0.28723729999999997</v>
      </c>
      <c r="F916" s="14">
        <v>0</v>
      </c>
      <c r="G916" s="14">
        <v>0.28723729999999997</v>
      </c>
      <c r="H916" s="16">
        <v>7.6246192000000006</v>
      </c>
      <c r="I916" s="16">
        <v>-2.7292274999999999</v>
      </c>
      <c r="J916" s="3" t="s">
        <v>5011</v>
      </c>
      <c r="K916" s="16">
        <v>255.335564162</v>
      </c>
      <c r="L916" s="16">
        <v>26.1193688</v>
      </c>
      <c r="M916" s="16">
        <f t="shared" si="29"/>
        <v>3.4256620710972685</v>
      </c>
    </row>
    <row r="917" spans="1:13" x14ac:dyDescent="0.25">
      <c r="A917" s="2">
        <f t="shared" si="28"/>
        <v>912</v>
      </c>
      <c r="B917" s="2">
        <v>34907</v>
      </c>
      <c r="C917" s="2" t="s">
        <v>3423</v>
      </c>
      <c r="D917" s="14" t="s">
        <v>911</v>
      </c>
      <c r="E917" s="14">
        <v>24.435547000000003</v>
      </c>
      <c r="F917" s="14">
        <v>0</v>
      </c>
      <c r="G917" s="14">
        <v>24.435547000000003</v>
      </c>
      <c r="H917" s="16">
        <v>781.23562629999992</v>
      </c>
      <c r="I917" s="16">
        <v>326.82043389999995</v>
      </c>
      <c r="J917" s="3" t="s">
        <v>5011</v>
      </c>
      <c r="K917" s="16">
        <v>18927.489510858501</v>
      </c>
      <c r="L917" s="16">
        <v>2109.0684984</v>
      </c>
      <c r="M917" s="16">
        <f t="shared" si="29"/>
        <v>2.6996573471549579</v>
      </c>
    </row>
    <row r="918" spans="1:13" x14ac:dyDescent="0.25">
      <c r="A918" s="2">
        <f t="shared" si="28"/>
        <v>913</v>
      </c>
      <c r="B918" s="2">
        <v>34910</v>
      </c>
      <c r="C918" s="2" t="s">
        <v>3424</v>
      </c>
      <c r="D918" s="14" t="s">
        <v>912</v>
      </c>
      <c r="E918" s="14">
        <v>14.086463100000001</v>
      </c>
      <c r="F918" s="14">
        <v>0</v>
      </c>
      <c r="G918" s="14">
        <v>14.086463100000001</v>
      </c>
      <c r="H918" s="16">
        <v>2248.4697003000001</v>
      </c>
      <c r="I918" s="16">
        <v>1456.481597</v>
      </c>
      <c r="J918" s="3" t="s">
        <v>5011</v>
      </c>
      <c r="K918" s="16">
        <v>17645.917433818511</v>
      </c>
      <c r="L918" s="16">
        <v>2549.0883727999999</v>
      </c>
      <c r="M918" s="16">
        <f t="shared" si="29"/>
        <v>1.1336992321755059</v>
      </c>
    </row>
    <row r="919" spans="1:13" x14ac:dyDescent="0.25">
      <c r="A919" s="2">
        <f t="shared" si="28"/>
        <v>914</v>
      </c>
      <c r="B919" s="2">
        <v>34929</v>
      </c>
      <c r="C919" s="2" t="s">
        <v>3425</v>
      </c>
      <c r="D919" s="14" t="s">
        <v>913</v>
      </c>
      <c r="E919" s="14">
        <v>3.7502299999999995E-2</v>
      </c>
      <c r="F919" s="14">
        <v>0</v>
      </c>
      <c r="G919" s="14">
        <v>3.7502299999999995E-2</v>
      </c>
      <c r="H919" s="16">
        <v>1.7999106</v>
      </c>
      <c r="I919" s="16">
        <v>1.7999106</v>
      </c>
      <c r="J919" s="3" t="s">
        <v>5011</v>
      </c>
      <c r="K919" s="16">
        <v>40.155879226599993</v>
      </c>
      <c r="L919" s="16">
        <v>5.8291797999999995</v>
      </c>
      <c r="M919" s="16">
        <f t="shared" si="29"/>
        <v>3.2385940723944842</v>
      </c>
    </row>
    <row r="920" spans="1:13" x14ac:dyDescent="0.25">
      <c r="A920" s="2">
        <f t="shared" si="28"/>
        <v>915</v>
      </c>
      <c r="B920" s="2">
        <v>34962</v>
      </c>
      <c r="C920" s="2" t="s">
        <v>3426</v>
      </c>
      <c r="D920" s="14" t="s">
        <v>914</v>
      </c>
      <c r="E920" s="14">
        <v>3.1347011</v>
      </c>
      <c r="F920" s="14">
        <v>0</v>
      </c>
      <c r="G920" s="14">
        <v>3.1347011</v>
      </c>
      <c r="H920" s="16">
        <v>120.21398929999999</v>
      </c>
      <c r="I920" s="16">
        <v>120.21398929999999</v>
      </c>
      <c r="J920" s="3" t="s">
        <v>5011</v>
      </c>
      <c r="K920" s="16">
        <v>3074.2825473767998</v>
      </c>
      <c r="L920" s="16">
        <v>365.93213619999995</v>
      </c>
      <c r="M920" s="16">
        <f t="shared" si="29"/>
        <v>3.0440062619234611</v>
      </c>
    </row>
    <row r="921" spans="1:13" x14ac:dyDescent="0.25">
      <c r="A921" s="2">
        <f t="shared" si="28"/>
        <v>916</v>
      </c>
      <c r="B921" s="2">
        <v>34976</v>
      </c>
      <c r="C921" s="2" t="s">
        <v>3427</v>
      </c>
      <c r="D921" s="14" t="s">
        <v>915</v>
      </c>
      <c r="E921" s="14">
        <v>0.21982900000000002</v>
      </c>
      <c r="F921" s="14">
        <v>0</v>
      </c>
      <c r="G921" s="14">
        <v>0.21982900000000002</v>
      </c>
      <c r="H921" s="16">
        <v>3.9298034999999998</v>
      </c>
      <c r="I921" s="16">
        <v>3.9298034999999998</v>
      </c>
      <c r="J921" s="3" t="s">
        <v>5011</v>
      </c>
      <c r="K921" s="16">
        <v>216.12820406219998</v>
      </c>
      <c r="L921" s="16">
        <v>0</v>
      </c>
      <c r="M921" s="16">
        <f t="shared" si="29"/>
        <v>0</v>
      </c>
    </row>
    <row r="922" spans="1:13" x14ac:dyDescent="0.25">
      <c r="A922" s="2">
        <f t="shared" si="28"/>
        <v>917</v>
      </c>
      <c r="B922" s="2">
        <v>35161</v>
      </c>
      <c r="C922" s="2" t="s">
        <v>3428</v>
      </c>
      <c r="D922" s="14" t="s">
        <v>916</v>
      </c>
      <c r="E922" s="14">
        <v>0</v>
      </c>
      <c r="F922" s="14">
        <v>0</v>
      </c>
      <c r="G922" s="14">
        <v>0</v>
      </c>
      <c r="H922" s="16">
        <v>0</v>
      </c>
      <c r="I922" s="16">
        <v>0</v>
      </c>
      <c r="J922" s="3" t="s">
        <v>5011</v>
      </c>
      <c r="K922" s="16">
        <v>0</v>
      </c>
      <c r="L922" s="16">
        <v>0</v>
      </c>
      <c r="M922" s="16">
        <v>0</v>
      </c>
    </row>
    <row r="923" spans="1:13" x14ac:dyDescent="0.25">
      <c r="A923" s="2">
        <f t="shared" si="28"/>
        <v>918</v>
      </c>
      <c r="B923" s="2">
        <v>35275</v>
      </c>
      <c r="C923" s="2" t="s">
        <v>3429</v>
      </c>
      <c r="D923" s="14" t="s">
        <v>917</v>
      </c>
      <c r="E923" s="14">
        <v>0.1408536</v>
      </c>
      <c r="F923" s="14">
        <v>0</v>
      </c>
      <c r="G923" s="14">
        <v>0.1408536</v>
      </c>
      <c r="H923" s="16">
        <v>56.047199000000006</v>
      </c>
      <c r="I923" s="16">
        <v>53.947199000000005</v>
      </c>
      <c r="J923" s="3" t="s">
        <v>5011</v>
      </c>
      <c r="K923" s="16">
        <v>432.91841095189989</v>
      </c>
      <c r="L923" s="16">
        <v>64.183114700000004</v>
      </c>
      <c r="M923" s="16">
        <f t="shared" si="29"/>
        <v>1.1451618608094938</v>
      </c>
    </row>
    <row r="924" spans="1:13" x14ac:dyDescent="0.25">
      <c r="A924" s="2">
        <f t="shared" si="28"/>
        <v>919</v>
      </c>
      <c r="B924" s="2">
        <v>35323</v>
      </c>
      <c r="C924" s="2" t="s">
        <v>3430</v>
      </c>
      <c r="D924" s="14" t="s">
        <v>918</v>
      </c>
      <c r="E924" s="14">
        <v>9.6730000000000004E-4</v>
      </c>
      <c r="F924" s="14">
        <v>0</v>
      </c>
      <c r="G924" s="14">
        <v>9.6730000000000004E-4</v>
      </c>
      <c r="H924" s="16">
        <v>1.4399279999999999</v>
      </c>
      <c r="I924" s="16">
        <v>1.1816972999999997</v>
      </c>
      <c r="J924" s="3" t="s">
        <v>5011</v>
      </c>
      <c r="K924" s="16">
        <v>2.6747550959000002</v>
      </c>
      <c r="L924" s="16">
        <v>1.2329946000000001</v>
      </c>
      <c r="M924" s="16">
        <f t="shared" si="29"/>
        <v>0.85628906445322273</v>
      </c>
    </row>
    <row r="925" spans="1:13" x14ac:dyDescent="0.25">
      <c r="A925" s="2">
        <f t="shared" si="28"/>
        <v>920</v>
      </c>
      <c r="B925" s="2">
        <v>35392</v>
      </c>
      <c r="C925" s="2" t="s">
        <v>3431</v>
      </c>
      <c r="D925" s="14" t="s">
        <v>919</v>
      </c>
      <c r="E925" s="14">
        <v>9.2324900000000001E-2</v>
      </c>
      <c r="F925" s="14">
        <v>0</v>
      </c>
      <c r="G925" s="14">
        <v>9.2324900000000001E-2</v>
      </c>
      <c r="H925" s="16">
        <v>8.7644450000000003</v>
      </c>
      <c r="I925" s="16">
        <v>8.4895621999999999</v>
      </c>
      <c r="J925" s="3" t="s">
        <v>5011</v>
      </c>
      <c r="K925" s="16">
        <v>99.010655333300008</v>
      </c>
      <c r="L925" s="16">
        <v>16.610887900000002</v>
      </c>
      <c r="M925" s="16">
        <f t="shared" si="29"/>
        <v>1.8952583877244937</v>
      </c>
    </row>
    <row r="926" spans="1:13" x14ac:dyDescent="0.25">
      <c r="A926" s="2">
        <f t="shared" si="28"/>
        <v>921</v>
      </c>
      <c r="B926" s="2">
        <v>35443</v>
      </c>
      <c r="C926" s="2" t="s">
        <v>3432</v>
      </c>
      <c r="D926" s="14" t="s">
        <v>920</v>
      </c>
      <c r="E926" s="14">
        <v>1.4611000000000001E-3</v>
      </c>
      <c r="F926" s="14">
        <v>0</v>
      </c>
      <c r="G926" s="14">
        <v>1.4611000000000001E-3</v>
      </c>
      <c r="H926" s="16">
        <v>5.7085705000000004</v>
      </c>
      <c r="I926" s="16">
        <v>4.0507759000000005</v>
      </c>
      <c r="J926" s="3" t="s">
        <v>5011</v>
      </c>
      <c r="K926" s="16">
        <v>10.584992136399999</v>
      </c>
      <c r="L926" s="16">
        <v>5.8988345999999998</v>
      </c>
      <c r="M926" s="16">
        <f t="shared" si="29"/>
        <v>1.0333295524685207</v>
      </c>
    </row>
    <row r="927" spans="1:13" x14ac:dyDescent="0.25">
      <c r="A927" s="2">
        <f t="shared" si="28"/>
        <v>922</v>
      </c>
      <c r="B927" s="2">
        <v>35783</v>
      </c>
      <c r="C927" s="2" t="s">
        <v>3433</v>
      </c>
      <c r="D927" s="14" t="s">
        <v>921</v>
      </c>
      <c r="E927" s="14">
        <v>0</v>
      </c>
      <c r="F927" s="14">
        <v>0</v>
      </c>
      <c r="G927" s="14">
        <v>0</v>
      </c>
      <c r="H927" s="16">
        <v>27.1831408</v>
      </c>
      <c r="I927" s="16">
        <v>22.836125599999999</v>
      </c>
      <c r="J927" s="3" t="s">
        <v>5011</v>
      </c>
      <c r="K927" s="16">
        <v>594.8729742603</v>
      </c>
      <c r="L927" s="16">
        <v>80.442903999999999</v>
      </c>
      <c r="M927" s="16">
        <f t="shared" si="29"/>
        <v>2.9592939459004679</v>
      </c>
    </row>
    <row r="928" spans="1:13" x14ac:dyDescent="0.25">
      <c r="A928" s="2">
        <f t="shared" si="28"/>
        <v>923</v>
      </c>
      <c r="B928" s="2">
        <v>35981</v>
      </c>
      <c r="C928" s="2" t="s">
        <v>3434</v>
      </c>
      <c r="D928" s="14" t="s">
        <v>922</v>
      </c>
      <c r="E928" s="14">
        <v>3.2515784999999999</v>
      </c>
      <c r="F928" s="14">
        <v>0</v>
      </c>
      <c r="G928" s="14">
        <v>3.2515784999999999</v>
      </c>
      <c r="H928" s="16">
        <v>64.463062300000004</v>
      </c>
      <c r="I928" s="16">
        <v>34.467276900000002</v>
      </c>
      <c r="J928" s="3" t="s">
        <v>5011</v>
      </c>
      <c r="K928" s="16">
        <v>2270.3460812713001</v>
      </c>
      <c r="L928" s="16">
        <v>268.1473881</v>
      </c>
      <c r="M928" s="16">
        <f t="shared" si="29"/>
        <v>4.1597060166345834</v>
      </c>
    </row>
    <row r="929" spans="1:13" x14ac:dyDescent="0.25">
      <c r="A929" s="2">
        <f t="shared" si="28"/>
        <v>924</v>
      </c>
      <c r="B929" s="2">
        <v>36190</v>
      </c>
      <c r="C929" s="2" t="s">
        <v>3435</v>
      </c>
      <c r="D929" s="14" t="s">
        <v>923</v>
      </c>
      <c r="E929" s="14">
        <v>0</v>
      </c>
      <c r="F929" s="14">
        <v>0</v>
      </c>
      <c r="G929" s="14">
        <v>0</v>
      </c>
      <c r="H929" s="16">
        <v>0</v>
      </c>
      <c r="I929" s="16">
        <v>0</v>
      </c>
      <c r="J929" s="3" t="s">
        <v>5011</v>
      </c>
      <c r="K929" s="16">
        <v>0</v>
      </c>
      <c r="L929" s="16">
        <v>0</v>
      </c>
      <c r="M929" s="16">
        <v>0</v>
      </c>
    </row>
    <row r="930" spans="1:13" x14ac:dyDescent="0.25">
      <c r="A930" s="2">
        <f t="shared" si="28"/>
        <v>925</v>
      </c>
      <c r="B930" s="2">
        <v>36254</v>
      </c>
      <c r="C930" s="2" t="s">
        <v>3436</v>
      </c>
      <c r="D930" s="14" t="s">
        <v>924</v>
      </c>
      <c r="E930" s="14">
        <v>1.7549641</v>
      </c>
      <c r="F930" s="14">
        <v>0</v>
      </c>
      <c r="G930" s="14">
        <v>1.7549641</v>
      </c>
      <c r="H930" s="16">
        <v>24.498404700000002</v>
      </c>
      <c r="I930" s="16">
        <v>19.318767800000003</v>
      </c>
      <c r="J930" s="3" t="s">
        <v>5011</v>
      </c>
      <c r="K930" s="16">
        <v>941.69490248269994</v>
      </c>
      <c r="L930" s="16">
        <v>109.6472091</v>
      </c>
      <c r="M930" s="16">
        <f t="shared" si="29"/>
        <v>4.4756877210049515</v>
      </c>
    </row>
    <row r="931" spans="1:13" x14ac:dyDescent="0.25">
      <c r="A931" s="2">
        <f t="shared" si="28"/>
        <v>926</v>
      </c>
      <c r="B931" s="2">
        <v>36266</v>
      </c>
      <c r="C931" s="2" t="s">
        <v>3437</v>
      </c>
      <c r="D931" s="14" t="s">
        <v>925</v>
      </c>
      <c r="E931" s="14">
        <v>0</v>
      </c>
      <c r="F931" s="14">
        <v>0</v>
      </c>
      <c r="G931" s="14">
        <v>0</v>
      </c>
      <c r="H931" s="16">
        <v>0</v>
      </c>
      <c r="I931" s="16">
        <v>0</v>
      </c>
      <c r="J931" s="3" t="s">
        <v>5011</v>
      </c>
      <c r="K931" s="16">
        <v>0</v>
      </c>
      <c r="L931" s="16">
        <v>0</v>
      </c>
      <c r="M931" s="16">
        <v>0</v>
      </c>
    </row>
    <row r="932" spans="1:13" x14ac:dyDescent="0.25">
      <c r="A932" s="2">
        <f t="shared" si="28"/>
        <v>927</v>
      </c>
      <c r="B932" s="2">
        <v>36400</v>
      </c>
      <c r="C932" s="2" t="s">
        <v>3438</v>
      </c>
      <c r="D932" s="14" t="s">
        <v>926</v>
      </c>
      <c r="E932" s="14">
        <v>7.3739000000000001E-3</v>
      </c>
      <c r="F932" s="14">
        <v>0</v>
      </c>
      <c r="G932" s="14">
        <v>7.3739000000000001E-3</v>
      </c>
      <c r="H932" s="16">
        <v>1.6699169</v>
      </c>
      <c r="I932" s="16">
        <v>1.6699169</v>
      </c>
      <c r="J932" s="3" t="s">
        <v>5011</v>
      </c>
      <c r="K932" s="16">
        <v>15.121364850700001</v>
      </c>
      <c r="L932" s="16">
        <v>2.3664337</v>
      </c>
      <c r="M932" s="16">
        <f t="shared" si="29"/>
        <v>1.4170966830744691</v>
      </c>
    </row>
    <row r="933" spans="1:13" x14ac:dyDescent="0.25">
      <c r="A933" s="2">
        <f t="shared" si="28"/>
        <v>928</v>
      </c>
      <c r="B933" s="2">
        <v>36435</v>
      </c>
      <c r="C933" s="2" t="s">
        <v>3439</v>
      </c>
      <c r="D933" s="14" t="s">
        <v>927</v>
      </c>
      <c r="E933" s="14">
        <v>0.29952100000000004</v>
      </c>
      <c r="F933" s="14">
        <v>0</v>
      </c>
      <c r="G933" s="14">
        <v>0.29952100000000004</v>
      </c>
      <c r="H933" s="16">
        <v>47.571526399999996</v>
      </c>
      <c r="I933" s="16">
        <v>44.262499899999995</v>
      </c>
      <c r="J933" s="3" t="s">
        <v>5011</v>
      </c>
      <c r="K933" s="16">
        <v>311.02436600470003</v>
      </c>
      <c r="L933" s="16">
        <v>66.462090599999996</v>
      </c>
      <c r="M933" s="16">
        <f t="shared" si="29"/>
        <v>1.3970981305321328</v>
      </c>
    </row>
    <row r="934" spans="1:13" x14ac:dyDescent="0.25">
      <c r="A934" s="2">
        <f t="shared" si="28"/>
        <v>929</v>
      </c>
      <c r="B934" s="2">
        <v>36437</v>
      </c>
      <c r="C934" s="2" t="s">
        <v>3440</v>
      </c>
      <c r="D934" s="14" t="s">
        <v>928</v>
      </c>
      <c r="E934" s="14">
        <v>1.4848348999999998</v>
      </c>
      <c r="F934" s="14">
        <v>0</v>
      </c>
      <c r="G934" s="14">
        <v>1.4848348999999998</v>
      </c>
      <c r="H934" s="16">
        <v>303.27348460000002</v>
      </c>
      <c r="I934" s="16">
        <v>183.19187500000001</v>
      </c>
      <c r="J934" s="3" t="s">
        <v>5011</v>
      </c>
      <c r="K934" s="16">
        <v>1863.6966285445003</v>
      </c>
      <c r="L934" s="16">
        <v>313.2862106</v>
      </c>
      <c r="M934" s="16">
        <f t="shared" si="29"/>
        <v>1.0330155008876103</v>
      </c>
    </row>
    <row r="935" spans="1:13" x14ac:dyDescent="0.25">
      <c r="A935" s="2">
        <f t="shared" si="28"/>
        <v>930</v>
      </c>
      <c r="B935" s="2">
        <v>36701</v>
      </c>
      <c r="C935" s="2" t="s">
        <v>3441</v>
      </c>
      <c r="D935" s="14" t="s">
        <v>929</v>
      </c>
      <c r="E935" s="14">
        <v>0</v>
      </c>
      <c r="F935" s="14">
        <v>0</v>
      </c>
      <c r="G935" s="14">
        <v>0</v>
      </c>
      <c r="H935" s="16">
        <v>0</v>
      </c>
      <c r="I935" s="16">
        <v>0</v>
      </c>
      <c r="J935" s="3" t="s">
        <v>5011</v>
      </c>
      <c r="K935" s="16">
        <v>0</v>
      </c>
      <c r="L935" s="16">
        <v>0</v>
      </c>
      <c r="M935" s="16">
        <v>0</v>
      </c>
    </row>
    <row r="936" spans="1:13" x14ac:dyDescent="0.25">
      <c r="A936" s="2">
        <f t="shared" si="28"/>
        <v>931</v>
      </c>
      <c r="B936" s="2">
        <v>36793</v>
      </c>
      <c r="C936" s="2" t="s">
        <v>3442</v>
      </c>
      <c r="D936" s="14" t="s">
        <v>930</v>
      </c>
      <c r="E936" s="14">
        <v>0</v>
      </c>
      <c r="F936" s="14">
        <v>0</v>
      </c>
      <c r="G936" s="14">
        <v>0</v>
      </c>
      <c r="H936" s="16">
        <v>0</v>
      </c>
      <c r="I936" s="16">
        <v>0</v>
      </c>
      <c r="J936" s="3" t="s">
        <v>5011</v>
      </c>
      <c r="K936" s="16">
        <v>0</v>
      </c>
      <c r="L936" s="16">
        <v>0</v>
      </c>
      <c r="M936" s="16">
        <v>0</v>
      </c>
    </row>
    <row r="937" spans="1:13" x14ac:dyDescent="0.25">
      <c r="A937" s="2">
        <f t="shared" si="28"/>
        <v>932</v>
      </c>
      <c r="B937" s="2">
        <v>36805</v>
      </c>
      <c r="C937" s="2" t="s">
        <v>3443</v>
      </c>
      <c r="D937" s="14" t="s">
        <v>931</v>
      </c>
      <c r="E937" s="14">
        <v>0</v>
      </c>
      <c r="F937" s="14">
        <v>0</v>
      </c>
      <c r="G937" s="14">
        <v>0</v>
      </c>
      <c r="H937" s="16">
        <v>0</v>
      </c>
      <c r="I937" s="16">
        <v>0</v>
      </c>
      <c r="J937" s="3" t="s">
        <v>5011</v>
      </c>
      <c r="K937" s="16">
        <v>0</v>
      </c>
      <c r="L937" s="16">
        <v>0</v>
      </c>
      <c r="M937" s="16">
        <v>0</v>
      </c>
    </row>
    <row r="938" spans="1:13" x14ac:dyDescent="0.25">
      <c r="A938" s="2">
        <f t="shared" si="28"/>
        <v>933</v>
      </c>
      <c r="B938" s="2">
        <v>36826</v>
      </c>
      <c r="C938" s="2" t="s">
        <v>3444</v>
      </c>
      <c r="D938" s="14" t="s">
        <v>932</v>
      </c>
      <c r="E938" s="14">
        <v>8.8812999999999989E-2</v>
      </c>
      <c r="F938" s="14">
        <v>0</v>
      </c>
      <c r="G938" s="14">
        <v>8.8812999999999989E-2</v>
      </c>
      <c r="H938" s="16">
        <v>31.918687000000002</v>
      </c>
      <c r="I938" s="16">
        <v>25.638672400000001</v>
      </c>
      <c r="J938" s="3" t="s">
        <v>5011</v>
      </c>
      <c r="K938" s="16">
        <v>141.44109630650001</v>
      </c>
      <c r="L938" s="16">
        <v>34.673768899999999</v>
      </c>
      <c r="M938" s="16">
        <f t="shared" si="29"/>
        <v>1.0863156401138931</v>
      </c>
    </row>
    <row r="939" spans="1:13" x14ac:dyDescent="0.25">
      <c r="A939" s="2">
        <f t="shared" si="28"/>
        <v>934</v>
      </c>
      <c r="B939" s="2">
        <v>36863</v>
      </c>
      <c r="C939" s="2" t="s">
        <v>3445</v>
      </c>
      <c r="D939" s="14" t="s">
        <v>933</v>
      </c>
      <c r="E939" s="14">
        <v>1.5863513</v>
      </c>
      <c r="F939" s="14">
        <v>0</v>
      </c>
      <c r="G939" s="14">
        <v>1.5863513</v>
      </c>
      <c r="H939" s="16">
        <v>178.37098579999997</v>
      </c>
      <c r="I939" s="16">
        <v>154.95621469999998</v>
      </c>
      <c r="J939" s="3" t="s">
        <v>5011</v>
      </c>
      <c r="K939" s="16">
        <v>1840.0026724910999</v>
      </c>
      <c r="L939" s="16">
        <v>293.43743219999999</v>
      </c>
      <c r="M939" s="16">
        <f t="shared" si="29"/>
        <v>1.6450962071209232</v>
      </c>
    </row>
    <row r="940" spans="1:13" x14ac:dyDescent="0.25">
      <c r="A940" s="2">
        <f t="shared" si="28"/>
        <v>935</v>
      </c>
      <c r="B940" s="2">
        <v>36894</v>
      </c>
      <c r="C940" s="2" t="s">
        <v>3446</v>
      </c>
      <c r="D940" s="14" t="s">
        <v>934</v>
      </c>
      <c r="E940" s="14">
        <v>0</v>
      </c>
      <c r="F940" s="14">
        <v>0</v>
      </c>
      <c r="G940" s="14">
        <v>0</v>
      </c>
      <c r="H940" s="16">
        <v>0</v>
      </c>
      <c r="I940" s="16">
        <v>0</v>
      </c>
      <c r="J940" s="3" t="s">
        <v>5011</v>
      </c>
      <c r="K940" s="16">
        <v>0</v>
      </c>
      <c r="L940" s="16">
        <v>0</v>
      </c>
      <c r="M940" s="16">
        <v>0</v>
      </c>
    </row>
    <row r="941" spans="1:13" x14ac:dyDescent="0.25">
      <c r="A941" s="2">
        <f t="shared" si="28"/>
        <v>936</v>
      </c>
      <c r="B941" s="2">
        <v>37133</v>
      </c>
      <c r="C941" s="2" t="s">
        <v>3447</v>
      </c>
      <c r="D941" s="14" t="s">
        <v>935</v>
      </c>
      <c r="E941" s="14">
        <v>19.630365699999999</v>
      </c>
      <c r="F941" s="14">
        <v>0</v>
      </c>
      <c r="G941" s="14">
        <v>19.630365699999999</v>
      </c>
      <c r="H941" s="16">
        <v>668.03590899999995</v>
      </c>
      <c r="I941" s="16">
        <v>400.78809319999999</v>
      </c>
      <c r="J941" s="3" t="s">
        <v>5011</v>
      </c>
      <c r="K941" s="16">
        <v>17367.107822891605</v>
      </c>
      <c r="L941" s="16">
        <v>1959.0080622</v>
      </c>
      <c r="M941" s="16">
        <f t="shared" si="29"/>
        <v>2.9324891608483883</v>
      </c>
    </row>
    <row r="942" spans="1:13" x14ac:dyDescent="0.25">
      <c r="A942" s="2">
        <f t="shared" si="28"/>
        <v>937</v>
      </c>
      <c r="B942" s="2">
        <v>37184</v>
      </c>
      <c r="C942" s="2" t="s">
        <v>3448</v>
      </c>
      <c r="D942" s="14" t="s">
        <v>936</v>
      </c>
      <c r="E942" s="14">
        <v>0.24858029999999998</v>
      </c>
      <c r="F942" s="14">
        <v>0</v>
      </c>
      <c r="G942" s="14">
        <v>0.24858029999999998</v>
      </c>
      <c r="H942" s="16">
        <v>0</v>
      </c>
      <c r="I942" s="16">
        <v>0</v>
      </c>
      <c r="J942" s="3" t="s">
        <v>5011</v>
      </c>
      <c r="K942" s="16">
        <v>210.88012423090001</v>
      </c>
      <c r="L942" s="16">
        <v>21.701734200000001</v>
      </c>
      <c r="M942" s="16">
        <v>0</v>
      </c>
    </row>
    <row r="943" spans="1:13" x14ac:dyDescent="0.25">
      <c r="A943" s="2">
        <f t="shared" si="28"/>
        <v>938</v>
      </c>
      <c r="B943" s="2">
        <v>37283</v>
      </c>
      <c r="C943" s="2" t="s">
        <v>3449</v>
      </c>
      <c r="D943" s="14" t="s">
        <v>937</v>
      </c>
      <c r="E943" s="14">
        <v>0</v>
      </c>
      <c r="F943" s="14">
        <v>0</v>
      </c>
      <c r="G943" s="14">
        <v>0</v>
      </c>
      <c r="H943" s="16">
        <v>0</v>
      </c>
      <c r="I943" s="16">
        <v>0</v>
      </c>
      <c r="J943" s="3" t="s">
        <v>5011</v>
      </c>
      <c r="K943" s="16">
        <v>0</v>
      </c>
      <c r="L943" s="16">
        <v>0</v>
      </c>
      <c r="M943" s="16">
        <v>0</v>
      </c>
    </row>
    <row r="944" spans="1:13" x14ac:dyDescent="0.25">
      <c r="A944" s="2">
        <f t="shared" si="28"/>
        <v>939</v>
      </c>
      <c r="B944" s="2">
        <v>37314</v>
      </c>
      <c r="C944" s="2" t="s">
        <v>3450</v>
      </c>
      <c r="D944" s="14" t="s">
        <v>938</v>
      </c>
      <c r="E944" s="14">
        <v>0</v>
      </c>
      <c r="F944" s="14">
        <v>0</v>
      </c>
      <c r="G944" s="14">
        <v>0</v>
      </c>
      <c r="H944" s="16">
        <v>0</v>
      </c>
      <c r="I944" s="16">
        <v>0</v>
      </c>
      <c r="J944" s="3" t="s">
        <v>5011</v>
      </c>
      <c r="K944" s="16">
        <v>0</v>
      </c>
      <c r="L944" s="16">
        <v>0</v>
      </c>
      <c r="M944" s="16">
        <v>0</v>
      </c>
    </row>
    <row r="945" spans="1:13" x14ac:dyDescent="0.25">
      <c r="A945" s="2">
        <f t="shared" si="28"/>
        <v>940</v>
      </c>
      <c r="B945" s="2">
        <v>37544</v>
      </c>
      <c r="C945" s="2" t="s">
        <v>3451</v>
      </c>
      <c r="D945" s="14" t="s">
        <v>939</v>
      </c>
      <c r="E945" s="14">
        <v>1.4544932000000002</v>
      </c>
      <c r="F945" s="14">
        <v>0</v>
      </c>
      <c r="G945" s="14">
        <v>1.4544932000000002</v>
      </c>
      <c r="H945" s="16">
        <v>380.32863639999999</v>
      </c>
      <c r="I945" s="16">
        <v>262.79701779999999</v>
      </c>
      <c r="J945" s="3" t="s">
        <v>5011</v>
      </c>
      <c r="K945" s="16">
        <v>3274.4841820188994</v>
      </c>
      <c r="L945" s="16">
        <v>434.51389929999999</v>
      </c>
      <c r="M945" s="16">
        <f t="shared" si="29"/>
        <v>1.1424695847593558</v>
      </c>
    </row>
    <row r="946" spans="1:13" x14ac:dyDescent="0.25">
      <c r="A946" s="2">
        <f t="shared" si="28"/>
        <v>941</v>
      </c>
      <c r="B946" s="2">
        <v>37550</v>
      </c>
      <c r="C946" s="2" t="s">
        <v>3452</v>
      </c>
      <c r="D946" s="14" t="s">
        <v>940</v>
      </c>
      <c r="E946" s="14">
        <v>7.8727187999999986</v>
      </c>
      <c r="F946" s="14">
        <v>0</v>
      </c>
      <c r="G946" s="14">
        <v>7.8727187999999986</v>
      </c>
      <c r="H946" s="16">
        <v>1201.9332191999999</v>
      </c>
      <c r="I946" s="16">
        <v>722.18181539999989</v>
      </c>
      <c r="J946" s="3" t="s">
        <v>5011</v>
      </c>
      <c r="K946" s="16">
        <v>8458.6473085895996</v>
      </c>
      <c r="L946" s="16">
        <v>1207.6636197</v>
      </c>
      <c r="M946" s="16">
        <f t="shared" si="29"/>
        <v>1.0047676529847591</v>
      </c>
    </row>
    <row r="947" spans="1:13" x14ac:dyDescent="0.25">
      <c r="A947" s="2">
        <f t="shared" si="28"/>
        <v>942</v>
      </c>
      <c r="B947" s="2">
        <v>37643</v>
      </c>
      <c r="C947" s="2" t="s">
        <v>3453</v>
      </c>
      <c r="D947" s="14" t="s">
        <v>941</v>
      </c>
      <c r="E947" s="14">
        <v>3.2689397000000002</v>
      </c>
      <c r="F947" s="14">
        <v>0</v>
      </c>
      <c r="G947" s="14">
        <v>3.2689397000000002</v>
      </c>
      <c r="H947" s="16">
        <v>246.83515260000001</v>
      </c>
      <c r="I947" s="16">
        <v>204.82375040000002</v>
      </c>
      <c r="J947" s="3" t="s">
        <v>5011</v>
      </c>
      <c r="K947" s="16">
        <v>2397.5302864578007</v>
      </c>
      <c r="L947" s="16">
        <v>384.3664832</v>
      </c>
      <c r="M947" s="16">
        <f t="shared" si="29"/>
        <v>1.5571788667510884</v>
      </c>
    </row>
    <row r="948" spans="1:13" x14ac:dyDescent="0.25">
      <c r="A948" s="2">
        <f t="shared" si="28"/>
        <v>943</v>
      </c>
      <c r="B948" s="2">
        <v>37795</v>
      </c>
      <c r="C948" s="2" t="s">
        <v>3454</v>
      </c>
      <c r="D948" s="14" t="s">
        <v>942</v>
      </c>
      <c r="E948" s="14">
        <v>0</v>
      </c>
      <c r="F948" s="14">
        <v>0</v>
      </c>
      <c r="G948" s="14">
        <v>0</v>
      </c>
      <c r="H948" s="16">
        <v>0</v>
      </c>
      <c r="I948" s="16">
        <v>0</v>
      </c>
      <c r="J948" s="3" t="s">
        <v>5011</v>
      </c>
      <c r="K948" s="16">
        <v>0</v>
      </c>
      <c r="L948" s="16">
        <v>0</v>
      </c>
      <c r="M948" s="16">
        <v>0</v>
      </c>
    </row>
    <row r="949" spans="1:13" x14ac:dyDescent="0.25">
      <c r="A949" s="2">
        <f t="shared" si="28"/>
        <v>944</v>
      </c>
      <c r="B949" s="2">
        <v>37827</v>
      </c>
      <c r="C949" s="2" t="s">
        <v>3455</v>
      </c>
      <c r="D949" s="14" t="s">
        <v>943</v>
      </c>
      <c r="E949" s="14">
        <v>0</v>
      </c>
      <c r="F949" s="14">
        <v>0</v>
      </c>
      <c r="G949" s="14">
        <v>0</v>
      </c>
      <c r="H949" s="16">
        <v>0</v>
      </c>
      <c r="I949" s="16">
        <v>0</v>
      </c>
      <c r="J949" s="3" t="s">
        <v>5011</v>
      </c>
      <c r="K949" s="16">
        <v>0</v>
      </c>
      <c r="L949" s="16">
        <v>0</v>
      </c>
      <c r="M949" s="16">
        <v>0</v>
      </c>
    </row>
    <row r="950" spans="1:13" x14ac:dyDescent="0.25">
      <c r="A950" s="2">
        <f t="shared" si="28"/>
        <v>945</v>
      </c>
      <c r="B950" s="2">
        <v>37888</v>
      </c>
      <c r="C950" s="2" t="s">
        <v>3456</v>
      </c>
      <c r="D950" s="14" t="s">
        <v>944</v>
      </c>
      <c r="E950" s="14">
        <v>0</v>
      </c>
      <c r="F950" s="14">
        <v>0</v>
      </c>
      <c r="G950" s="14">
        <v>0</v>
      </c>
      <c r="H950" s="16">
        <v>0</v>
      </c>
      <c r="I950" s="16">
        <v>0</v>
      </c>
      <c r="J950" s="3" t="s">
        <v>5011</v>
      </c>
      <c r="K950" s="16">
        <v>0</v>
      </c>
      <c r="L950" s="16">
        <v>0</v>
      </c>
      <c r="M950" s="16">
        <v>0</v>
      </c>
    </row>
    <row r="951" spans="1:13" x14ac:dyDescent="0.25">
      <c r="A951" s="2">
        <f t="shared" si="28"/>
        <v>946</v>
      </c>
      <c r="B951" s="2">
        <v>37958</v>
      </c>
      <c r="C951" s="2" t="s">
        <v>3457</v>
      </c>
      <c r="D951" s="14" t="s">
        <v>945</v>
      </c>
      <c r="E951" s="14">
        <v>2.9174090999999995</v>
      </c>
      <c r="F951" s="14">
        <v>0</v>
      </c>
      <c r="G951" s="14">
        <v>2.9174090999999995</v>
      </c>
      <c r="H951" s="16">
        <v>474.02830499999999</v>
      </c>
      <c r="I951" s="16">
        <v>226.05071629999998</v>
      </c>
      <c r="J951" s="3" t="s">
        <v>5011</v>
      </c>
      <c r="K951" s="16">
        <v>4111.8096678395004</v>
      </c>
      <c r="L951" s="16">
        <v>519.62184030000003</v>
      </c>
      <c r="M951" s="16">
        <f t="shared" si="29"/>
        <v>1.0961831494429433</v>
      </c>
    </row>
    <row r="952" spans="1:13" x14ac:dyDescent="0.25">
      <c r="A952" s="2">
        <f t="shared" si="28"/>
        <v>947</v>
      </c>
      <c r="B952" s="2">
        <v>37997</v>
      </c>
      <c r="C952" s="2" t="s">
        <v>3458</v>
      </c>
      <c r="D952" s="14" t="s">
        <v>946</v>
      </c>
      <c r="E952" s="14">
        <v>0</v>
      </c>
      <c r="F952" s="14">
        <v>0</v>
      </c>
      <c r="G952" s="14">
        <v>0</v>
      </c>
      <c r="H952" s="16">
        <v>0</v>
      </c>
      <c r="I952" s="16">
        <v>0</v>
      </c>
      <c r="J952" s="3" t="s">
        <v>5011</v>
      </c>
      <c r="K952" s="16">
        <v>0</v>
      </c>
      <c r="L952" s="16">
        <v>0</v>
      </c>
      <c r="M952" s="16">
        <v>0</v>
      </c>
    </row>
    <row r="953" spans="1:13" x14ac:dyDescent="0.25">
      <c r="A953" s="2">
        <f t="shared" si="28"/>
        <v>948</v>
      </c>
      <c r="B953" s="2">
        <v>38053</v>
      </c>
      <c r="C953" s="2" t="s">
        <v>3459</v>
      </c>
      <c r="D953" s="14" t="s">
        <v>947</v>
      </c>
      <c r="E953" s="14">
        <v>0.41335849999999996</v>
      </c>
      <c r="F953" s="14">
        <v>0</v>
      </c>
      <c r="G953" s="14">
        <v>0.41335849999999996</v>
      </c>
      <c r="H953" s="16">
        <v>45.447727499999999</v>
      </c>
      <c r="I953" s="16">
        <v>45.447727499999999</v>
      </c>
      <c r="J953" s="3" t="s">
        <v>5011</v>
      </c>
      <c r="K953" s="16">
        <v>364.90857757829997</v>
      </c>
      <c r="L953" s="16">
        <v>71.490002199999992</v>
      </c>
      <c r="M953" s="16">
        <f t="shared" si="29"/>
        <v>1.5730159929338601</v>
      </c>
    </row>
    <row r="954" spans="1:13" x14ac:dyDescent="0.25">
      <c r="A954" s="2">
        <f t="shared" si="28"/>
        <v>949</v>
      </c>
      <c r="B954" s="2">
        <v>38058</v>
      </c>
      <c r="C954" s="2" t="s">
        <v>3460</v>
      </c>
      <c r="D954" s="14" t="s">
        <v>948</v>
      </c>
      <c r="E954" s="14">
        <v>8.2526706999999995</v>
      </c>
      <c r="F954" s="14">
        <v>0</v>
      </c>
      <c r="G954" s="14">
        <v>8.2526706999999995</v>
      </c>
      <c r="H954" s="16">
        <v>769.21370090000005</v>
      </c>
      <c r="I954" s="16">
        <v>493.06168850000012</v>
      </c>
      <c r="J954" s="3" t="s">
        <v>5011</v>
      </c>
      <c r="K954" s="16">
        <v>8575.1474809817009</v>
      </c>
      <c r="L954" s="16">
        <v>1143.1955306</v>
      </c>
      <c r="M954" s="16">
        <f t="shared" si="29"/>
        <v>1.4861871665343862</v>
      </c>
    </row>
    <row r="955" spans="1:13" x14ac:dyDescent="0.25">
      <c r="A955" s="2">
        <f t="shared" si="28"/>
        <v>950</v>
      </c>
      <c r="B955" s="2">
        <v>38095</v>
      </c>
      <c r="C955" s="2" t="s">
        <v>3461</v>
      </c>
      <c r="D955" s="14" t="s">
        <v>949</v>
      </c>
      <c r="E955" s="14">
        <v>0</v>
      </c>
      <c r="F955" s="14">
        <v>0</v>
      </c>
      <c r="G955" s="14">
        <v>0</v>
      </c>
      <c r="H955" s="16">
        <v>0</v>
      </c>
      <c r="I955" s="16">
        <v>0</v>
      </c>
      <c r="J955" s="3" t="s">
        <v>5011</v>
      </c>
      <c r="K955" s="16">
        <v>0</v>
      </c>
      <c r="L955" s="16">
        <v>0</v>
      </c>
      <c r="M955" s="16">
        <v>0</v>
      </c>
    </row>
    <row r="956" spans="1:13" x14ac:dyDescent="0.25">
      <c r="A956" s="2">
        <f t="shared" si="28"/>
        <v>951</v>
      </c>
      <c r="B956" s="2">
        <v>38606</v>
      </c>
      <c r="C956" s="2" t="s">
        <v>3462</v>
      </c>
      <c r="D956" s="14" t="s">
        <v>950</v>
      </c>
      <c r="E956" s="14">
        <v>0.69087290000000012</v>
      </c>
      <c r="F956" s="14">
        <v>0</v>
      </c>
      <c r="G956" s="14">
        <v>0.69087290000000012</v>
      </c>
      <c r="H956" s="16">
        <v>59.577022199999995</v>
      </c>
      <c r="I956" s="16">
        <v>56.768320199999998</v>
      </c>
      <c r="J956" s="3" t="s">
        <v>5011</v>
      </c>
      <c r="K956" s="16">
        <v>841.8085746142001</v>
      </c>
      <c r="L956" s="16">
        <v>120.1173706</v>
      </c>
      <c r="M956" s="16">
        <f t="shared" si="29"/>
        <v>2.0161694251311544</v>
      </c>
    </row>
    <row r="957" spans="1:13" x14ac:dyDescent="0.25">
      <c r="A957" s="2">
        <f t="shared" si="28"/>
        <v>952</v>
      </c>
      <c r="B957" s="2">
        <v>38730</v>
      </c>
      <c r="C957" s="2" t="s">
        <v>3463</v>
      </c>
      <c r="D957" s="14" t="s">
        <v>951</v>
      </c>
      <c r="E957" s="14">
        <v>2.4288999999999999E-3</v>
      </c>
      <c r="F957" s="14">
        <v>0</v>
      </c>
      <c r="G957" s="14">
        <v>2.4288999999999999E-3</v>
      </c>
      <c r="H957" s="16">
        <v>51.427429400000001</v>
      </c>
      <c r="I957" s="16">
        <v>51.370864599999997</v>
      </c>
      <c r="J957" s="3" t="s">
        <v>5011</v>
      </c>
      <c r="K957" s="16">
        <v>35.772235893299992</v>
      </c>
      <c r="L957" s="16">
        <v>52.897615599999995</v>
      </c>
      <c r="M957" s="16">
        <f t="shared" si="29"/>
        <v>1.02858758870806</v>
      </c>
    </row>
    <row r="958" spans="1:13" x14ac:dyDescent="0.25">
      <c r="A958" s="2">
        <f t="shared" si="28"/>
        <v>953</v>
      </c>
      <c r="B958" s="2">
        <v>38887</v>
      </c>
      <c r="C958" s="2" t="s">
        <v>3464</v>
      </c>
      <c r="D958" s="14" t="s">
        <v>952</v>
      </c>
      <c r="E958" s="14">
        <v>0</v>
      </c>
      <c r="F958" s="14">
        <v>0</v>
      </c>
      <c r="G958" s="14">
        <v>0</v>
      </c>
      <c r="H958" s="16">
        <v>70.4464775</v>
      </c>
      <c r="I958" s="16">
        <v>70.4464775</v>
      </c>
      <c r="J958" s="3" t="s">
        <v>5011</v>
      </c>
      <c r="K958" s="16">
        <v>33.635836190299997</v>
      </c>
      <c r="L958" s="16">
        <v>70.644807400000005</v>
      </c>
      <c r="M958" s="16">
        <f t="shared" si="29"/>
        <v>1.0028153274235749</v>
      </c>
    </row>
    <row r="959" spans="1:13" x14ac:dyDescent="0.25">
      <c r="A959" s="2">
        <f t="shared" si="28"/>
        <v>954</v>
      </c>
      <c r="B959" s="2">
        <v>38933</v>
      </c>
      <c r="C959" s="2" t="s">
        <v>3465</v>
      </c>
      <c r="D959" s="14" t="s">
        <v>953</v>
      </c>
      <c r="E959" s="14">
        <v>1.26555E-2</v>
      </c>
      <c r="F959" s="14">
        <v>0</v>
      </c>
      <c r="G959" s="14">
        <v>1.26555E-2</v>
      </c>
      <c r="H959" s="16">
        <v>0</v>
      </c>
      <c r="I959" s="16">
        <v>0</v>
      </c>
      <c r="J959" s="3" t="s">
        <v>5011</v>
      </c>
      <c r="K959" s="16">
        <v>41.148612560300002</v>
      </c>
      <c r="L959" s="16">
        <v>4.3439404000000001</v>
      </c>
      <c r="M959" s="16">
        <v>0</v>
      </c>
    </row>
    <row r="960" spans="1:13" x14ac:dyDescent="0.25">
      <c r="A960" s="2">
        <f t="shared" si="28"/>
        <v>955</v>
      </c>
      <c r="B960" s="2">
        <v>39103</v>
      </c>
      <c r="C960" s="2" t="s">
        <v>3466</v>
      </c>
      <c r="D960" s="14" t="s">
        <v>954</v>
      </c>
      <c r="E960" s="14">
        <v>0</v>
      </c>
      <c r="F960" s="14">
        <v>0</v>
      </c>
      <c r="G960" s="14">
        <v>0</v>
      </c>
      <c r="H960" s="16">
        <v>0</v>
      </c>
      <c r="I960" s="16">
        <v>0</v>
      </c>
      <c r="J960" s="3" t="s">
        <v>5011</v>
      </c>
      <c r="K960" s="16">
        <v>0</v>
      </c>
      <c r="L960" s="16">
        <v>0</v>
      </c>
      <c r="M960" s="16">
        <v>0</v>
      </c>
    </row>
    <row r="961" spans="1:13" x14ac:dyDescent="0.25">
      <c r="A961" s="2">
        <f t="shared" si="28"/>
        <v>956</v>
      </c>
      <c r="B961" s="2">
        <v>39107</v>
      </c>
      <c r="C961" s="2" t="s">
        <v>3467</v>
      </c>
      <c r="D961" s="14" t="s">
        <v>955</v>
      </c>
      <c r="E961" s="14">
        <v>1.5262557000000001</v>
      </c>
      <c r="F961" s="14">
        <v>0</v>
      </c>
      <c r="G961" s="14">
        <v>1.5262557000000001</v>
      </c>
      <c r="H961" s="16">
        <v>390.19357909999997</v>
      </c>
      <c r="I961" s="16">
        <v>293.35634519999996</v>
      </c>
      <c r="J961" s="3" t="s">
        <v>5011</v>
      </c>
      <c r="K961" s="16">
        <v>2146.3440971425998</v>
      </c>
      <c r="L961" s="16">
        <v>409.49851969999997</v>
      </c>
      <c r="M961" s="16">
        <f t="shared" si="29"/>
        <v>1.0494752903021309</v>
      </c>
    </row>
    <row r="962" spans="1:13" x14ac:dyDescent="0.25">
      <c r="A962" s="2">
        <f t="shared" si="28"/>
        <v>957</v>
      </c>
      <c r="B962" s="2">
        <v>39155</v>
      </c>
      <c r="C962" s="2" t="s">
        <v>3468</v>
      </c>
      <c r="D962" s="14" t="s">
        <v>956</v>
      </c>
      <c r="E962" s="14">
        <v>3.7998899999999995</v>
      </c>
      <c r="F962" s="14">
        <v>0</v>
      </c>
      <c r="G962" s="14">
        <v>3.7998899999999995</v>
      </c>
      <c r="H962" s="16">
        <v>136.28589539999999</v>
      </c>
      <c r="I962" s="16">
        <v>115.30958279999999</v>
      </c>
      <c r="J962" s="3" t="s">
        <v>5011</v>
      </c>
      <c r="K962" s="16">
        <v>3246.5924548857997</v>
      </c>
      <c r="L962" s="16">
        <v>415.11036810000002</v>
      </c>
      <c r="M962" s="16">
        <f t="shared" si="29"/>
        <v>3.0458791563253733</v>
      </c>
    </row>
    <row r="963" spans="1:13" x14ac:dyDescent="0.25">
      <c r="A963" s="2">
        <f t="shared" si="28"/>
        <v>958</v>
      </c>
      <c r="B963" s="2">
        <v>39196</v>
      </c>
      <c r="C963" s="2" t="s">
        <v>3469</v>
      </c>
      <c r="D963" s="14" t="s">
        <v>957</v>
      </c>
      <c r="E963" s="14">
        <v>0</v>
      </c>
      <c r="F963" s="14">
        <v>0</v>
      </c>
      <c r="G963" s="14">
        <v>0</v>
      </c>
      <c r="H963" s="16">
        <v>0</v>
      </c>
      <c r="I963" s="16">
        <v>0</v>
      </c>
      <c r="J963" s="3" t="s">
        <v>5011</v>
      </c>
      <c r="K963" s="16">
        <v>0</v>
      </c>
      <c r="L963" s="16">
        <v>0</v>
      </c>
      <c r="M963" s="16">
        <v>0</v>
      </c>
    </row>
    <row r="964" spans="1:13" x14ac:dyDescent="0.25">
      <c r="A964" s="2">
        <f t="shared" si="28"/>
        <v>959</v>
      </c>
      <c r="B964" s="2">
        <v>39208</v>
      </c>
      <c r="C964" s="2" t="s">
        <v>3470</v>
      </c>
      <c r="D964" s="14" t="s">
        <v>958</v>
      </c>
      <c r="E964" s="14">
        <v>3.1996400000000001E-2</v>
      </c>
      <c r="F964" s="14">
        <v>0</v>
      </c>
      <c r="G964" s="14">
        <v>3.1996400000000001E-2</v>
      </c>
      <c r="H964" s="16">
        <v>91.863783499999997</v>
      </c>
      <c r="I964" s="16">
        <v>90.566661500000009</v>
      </c>
      <c r="J964" s="3" t="s">
        <v>5011</v>
      </c>
      <c r="K964" s="16">
        <v>586.83687734509999</v>
      </c>
      <c r="L964" s="16">
        <v>138.0959503</v>
      </c>
      <c r="M964" s="16">
        <f t="shared" si="29"/>
        <v>1.5032686989209409</v>
      </c>
    </row>
    <row r="965" spans="1:13" x14ac:dyDescent="0.25">
      <c r="A965" s="2">
        <f t="shared" si="28"/>
        <v>960</v>
      </c>
      <c r="B965" s="2">
        <v>39269</v>
      </c>
      <c r="C965" s="2" t="s">
        <v>3471</v>
      </c>
      <c r="D965" s="14" t="s">
        <v>959</v>
      </c>
      <c r="E965" s="14">
        <v>0</v>
      </c>
      <c r="F965" s="14">
        <v>0</v>
      </c>
      <c r="G965" s="14">
        <v>0</v>
      </c>
      <c r="H965" s="16">
        <v>0</v>
      </c>
      <c r="I965" s="16">
        <v>0</v>
      </c>
      <c r="J965" s="3" t="s">
        <v>5011</v>
      </c>
      <c r="K965" s="16">
        <v>0</v>
      </c>
      <c r="L965" s="16">
        <v>0</v>
      </c>
      <c r="M965" s="16">
        <v>0</v>
      </c>
    </row>
    <row r="966" spans="1:13" x14ac:dyDescent="0.25">
      <c r="A966" s="2">
        <f t="shared" si="28"/>
        <v>961</v>
      </c>
      <c r="B966" s="2">
        <v>39461</v>
      </c>
      <c r="C966" s="2" t="s">
        <v>3472</v>
      </c>
      <c r="D966" s="14" t="s">
        <v>960</v>
      </c>
      <c r="E966" s="14">
        <v>0.99703260000000005</v>
      </c>
      <c r="F966" s="14">
        <v>0</v>
      </c>
      <c r="G966" s="14">
        <v>0.99703260000000005</v>
      </c>
      <c r="H966" s="16">
        <v>102.1298068</v>
      </c>
      <c r="I966" s="16">
        <v>54.113746599999999</v>
      </c>
      <c r="J966" s="3" t="s">
        <v>5011</v>
      </c>
      <c r="K966" s="16">
        <v>1335.7672089104001</v>
      </c>
      <c r="L966" s="16">
        <v>152.4813719</v>
      </c>
      <c r="M966" s="16">
        <f t="shared" si="29"/>
        <v>1.4930153759969709</v>
      </c>
    </row>
    <row r="967" spans="1:13" x14ac:dyDescent="0.25">
      <c r="A967" s="2">
        <f t="shared" si="28"/>
        <v>962</v>
      </c>
      <c r="B967" s="2">
        <v>39470</v>
      </c>
      <c r="C967" s="2" t="s">
        <v>3473</v>
      </c>
      <c r="D967" s="14" t="s">
        <v>961</v>
      </c>
      <c r="E967" s="14">
        <v>0</v>
      </c>
      <c r="F967" s="14">
        <v>0</v>
      </c>
      <c r="G967" s="14">
        <v>0</v>
      </c>
      <c r="H967" s="16">
        <v>0</v>
      </c>
      <c r="I967" s="16">
        <v>0</v>
      </c>
      <c r="J967" s="3" t="s">
        <v>5011</v>
      </c>
      <c r="K967" s="16">
        <v>0</v>
      </c>
      <c r="L967" s="16">
        <v>0</v>
      </c>
      <c r="M967" s="16">
        <v>0</v>
      </c>
    </row>
    <row r="968" spans="1:13" x14ac:dyDescent="0.25">
      <c r="A968" s="2">
        <f t="shared" ref="A968:A1031" si="30">A967+1</f>
        <v>963</v>
      </c>
      <c r="B968" s="2">
        <v>39569</v>
      </c>
      <c r="C968" s="2" t="s">
        <v>3474</v>
      </c>
      <c r="D968" s="14" t="s">
        <v>962</v>
      </c>
      <c r="E968" s="14">
        <v>1.0741424000000002</v>
      </c>
      <c r="F968" s="14">
        <v>0</v>
      </c>
      <c r="G968" s="14">
        <v>1.0741424000000002</v>
      </c>
      <c r="H968" s="16">
        <v>182.10091850000001</v>
      </c>
      <c r="I968" s="16">
        <v>146.54149230000002</v>
      </c>
      <c r="J968" s="3" t="s">
        <v>5011</v>
      </c>
      <c r="K968" s="16">
        <v>1278.3698630563999</v>
      </c>
      <c r="L968" s="16">
        <v>220.1938964</v>
      </c>
      <c r="M968" s="16">
        <f t="shared" ref="M967:M1030" si="31">L968/H968</f>
        <v>1.2091860832651429</v>
      </c>
    </row>
    <row r="969" spans="1:13" x14ac:dyDescent="0.25">
      <c r="A969" s="2">
        <f t="shared" si="30"/>
        <v>964</v>
      </c>
      <c r="B969" s="2">
        <v>39636</v>
      </c>
      <c r="C969" s="2" t="s">
        <v>3475</v>
      </c>
      <c r="D969" s="14" t="s">
        <v>963</v>
      </c>
      <c r="E969" s="14">
        <v>1.4367136999999999</v>
      </c>
      <c r="F969" s="14">
        <v>0</v>
      </c>
      <c r="G969" s="14">
        <v>1.4367136999999999</v>
      </c>
      <c r="H969" s="16">
        <v>153.97651980000001</v>
      </c>
      <c r="I969" s="16">
        <v>114.38262970000001</v>
      </c>
      <c r="J969" s="3" t="s">
        <v>5011</v>
      </c>
      <c r="K969" s="16">
        <v>1568.6160956653994</v>
      </c>
      <c r="L969" s="16">
        <v>200.80926679999999</v>
      </c>
      <c r="M969" s="16">
        <f t="shared" si="31"/>
        <v>1.3041551209290287</v>
      </c>
    </row>
    <row r="970" spans="1:13" x14ac:dyDescent="0.25">
      <c r="A970" s="2">
        <f t="shared" si="30"/>
        <v>965</v>
      </c>
      <c r="B970" s="2">
        <v>39917</v>
      </c>
      <c r="C970" s="2" t="s">
        <v>3476</v>
      </c>
      <c r="D970" s="14" t="s">
        <v>964</v>
      </c>
      <c r="E970" s="14">
        <v>0</v>
      </c>
      <c r="F970" s="14">
        <v>0</v>
      </c>
      <c r="G970" s="14">
        <v>0</v>
      </c>
      <c r="H970" s="16">
        <v>0</v>
      </c>
      <c r="I970" s="16">
        <v>0</v>
      </c>
      <c r="J970" s="3" t="s">
        <v>5011</v>
      </c>
      <c r="K970" s="16">
        <v>0</v>
      </c>
      <c r="L970" s="16">
        <v>0</v>
      </c>
      <c r="M970" s="16">
        <v>0</v>
      </c>
    </row>
    <row r="971" spans="1:13" x14ac:dyDescent="0.25">
      <c r="A971" s="2">
        <f t="shared" si="30"/>
        <v>966</v>
      </c>
      <c r="B971" s="2">
        <v>40037</v>
      </c>
      <c r="C971" s="2" t="s">
        <v>3477</v>
      </c>
      <c r="D971" s="14" t="s">
        <v>965</v>
      </c>
      <c r="E971" s="14">
        <v>0</v>
      </c>
      <c r="F971" s="14">
        <v>0</v>
      </c>
      <c r="G971" s="14">
        <v>0</v>
      </c>
      <c r="H971" s="16">
        <v>0</v>
      </c>
      <c r="I971" s="16">
        <v>0</v>
      </c>
      <c r="J971" s="3" t="s">
        <v>5011</v>
      </c>
      <c r="K971" s="16">
        <v>0</v>
      </c>
      <c r="L971" s="16">
        <v>0</v>
      </c>
      <c r="M971" s="16">
        <v>0</v>
      </c>
    </row>
    <row r="972" spans="1:13" x14ac:dyDescent="0.25">
      <c r="A972" s="2">
        <f t="shared" si="30"/>
        <v>967</v>
      </c>
      <c r="B972" s="2">
        <v>40107</v>
      </c>
      <c r="C972" s="2" t="s">
        <v>3478</v>
      </c>
      <c r="D972" s="14" t="s">
        <v>966</v>
      </c>
      <c r="E972" s="14">
        <v>3.7336477000000001</v>
      </c>
      <c r="F972" s="14">
        <v>0</v>
      </c>
      <c r="G972" s="14">
        <v>3.7336477000000001</v>
      </c>
      <c r="H972" s="16">
        <v>223.42350909999999</v>
      </c>
      <c r="I972" s="16">
        <v>181.90992750000001</v>
      </c>
      <c r="J972" s="3" t="s">
        <v>5011</v>
      </c>
      <c r="K972" s="16">
        <v>3685.9334594933007</v>
      </c>
      <c r="L972" s="16">
        <v>468.16926180000002</v>
      </c>
      <c r="M972" s="16">
        <f t="shared" si="31"/>
        <v>2.0954341988714207</v>
      </c>
    </row>
    <row r="973" spans="1:13" x14ac:dyDescent="0.25">
      <c r="A973" s="2">
        <f t="shared" si="30"/>
        <v>968</v>
      </c>
      <c r="B973" s="2">
        <v>40225</v>
      </c>
      <c r="C973" s="2" t="s">
        <v>3479</v>
      </c>
      <c r="D973" s="14" t="s">
        <v>967</v>
      </c>
      <c r="E973" s="14">
        <v>2.2130869</v>
      </c>
      <c r="F973" s="14">
        <v>0</v>
      </c>
      <c r="G973" s="14">
        <v>2.2130869</v>
      </c>
      <c r="H973" s="16">
        <v>249.0856411</v>
      </c>
      <c r="I973" s="16">
        <v>155.11984399999997</v>
      </c>
      <c r="J973" s="3" t="s">
        <v>5011</v>
      </c>
      <c r="K973" s="16">
        <v>2242.712856737</v>
      </c>
      <c r="L973" s="16">
        <v>323.47221589999998</v>
      </c>
      <c r="M973" s="16">
        <f t="shared" si="31"/>
        <v>1.2986385504660067</v>
      </c>
    </row>
    <row r="974" spans="1:13" x14ac:dyDescent="0.25">
      <c r="A974" s="2">
        <f t="shared" si="30"/>
        <v>969</v>
      </c>
      <c r="B974" s="2">
        <v>40251</v>
      </c>
      <c r="C974" s="2" t="s">
        <v>3480</v>
      </c>
      <c r="D974" s="14" t="s">
        <v>968</v>
      </c>
      <c r="E974" s="14">
        <v>0.27907130000000002</v>
      </c>
      <c r="F974" s="14">
        <v>0</v>
      </c>
      <c r="G974" s="14">
        <v>0.27907130000000002</v>
      </c>
      <c r="H974" s="16">
        <v>6.3196840000000005</v>
      </c>
      <c r="I974" s="16">
        <v>6.3196840000000005</v>
      </c>
      <c r="J974" s="3" t="s">
        <v>5011</v>
      </c>
      <c r="K974" s="16">
        <v>257.18316053950002</v>
      </c>
      <c r="L974" s="16">
        <v>33.308599199999996</v>
      </c>
      <c r="M974" s="16">
        <f t="shared" si="31"/>
        <v>5.2706115052588061</v>
      </c>
    </row>
    <row r="975" spans="1:13" x14ac:dyDescent="0.25">
      <c r="A975" s="2">
        <f t="shared" si="30"/>
        <v>970</v>
      </c>
      <c r="B975" s="2">
        <v>40312</v>
      </c>
      <c r="C975" s="2" t="s">
        <v>3481</v>
      </c>
      <c r="D975" s="14" t="s">
        <v>969</v>
      </c>
      <c r="E975" s="14">
        <v>0</v>
      </c>
      <c r="F975" s="14">
        <v>0</v>
      </c>
      <c r="G975" s="14">
        <v>0</v>
      </c>
      <c r="H975" s="16">
        <v>0</v>
      </c>
      <c r="I975" s="16">
        <v>0</v>
      </c>
      <c r="J975" s="3" t="s">
        <v>5011</v>
      </c>
      <c r="K975" s="16">
        <v>1.6443869595999998</v>
      </c>
      <c r="L975" s="16">
        <v>0.16854250000000001</v>
      </c>
      <c r="M975" s="16">
        <v>0</v>
      </c>
    </row>
    <row r="976" spans="1:13" x14ac:dyDescent="0.25">
      <c r="A976" s="2">
        <f t="shared" si="30"/>
        <v>971</v>
      </c>
      <c r="B976" s="2">
        <v>40443</v>
      </c>
      <c r="C976" s="2" t="s">
        <v>3482</v>
      </c>
      <c r="D976" s="14" t="s">
        <v>970</v>
      </c>
      <c r="E976" s="14">
        <v>0</v>
      </c>
      <c r="F976" s="14">
        <v>0</v>
      </c>
      <c r="G976" s="14">
        <v>0</v>
      </c>
      <c r="H976" s="16">
        <v>2.7904297999999996</v>
      </c>
      <c r="I976" s="16">
        <v>2.7904297999999996</v>
      </c>
      <c r="J976" s="3" t="s">
        <v>5011</v>
      </c>
      <c r="K976" s="16">
        <v>2.6038311391</v>
      </c>
      <c r="L976" s="16">
        <v>2.9048264000000001</v>
      </c>
      <c r="M976" s="16">
        <f t="shared" si="31"/>
        <v>1.0409960501425266</v>
      </c>
    </row>
    <row r="977" spans="1:13" x14ac:dyDescent="0.25">
      <c r="A977" s="2">
        <f t="shared" si="30"/>
        <v>972</v>
      </c>
      <c r="B977" s="2">
        <v>40483</v>
      </c>
      <c r="C977" s="2" t="s">
        <v>3483</v>
      </c>
      <c r="D977" s="14" t="s">
        <v>971</v>
      </c>
      <c r="E977" s="14">
        <v>6.4806699999999995E-2</v>
      </c>
      <c r="F977" s="14">
        <v>0</v>
      </c>
      <c r="G977" s="14">
        <v>6.4806699999999995E-2</v>
      </c>
      <c r="H977" s="16">
        <v>79.053464099999999</v>
      </c>
      <c r="I977" s="16">
        <v>58.231048499999993</v>
      </c>
      <c r="J977" s="3" t="s">
        <v>5011</v>
      </c>
      <c r="K977" s="16">
        <v>209.88395823730008</v>
      </c>
      <c r="L977" s="16">
        <v>62.409374100000001</v>
      </c>
      <c r="M977" s="16">
        <f t="shared" si="31"/>
        <v>0.78945780315274006</v>
      </c>
    </row>
    <row r="978" spans="1:13" x14ac:dyDescent="0.25">
      <c r="A978" s="2">
        <f t="shared" si="30"/>
        <v>973</v>
      </c>
      <c r="B978" s="2">
        <v>40594</v>
      </c>
      <c r="C978" s="2" t="s">
        <v>3484</v>
      </c>
      <c r="D978" s="14" t="s">
        <v>972</v>
      </c>
      <c r="E978" s="14">
        <v>5.6809552000000005</v>
      </c>
      <c r="F978" s="14">
        <v>0</v>
      </c>
      <c r="G978" s="14">
        <v>5.6809552000000005</v>
      </c>
      <c r="H978" s="16">
        <v>1199.9400029000001</v>
      </c>
      <c r="I978" s="16">
        <v>1199.9400029000001</v>
      </c>
      <c r="J978" s="3" t="s">
        <v>5011</v>
      </c>
      <c r="K978" s="16">
        <v>6558.6589892978</v>
      </c>
      <c r="L978" s="16">
        <v>1557.1545409</v>
      </c>
      <c r="M978" s="16">
        <f t="shared" si="31"/>
        <v>1.2976936656305218</v>
      </c>
    </row>
    <row r="979" spans="1:13" x14ac:dyDescent="0.25">
      <c r="A979" s="2">
        <f t="shared" si="30"/>
        <v>974</v>
      </c>
      <c r="B979" s="2">
        <v>40625</v>
      </c>
      <c r="C979" s="2" t="s">
        <v>3485</v>
      </c>
      <c r="D979" s="14" t="s">
        <v>973</v>
      </c>
      <c r="E979" s="14">
        <v>4.7220699999999997E-2</v>
      </c>
      <c r="F979" s="14">
        <v>0</v>
      </c>
      <c r="G979" s="14">
        <v>4.7220699999999997E-2</v>
      </c>
      <c r="H979" s="16">
        <v>21.253939800000001</v>
      </c>
      <c r="I979" s="16">
        <v>21.253939800000001</v>
      </c>
      <c r="J979" s="3" t="s">
        <v>5011</v>
      </c>
      <c r="K979" s="16">
        <v>96.771739193900004</v>
      </c>
      <c r="L979" s="16">
        <v>24.049440799999999</v>
      </c>
      <c r="M979" s="16">
        <f t="shared" si="31"/>
        <v>1.1315286025229072</v>
      </c>
    </row>
    <row r="980" spans="1:13" x14ac:dyDescent="0.25">
      <c r="A980" s="2">
        <f t="shared" si="30"/>
        <v>975</v>
      </c>
      <c r="B980" s="2">
        <v>40642</v>
      </c>
      <c r="C980" s="2" t="s">
        <v>3486</v>
      </c>
      <c r="D980" s="14" t="s">
        <v>974</v>
      </c>
      <c r="E980" s="14">
        <v>2.3828300000000004E-2</v>
      </c>
      <c r="F980" s="14">
        <v>0</v>
      </c>
      <c r="G980" s="14">
        <v>2.3828300000000004E-2</v>
      </c>
      <c r="H980" s="16">
        <v>5.2997350000000001</v>
      </c>
      <c r="I980" s="16">
        <v>5.2997350000000001</v>
      </c>
      <c r="J980" s="3" t="s">
        <v>5011</v>
      </c>
      <c r="K980" s="16">
        <v>38.934730761899999</v>
      </c>
      <c r="L980" s="16">
        <v>7.3048853000000005</v>
      </c>
      <c r="M980" s="16">
        <f t="shared" si="31"/>
        <v>1.3783491627411559</v>
      </c>
    </row>
    <row r="981" spans="1:13" x14ac:dyDescent="0.25">
      <c r="A981" s="2">
        <f t="shared" si="30"/>
        <v>976</v>
      </c>
      <c r="B981" s="2">
        <v>40717</v>
      </c>
      <c r="C981" s="2" t="s">
        <v>3487</v>
      </c>
      <c r="D981" s="14" t="s">
        <v>975</v>
      </c>
      <c r="E981" s="14">
        <v>18.939014899999997</v>
      </c>
      <c r="F981" s="14">
        <v>0</v>
      </c>
      <c r="G981" s="14">
        <v>18.939014899999997</v>
      </c>
      <c r="H981" s="16">
        <v>37.378131000000003</v>
      </c>
      <c r="I981" s="16">
        <v>20.048554200000002</v>
      </c>
      <c r="J981" s="3" t="s">
        <v>5011</v>
      </c>
      <c r="K981" s="16">
        <v>9319.981590794001</v>
      </c>
      <c r="L981" s="16">
        <v>979.15658940000003</v>
      </c>
      <c r="M981" s="16">
        <f t="shared" si="31"/>
        <v>26.195975111757193</v>
      </c>
    </row>
    <row r="982" spans="1:13" x14ac:dyDescent="0.25">
      <c r="A982" s="2">
        <f t="shared" si="30"/>
        <v>977</v>
      </c>
      <c r="B982" s="2">
        <v>40733</v>
      </c>
      <c r="C982" s="2" t="s">
        <v>3488</v>
      </c>
      <c r="D982" s="14" t="s">
        <v>976</v>
      </c>
      <c r="E982" s="14">
        <v>11.431277000000001</v>
      </c>
      <c r="F982" s="14">
        <v>0</v>
      </c>
      <c r="G982" s="14">
        <v>11.431277000000001</v>
      </c>
      <c r="H982" s="16">
        <v>1570.4066028999998</v>
      </c>
      <c r="I982" s="16">
        <v>1265.6081359999998</v>
      </c>
      <c r="J982" s="3" t="s">
        <v>5011</v>
      </c>
      <c r="K982" s="16">
        <v>11898.176478941403</v>
      </c>
      <c r="L982" s="16">
        <v>1869.4496028999999</v>
      </c>
      <c r="M982" s="16">
        <f t="shared" si="31"/>
        <v>1.1904239318962178</v>
      </c>
    </row>
    <row r="983" spans="1:13" x14ac:dyDescent="0.25">
      <c r="A983" s="2">
        <f t="shared" si="30"/>
        <v>978</v>
      </c>
      <c r="B983" s="2">
        <v>40843</v>
      </c>
      <c r="C983" s="2" t="s">
        <v>3489</v>
      </c>
      <c r="D983" s="14" t="s">
        <v>977</v>
      </c>
      <c r="E983" s="14">
        <v>5.9516006000000008</v>
      </c>
      <c r="F983" s="14">
        <v>0</v>
      </c>
      <c r="G983" s="14">
        <v>5.9516006000000008</v>
      </c>
      <c r="H983" s="16">
        <v>1008.4495775</v>
      </c>
      <c r="I983" s="16">
        <v>999.56579540000007</v>
      </c>
      <c r="J983" s="3" t="s">
        <v>5011</v>
      </c>
      <c r="K983" s="16">
        <v>7514.993324691799</v>
      </c>
      <c r="L983" s="16">
        <v>1293.2513215000001</v>
      </c>
      <c r="M983" s="16">
        <f t="shared" si="31"/>
        <v>1.282415452744835</v>
      </c>
    </row>
    <row r="984" spans="1:13" x14ac:dyDescent="0.25">
      <c r="A984" s="2">
        <f t="shared" si="30"/>
        <v>979</v>
      </c>
      <c r="B984" s="2">
        <v>41043</v>
      </c>
      <c r="C984" s="2" t="s">
        <v>3490</v>
      </c>
      <c r="D984" s="14" t="s">
        <v>978</v>
      </c>
      <c r="E984" s="14">
        <v>8.6558099000000013</v>
      </c>
      <c r="F984" s="14">
        <v>0</v>
      </c>
      <c r="G984" s="14">
        <v>8.6558099000000013</v>
      </c>
      <c r="H984" s="16">
        <v>47.2321393</v>
      </c>
      <c r="I984" s="16">
        <v>20.163750499999999</v>
      </c>
      <c r="J984" s="3" t="s">
        <v>5011</v>
      </c>
      <c r="K984" s="16">
        <v>6743.2385469867986</v>
      </c>
      <c r="L984" s="16">
        <v>718.01533500000005</v>
      </c>
      <c r="M984" s="16">
        <f t="shared" si="31"/>
        <v>15.20183810518191</v>
      </c>
    </row>
    <row r="985" spans="1:13" x14ac:dyDescent="0.25">
      <c r="A985" s="2">
        <f t="shared" si="30"/>
        <v>980</v>
      </c>
      <c r="B985" s="2">
        <v>41063</v>
      </c>
      <c r="C985" s="2" t="s">
        <v>3491</v>
      </c>
      <c r="D985" s="14" t="s">
        <v>979</v>
      </c>
      <c r="E985" s="14">
        <v>5.9747010000000014</v>
      </c>
      <c r="F985" s="14">
        <v>0</v>
      </c>
      <c r="G985" s="14">
        <v>5.9747010000000014</v>
      </c>
      <c r="H985" s="16">
        <v>170.65913920000003</v>
      </c>
      <c r="I985" s="16">
        <v>111.07804230000001</v>
      </c>
      <c r="J985" s="3" t="s">
        <v>5011</v>
      </c>
      <c r="K985" s="16">
        <v>4371.3511591499009</v>
      </c>
      <c r="L985" s="16">
        <v>502.77920909999995</v>
      </c>
      <c r="M985" s="16">
        <f t="shared" si="31"/>
        <v>2.9461018698259078</v>
      </c>
    </row>
    <row r="986" spans="1:13" x14ac:dyDescent="0.25">
      <c r="A986" s="2">
        <f t="shared" si="30"/>
        <v>981</v>
      </c>
      <c r="B986" s="2">
        <v>41121</v>
      </c>
      <c r="C986" s="2" t="s">
        <v>3492</v>
      </c>
      <c r="D986" s="14" t="s">
        <v>980</v>
      </c>
      <c r="E986" s="14">
        <v>5.7996905000000005</v>
      </c>
      <c r="F986" s="14">
        <v>0</v>
      </c>
      <c r="G986" s="14">
        <v>5.7996905000000005</v>
      </c>
      <c r="H986" s="16">
        <v>989.16475730000002</v>
      </c>
      <c r="I986" s="16">
        <v>983.93170980000002</v>
      </c>
      <c r="J986" s="3" t="s">
        <v>5011</v>
      </c>
      <c r="K986" s="16">
        <v>5938.4694520725025</v>
      </c>
      <c r="L986" s="16">
        <v>1222.6868087</v>
      </c>
      <c r="M986" s="16">
        <f t="shared" si="31"/>
        <v>1.2360800358854436</v>
      </c>
    </row>
    <row r="987" spans="1:13" x14ac:dyDescent="0.25">
      <c r="A987" s="2">
        <f t="shared" si="30"/>
        <v>982</v>
      </c>
      <c r="B987" s="2">
        <v>41132</v>
      </c>
      <c r="C987" s="2" t="s">
        <v>3493</v>
      </c>
      <c r="D987" s="14" t="s">
        <v>981</v>
      </c>
      <c r="E987" s="14">
        <v>4.6939999999999994E-3</v>
      </c>
      <c r="F987" s="14">
        <v>0</v>
      </c>
      <c r="G987" s="14">
        <v>4.6939999999999994E-3</v>
      </c>
      <c r="H987" s="16">
        <v>5.9996999999999998</v>
      </c>
      <c r="I987" s="16">
        <v>5.9996999999999998</v>
      </c>
      <c r="J987" s="3" t="s">
        <v>5011</v>
      </c>
      <c r="K987" s="16">
        <v>15.839180926900001</v>
      </c>
      <c r="L987" s="16">
        <v>6.3091217000000004</v>
      </c>
      <c r="M987" s="16">
        <f t="shared" si="31"/>
        <v>1.0515728619764322</v>
      </c>
    </row>
    <row r="988" spans="1:13" x14ac:dyDescent="0.25">
      <c r="A988" s="2">
        <f t="shared" si="30"/>
        <v>983</v>
      </c>
      <c r="B988" s="2">
        <v>41137</v>
      </c>
      <c r="C988" s="2" t="s">
        <v>3494</v>
      </c>
      <c r="D988" s="14" t="s">
        <v>982</v>
      </c>
      <c r="E988" s="14">
        <v>0.81644699999999992</v>
      </c>
      <c r="F988" s="14">
        <v>0</v>
      </c>
      <c r="G988" s="14">
        <v>0.81644699999999992</v>
      </c>
      <c r="H988" s="16">
        <v>463.61686350000002</v>
      </c>
      <c r="I988" s="16">
        <v>366.74178710000001</v>
      </c>
      <c r="J988" s="3" t="s">
        <v>5011</v>
      </c>
      <c r="K988" s="16">
        <v>1891.7837071366002</v>
      </c>
      <c r="L988" s="16">
        <v>408.88014780000003</v>
      </c>
      <c r="M988" s="16">
        <f t="shared" si="31"/>
        <v>0.88193545142690866</v>
      </c>
    </row>
    <row r="989" spans="1:13" x14ac:dyDescent="0.25">
      <c r="A989" s="2">
        <f t="shared" si="30"/>
        <v>984</v>
      </c>
      <c r="B989" s="2">
        <v>41177</v>
      </c>
      <c r="C989" s="2" t="s">
        <v>3495</v>
      </c>
      <c r="D989" s="14" t="s">
        <v>983</v>
      </c>
      <c r="E989" s="14">
        <v>0</v>
      </c>
      <c r="F989" s="14">
        <v>0</v>
      </c>
      <c r="G989" s="14">
        <v>0</v>
      </c>
      <c r="H989" s="16">
        <v>0</v>
      </c>
      <c r="I989" s="16">
        <v>0</v>
      </c>
      <c r="J989" s="3" t="s">
        <v>5011</v>
      </c>
      <c r="K989" s="16">
        <v>0</v>
      </c>
      <c r="L989" s="16">
        <v>0</v>
      </c>
      <c r="M989" s="16">
        <v>0</v>
      </c>
    </row>
    <row r="990" spans="1:13" x14ac:dyDescent="0.25">
      <c r="A990" s="2">
        <f t="shared" si="30"/>
        <v>985</v>
      </c>
      <c r="B990" s="2">
        <v>41198</v>
      </c>
      <c r="C990" s="2" t="s">
        <v>3496</v>
      </c>
      <c r="D990" s="14" t="s">
        <v>984</v>
      </c>
      <c r="E990" s="14">
        <v>9.8833890000000011</v>
      </c>
      <c r="F990" s="14">
        <v>0</v>
      </c>
      <c r="G990" s="14">
        <v>9.8833890000000011</v>
      </c>
      <c r="H990" s="16">
        <v>786.51323170000001</v>
      </c>
      <c r="I990" s="16">
        <v>514.80868930000008</v>
      </c>
      <c r="J990" s="3" t="s">
        <v>5011</v>
      </c>
      <c r="K990" s="16">
        <v>9595.6405368767992</v>
      </c>
      <c r="L990" s="16">
        <v>1283.4534334999998</v>
      </c>
      <c r="M990" s="16">
        <f t="shared" si="31"/>
        <v>1.6318268806818343</v>
      </c>
    </row>
    <row r="991" spans="1:13" x14ac:dyDescent="0.25">
      <c r="A991" s="2">
        <f t="shared" si="30"/>
        <v>986</v>
      </c>
      <c r="B991" s="2">
        <v>41427</v>
      </c>
      <c r="C991" s="2" t="s">
        <v>3497</v>
      </c>
      <c r="D991" s="14" t="s">
        <v>985</v>
      </c>
      <c r="E991" s="14">
        <v>0.43820190000000003</v>
      </c>
      <c r="F991" s="14">
        <v>0</v>
      </c>
      <c r="G991" s="14">
        <v>0.43820190000000003</v>
      </c>
      <c r="H991" s="16">
        <v>34.155721899999996</v>
      </c>
      <c r="I991" s="16">
        <v>10.6583702</v>
      </c>
      <c r="J991" s="3" t="s">
        <v>5011</v>
      </c>
      <c r="K991" s="16">
        <v>462.34416570499991</v>
      </c>
      <c r="L991" s="16">
        <v>63.277689000000002</v>
      </c>
      <c r="M991" s="16">
        <f t="shared" si="31"/>
        <v>1.8526233813843065</v>
      </c>
    </row>
    <row r="992" spans="1:13" x14ac:dyDescent="0.25">
      <c r="A992" s="2">
        <f t="shared" si="30"/>
        <v>987</v>
      </c>
      <c r="B992" s="2">
        <v>41541</v>
      </c>
      <c r="C992" s="2" t="s">
        <v>3498</v>
      </c>
      <c r="D992" s="14" t="s">
        <v>986</v>
      </c>
      <c r="E992" s="14">
        <v>0.70995609999999998</v>
      </c>
      <c r="F992" s="14">
        <v>0</v>
      </c>
      <c r="G992" s="14">
        <v>0.70995609999999998</v>
      </c>
      <c r="H992" s="16">
        <v>27.3068864</v>
      </c>
      <c r="I992" s="16">
        <v>27.3068864</v>
      </c>
      <c r="J992" s="3" t="s">
        <v>5011</v>
      </c>
      <c r="K992" s="16">
        <v>594.12253299479994</v>
      </c>
      <c r="L992" s="16">
        <v>83.001176799999996</v>
      </c>
      <c r="M992" s="16">
        <f t="shared" si="31"/>
        <v>3.0395694179179649</v>
      </c>
    </row>
    <row r="993" spans="1:13" x14ac:dyDescent="0.25">
      <c r="A993" s="2">
        <f t="shared" si="30"/>
        <v>988</v>
      </c>
      <c r="B993" s="2">
        <v>41571</v>
      </c>
      <c r="C993" s="2" t="s">
        <v>3499</v>
      </c>
      <c r="D993" s="14" t="s">
        <v>987</v>
      </c>
      <c r="E993" s="14">
        <v>0</v>
      </c>
      <c r="F993" s="14">
        <v>0</v>
      </c>
      <c r="G993" s="14">
        <v>0</v>
      </c>
      <c r="H993" s="16">
        <v>0</v>
      </c>
      <c r="I993" s="16">
        <v>0</v>
      </c>
      <c r="J993" s="3" t="s">
        <v>5011</v>
      </c>
      <c r="K993" s="16">
        <v>0</v>
      </c>
      <c r="L993" s="16">
        <v>0</v>
      </c>
      <c r="M993" s="16">
        <v>0</v>
      </c>
    </row>
    <row r="994" spans="1:13" x14ac:dyDescent="0.25">
      <c r="A994" s="2">
        <f t="shared" si="30"/>
        <v>989</v>
      </c>
      <c r="B994" s="2">
        <v>41674</v>
      </c>
      <c r="C994" s="2" t="s">
        <v>3500</v>
      </c>
      <c r="D994" s="14" t="s">
        <v>988</v>
      </c>
      <c r="E994" s="14">
        <v>0</v>
      </c>
      <c r="F994" s="14">
        <v>0</v>
      </c>
      <c r="G994" s="14">
        <v>0</v>
      </c>
      <c r="H994" s="16">
        <v>0</v>
      </c>
      <c r="I994" s="16">
        <v>0</v>
      </c>
      <c r="J994" s="3" t="s">
        <v>5011</v>
      </c>
      <c r="K994" s="16">
        <v>0</v>
      </c>
      <c r="L994" s="16">
        <v>0</v>
      </c>
      <c r="M994" s="16">
        <v>0</v>
      </c>
    </row>
    <row r="995" spans="1:13" x14ac:dyDescent="0.25">
      <c r="A995" s="2">
        <f t="shared" si="30"/>
        <v>990</v>
      </c>
      <c r="B995" s="2">
        <v>41719</v>
      </c>
      <c r="C995" s="2" t="s">
        <v>3501</v>
      </c>
      <c r="D995" s="14" t="s">
        <v>989</v>
      </c>
      <c r="E995" s="14">
        <v>0</v>
      </c>
      <c r="F995" s="14">
        <v>0</v>
      </c>
      <c r="G995" s="14">
        <v>0</v>
      </c>
      <c r="H995" s="16">
        <v>0</v>
      </c>
      <c r="I995" s="16">
        <v>0</v>
      </c>
      <c r="J995" s="3" t="s">
        <v>5011</v>
      </c>
      <c r="K995" s="16">
        <v>0</v>
      </c>
      <c r="L995" s="16">
        <v>0</v>
      </c>
      <c r="M995" s="16">
        <v>0</v>
      </c>
    </row>
    <row r="996" spans="1:13" x14ac:dyDescent="0.25">
      <c r="A996" s="2">
        <f t="shared" si="30"/>
        <v>991</v>
      </c>
      <c r="B996" s="2">
        <v>41912</v>
      </c>
      <c r="C996" s="2" t="s">
        <v>3502</v>
      </c>
      <c r="D996" s="14" t="s">
        <v>990</v>
      </c>
      <c r="E996" s="14">
        <v>0</v>
      </c>
      <c r="F996" s="14">
        <v>0</v>
      </c>
      <c r="G996" s="14">
        <v>0</v>
      </c>
      <c r="H996" s="16">
        <v>0</v>
      </c>
      <c r="I996" s="16">
        <v>0</v>
      </c>
      <c r="J996" s="3" t="s">
        <v>5011</v>
      </c>
      <c r="K996" s="16">
        <v>0</v>
      </c>
      <c r="L996" s="16">
        <v>0</v>
      </c>
      <c r="M996" s="16">
        <v>0</v>
      </c>
    </row>
    <row r="997" spans="1:13" x14ac:dyDescent="0.25">
      <c r="A997" s="2">
        <f t="shared" si="30"/>
        <v>992</v>
      </c>
      <c r="B997" s="2">
        <v>42141</v>
      </c>
      <c r="C997" s="2" t="s">
        <v>3503</v>
      </c>
      <c r="D997" s="14" t="s">
        <v>991</v>
      </c>
      <c r="E997" s="14">
        <v>7.3990000000000004E-4</v>
      </c>
      <c r="F997" s="14">
        <v>0</v>
      </c>
      <c r="G997" s="14">
        <v>7.3990000000000004E-4</v>
      </c>
      <c r="H997" s="16">
        <v>0.26998650000000002</v>
      </c>
      <c r="I997" s="16">
        <v>0.26998650000000002</v>
      </c>
      <c r="J997" s="3" t="s">
        <v>5011</v>
      </c>
      <c r="K997" s="16">
        <v>1.4777276365000001</v>
      </c>
      <c r="L997" s="16">
        <v>0.32815589999999994</v>
      </c>
      <c r="M997" s="16">
        <f t="shared" si="31"/>
        <v>1.2154529948719655</v>
      </c>
    </row>
    <row r="998" spans="1:13" x14ac:dyDescent="0.25">
      <c r="A998" s="2">
        <f t="shared" si="30"/>
        <v>993</v>
      </c>
      <c r="B998" s="2">
        <v>42336</v>
      </c>
      <c r="C998" s="2" t="s">
        <v>3504</v>
      </c>
      <c r="D998" s="14" t="s">
        <v>992</v>
      </c>
      <c r="E998" s="14">
        <v>2.9479000000000003E-3</v>
      </c>
      <c r="F998" s="14">
        <v>0</v>
      </c>
      <c r="G998" s="14">
        <v>2.9479000000000003E-3</v>
      </c>
      <c r="H998" s="16">
        <v>2.6598670000000002</v>
      </c>
      <c r="I998" s="16">
        <v>2.6598670000000002</v>
      </c>
      <c r="J998" s="3" t="s">
        <v>5011</v>
      </c>
      <c r="K998" s="16">
        <v>6.6784986996999995</v>
      </c>
      <c r="L998" s="16">
        <v>2.8323778000000002</v>
      </c>
      <c r="M998" s="16">
        <f t="shared" si="31"/>
        <v>1.0648569270568791</v>
      </c>
    </row>
    <row r="999" spans="1:13" x14ac:dyDescent="0.25">
      <c r="A999" s="2">
        <f t="shared" si="30"/>
        <v>994</v>
      </c>
      <c r="B999" s="2">
        <v>42423</v>
      </c>
      <c r="C999" s="2" t="s">
        <v>3505</v>
      </c>
      <c r="D999" s="14" t="s">
        <v>993</v>
      </c>
      <c r="E999" s="14">
        <v>1.3081982000000001</v>
      </c>
      <c r="F999" s="14">
        <v>0</v>
      </c>
      <c r="G999" s="14">
        <v>1.3081982000000001</v>
      </c>
      <c r="H999" s="16">
        <v>43.243793699999998</v>
      </c>
      <c r="I999" s="16">
        <v>38.208572800000006</v>
      </c>
      <c r="J999" s="3" t="s">
        <v>5011</v>
      </c>
      <c r="K999" s="16">
        <v>1300.7505505894001</v>
      </c>
      <c r="L999" s="16">
        <v>148.06229759999999</v>
      </c>
      <c r="M999" s="16">
        <f t="shared" si="31"/>
        <v>3.4238970481445063</v>
      </c>
    </row>
    <row r="1000" spans="1:13" x14ac:dyDescent="0.25">
      <c r="A1000" s="2">
        <f t="shared" si="30"/>
        <v>995</v>
      </c>
      <c r="B1000" s="2">
        <v>42500</v>
      </c>
      <c r="C1000" s="2" t="s">
        <v>3506</v>
      </c>
      <c r="D1000" s="14" t="s">
        <v>994</v>
      </c>
      <c r="E1000" s="14">
        <v>0</v>
      </c>
      <c r="F1000" s="14">
        <v>0</v>
      </c>
      <c r="G1000" s="14">
        <v>0</v>
      </c>
      <c r="H1000" s="16">
        <v>0</v>
      </c>
      <c r="I1000" s="16">
        <v>0</v>
      </c>
      <c r="J1000" s="3" t="s">
        <v>5011</v>
      </c>
      <c r="K1000" s="16">
        <v>0</v>
      </c>
      <c r="L1000" s="16">
        <v>0</v>
      </c>
      <c r="M1000" s="16">
        <v>0</v>
      </c>
    </row>
    <row r="1001" spans="1:13" x14ac:dyDescent="0.25">
      <c r="A1001" s="2">
        <f t="shared" si="30"/>
        <v>996</v>
      </c>
      <c r="B1001" s="2">
        <v>42506</v>
      </c>
      <c r="C1001" s="2" t="s">
        <v>3507</v>
      </c>
      <c r="D1001" s="14" t="s">
        <v>995</v>
      </c>
      <c r="E1001" s="14">
        <v>0.85851520000000014</v>
      </c>
      <c r="F1001" s="14">
        <v>0</v>
      </c>
      <c r="G1001" s="14">
        <v>0.85851520000000014</v>
      </c>
      <c r="H1001" s="16">
        <v>138.20810130000001</v>
      </c>
      <c r="I1001" s="16">
        <v>129.61748070000002</v>
      </c>
      <c r="J1001" s="3" t="s">
        <v>5011</v>
      </c>
      <c r="K1001" s="16">
        <v>963.72523486369982</v>
      </c>
      <c r="L1001" s="16">
        <v>189.80598579999997</v>
      </c>
      <c r="M1001" s="16">
        <f t="shared" si="31"/>
        <v>1.3733347322961882</v>
      </c>
    </row>
    <row r="1002" spans="1:13" x14ac:dyDescent="0.25">
      <c r="A1002" s="2">
        <f t="shared" si="30"/>
        <v>997</v>
      </c>
      <c r="B1002" s="2">
        <v>42632</v>
      </c>
      <c r="C1002" s="2" t="s">
        <v>3508</v>
      </c>
      <c r="D1002" s="14" t="s">
        <v>996</v>
      </c>
      <c r="E1002" s="14">
        <v>7.5300999999999996E-3</v>
      </c>
      <c r="F1002" s="14">
        <v>0</v>
      </c>
      <c r="G1002" s="14">
        <v>7.5300999999999996E-3</v>
      </c>
      <c r="H1002" s="16">
        <v>7.3696318000000005</v>
      </c>
      <c r="I1002" s="16">
        <v>5.4996042000000003</v>
      </c>
      <c r="J1002" s="3" t="s">
        <v>5011</v>
      </c>
      <c r="K1002" s="16">
        <v>24.678090498000003</v>
      </c>
      <c r="L1002" s="16">
        <v>7.6338680000000005</v>
      </c>
      <c r="M1002" s="16">
        <f t="shared" si="31"/>
        <v>1.035854735646359</v>
      </c>
    </row>
    <row r="1003" spans="1:13" x14ac:dyDescent="0.25">
      <c r="A1003" s="2">
        <f t="shared" si="30"/>
        <v>998</v>
      </c>
      <c r="B1003" s="2">
        <v>42657</v>
      </c>
      <c r="C1003" s="2" t="s">
        <v>3509</v>
      </c>
      <c r="D1003" s="14" t="s">
        <v>997</v>
      </c>
      <c r="E1003" s="14">
        <v>10.0168026</v>
      </c>
      <c r="F1003" s="14">
        <v>0</v>
      </c>
      <c r="G1003" s="14">
        <v>10.0168026</v>
      </c>
      <c r="H1003" s="16">
        <v>791.78043959999991</v>
      </c>
      <c r="I1003" s="16">
        <v>747.42713639999988</v>
      </c>
      <c r="J1003" s="3" t="s">
        <v>5011</v>
      </c>
      <c r="K1003" s="16">
        <v>10133.441656037001</v>
      </c>
      <c r="L1003" s="16">
        <v>1623.0693124000002</v>
      </c>
      <c r="M1003" s="16">
        <f t="shared" si="31"/>
        <v>2.0498982182736918</v>
      </c>
    </row>
    <row r="1004" spans="1:13" x14ac:dyDescent="0.25">
      <c r="A1004" s="2">
        <f t="shared" si="30"/>
        <v>999</v>
      </c>
      <c r="B1004" s="2">
        <v>42760</v>
      </c>
      <c r="C1004" s="2" t="s">
        <v>3510</v>
      </c>
      <c r="D1004" s="14" t="s">
        <v>998</v>
      </c>
      <c r="E1004" s="14">
        <v>0</v>
      </c>
      <c r="F1004" s="14">
        <v>0</v>
      </c>
      <c r="G1004" s="14">
        <v>0</v>
      </c>
      <c r="H1004" s="16">
        <v>21.308935699999999</v>
      </c>
      <c r="I1004" s="16">
        <v>18.598769899999997</v>
      </c>
      <c r="J1004" s="3" t="s">
        <v>5011</v>
      </c>
      <c r="K1004" s="16">
        <v>62.509165662699999</v>
      </c>
      <c r="L1004" s="16">
        <v>22.4708048</v>
      </c>
      <c r="M1004" s="16">
        <f t="shared" si="31"/>
        <v>1.0545249709491591</v>
      </c>
    </row>
    <row r="1005" spans="1:13" x14ac:dyDescent="0.25">
      <c r="A1005" s="2">
        <f t="shared" si="30"/>
        <v>1000</v>
      </c>
      <c r="B1005" s="2">
        <v>42874</v>
      </c>
      <c r="C1005" s="2" t="s">
        <v>3511</v>
      </c>
      <c r="D1005" s="14" t="s">
        <v>999</v>
      </c>
      <c r="E1005" s="14">
        <v>0</v>
      </c>
      <c r="F1005" s="14">
        <v>0</v>
      </c>
      <c r="G1005" s="14">
        <v>0</v>
      </c>
      <c r="H1005" s="16">
        <v>0</v>
      </c>
      <c r="I1005" s="16">
        <v>0</v>
      </c>
      <c r="J1005" s="3" t="s">
        <v>5011</v>
      </c>
      <c r="K1005" s="16">
        <v>0</v>
      </c>
      <c r="L1005" s="16">
        <v>0</v>
      </c>
      <c r="M1005" s="16">
        <v>0</v>
      </c>
    </row>
    <row r="1006" spans="1:13" x14ac:dyDescent="0.25">
      <c r="A1006" s="2">
        <f t="shared" si="30"/>
        <v>1001</v>
      </c>
      <c r="B1006" s="2">
        <v>42964</v>
      </c>
      <c r="C1006" s="2" t="s">
        <v>3512</v>
      </c>
      <c r="D1006" s="14" t="s">
        <v>1000</v>
      </c>
      <c r="E1006" s="14">
        <v>9.9476300000000004E-2</v>
      </c>
      <c r="F1006" s="14">
        <v>0</v>
      </c>
      <c r="G1006" s="14">
        <v>9.9476300000000004E-2</v>
      </c>
      <c r="H1006" s="16">
        <v>23.3488325</v>
      </c>
      <c r="I1006" s="16">
        <v>23.3488325</v>
      </c>
      <c r="J1006" s="3" t="s">
        <v>5011</v>
      </c>
      <c r="K1006" s="16">
        <v>170.31776406509999</v>
      </c>
      <c r="L1006" s="16">
        <v>30.016095199999999</v>
      </c>
      <c r="M1006" s="16">
        <f t="shared" si="31"/>
        <v>1.2855501533106632</v>
      </c>
    </row>
    <row r="1007" spans="1:13" x14ac:dyDescent="0.25">
      <c r="A1007" s="2">
        <f t="shared" si="30"/>
        <v>1002</v>
      </c>
      <c r="B1007" s="2">
        <v>42990</v>
      </c>
      <c r="C1007" s="2" t="s">
        <v>3513</v>
      </c>
      <c r="D1007" s="14" t="s">
        <v>1001</v>
      </c>
      <c r="E1007" s="14">
        <v>2.3595262999999993</v>
      </c>
      <c r="F1007" s="14">
        <v>0</v>
      </c>
      <c r="G1007" s="14">
        <v>2.3595262999999993</v>
      </c>
      <c r="H1007" s="16">
        <v>88.662428399999996</v>
      </c>
      <c r="I1007" s="16">
        <v>70.081298000000004</v>
      </c>
      <c r="J1007" s="3" t="s">
        <v>5011</v>
      </c>
      <c r="K1007" s="16">
        <v>2095.0446390801999</v>
      </c>
      <c r="L1007" s="16">
        <v>261.04612359999999</v>
      </c>
      <c r="M1007" s="16">
        <f t="shared" si="31"/>
        <v>2.9442699496374272</v>
      </c>
    </row>
    <row r="1008" spans="1:13" x14ac:dyDescent="0.25">
      <c r="A1008" s="2">
        <f t="shared" si="30"/>
        <v>1003</v>
      </c>
      <c r="B1008" s="2">
        <v>43022</v>
      </c>
      <c r="C1008" s="2" t="s">
        <v>3514</v>
      </c>
      <c r="D1008" s="14" t="s">
        <v>1002</v>
      </c>
      <c r="E1008" s="14">
        <v>0</v>
      </c>
      <c r="F1008" s="14">
        <v>0</v>
      </c>
      <c r="G1008" s="14">
        <v>0</v>
      </c>
      <c r="H1008" s="16">
        <v>0</v>
      </c>
      <c r="I1008" s="16">
        <v>0</v>
      </c>
      <c r="J1008" s="3" t="s">
        <v>5011</v>
      </c>
      <c r="K1008" s="16">
        <v>0</v>
      </c>
      <c r="L1008" s="16">
        <v>0</v>
      </c>
      <c r="M1008" s="16">
        <v>0</v>
      </c>
    </row>
    <row r="1009" spans="1:13" x14ac:dyDescent="0.25">
      <c r="A1009" s="2">
        <f t="shared" si="30"/>
        <v>1004</v>
      </c>
      <c r="B1009" s="2">
        <v>43629</v>
      </c>
      <c r="C1009" s="2" t="s">
        <v>3515</v>
      </c>
      <c r="D1009" s="14" t="s">
        <v>1003</v>
      </c>
      <c r="E1009" s="14">
        <v>0</v>
      </c>
      <c r="F1009" s="14">
        <v>0</v>
      </c>
      <c r="G1009" s="14">
        <v>0</v>
      </c>
      <c r="H1009" s="16">
        <v>0</v>
      </c>
      <c r="I1009" s="16">
        <v>0</v>
      </c>
      <c r="J1009" s="3" t="s">
        <v>5011</v>
      </c>
      <c r="K1009" s="16">
        <v>0</v>
      </c>
      <c r="L1009" s="16">
        <v>0</v>
      </c>
      <c r="M1009" s="16">
        <v>0</v>
      </c>
    </row>
    <row r="1010" spans="1:13" x14ac:dyDescent="0.25">
      <c r="A1010" s="2">
        <f t="shared" si="30"/>
        <v>1005</v>
      </c>
      <c r="B1010" s="2">
        <v>43680</v>
      </c>
      <c r="C1010" s="2" t="s">
        <v>3516</v>
      </c>
      <c r="D1010" s="14" t="s">
        <v>1004</v>
      </c>
      <c r="E1010" s="14">
        <v>6.4194089000000005</v>
      </c>
      <c r="F1010" s="14">
        <v>0</v>
      </c>
      <c r="G1010" s="14">
        <v>6.4194089000000005</v>
      </c>
      <c r="H1010" s="16">
        <v>339.4362769</v>
      </c>
      <c r="I1010" s="16">
        <v>314.50378939999996</v>
      </c>
      <c r="J1010" s="3" t="s">
        <v>5011</v>
      </c>
      <c r="K1010" s="16">
        <v>5958.0072834052016</v>
      </c>
      <c r="L1010" s="16">
        <v>790.59255790000009</v>
      </c>
      <c r="M1010" s="16">
        <f t="shared" si="31"/>
        <v>2.3291339544503473</v>
      </c>
    </row>
    <row r="1011" spans="1:13" x14ac:dyDescent="0.25">
      <c r="A1011" s="2">
        <f t="shared" si="30"/>
        <v>1006</v>
      </c>
      <c r="B1011" s="2">
        <v>44026</v>
      </c>
      <c r="C1011" s="2" t="s">
        <v>3517</v>
      </c>
      <c r="D1011" s="14" t="s">
        <v>1005</v>
      </c>
      <c r="E1011" s="14">
        <v>0</v>
      </c>
      <c r="F1011" s="14">
        <v>0</v>
      </c>
      <c r="G1011" s="14">
        <v>0</v>
      </c>
      <c r="H1011" s="16">
        <v>2.2398886</v>
      </c>
      <c r="I1011" s="16">
        <v>2.1148886</v>
      </c>
      <c r="J1011" s="3" t="s">
        <v>5011</v>
      </c>
      <c r="K1011" s="16">
        <v>23.752468480700003</v>
      </c>
      <c r="L1011" s="16">
        <v>4.0047931999999999</v>
      </c>
      <c r="M1011" s="16">
        <f t="shared" si="31"/>
        <v>1.7879430253808157</v>
      </c>
    </row>
    <row r="1012" spans="1:13" x14ac:dyDescent="0.25">
      <c r="A1012" s="2">
        <f t="shared" si="30"/>
        <v>1007</v>
      </c>
      <c r="B1012" s="2">
        <v>44290</v>
      </c>
      <c r="C1012" s="2" t="s">
        <v>3518</v>
      </c>
      <c r="D1012" s="14" t="s">
        <v>1006</v>
      </c>
      <c r="E1012" s="14">
        <v>5.0567399999999998E-2</v>
      </c>
      <c r="F1012" s="14">
        <v>0</v>
      </c>
      <c r="G1012" s="14">
        <v>5.0567399999999998E-2</v>
      </c>
      <c r="H1012" s="16">
        <v>9.3495325000000005</v>
      </c>
      <c r="I1012" s="16">
        <v>9.3495325000000005</v>
      </c>
      <c r="J1012" s="3" t="s">
        <v>5011</v>
      </c>
      <c r="K1012" s="16">
        <v>70.074267271300002</v>
      </c>
      <c r="L1012" s="16">
        <v>15.602086799999999</v>
      </c>
      <c r="M1012" s="16">
        <f t="shared" si="31"/>
        <v>1.6687558228178787</v>
      </c>
    </row>
    <row r="1013" spans="1:13" x14ac:dyDescent="0.25">
      <c r="A1013" s="2">
        <f t="shared" si="30"/>
        <v>1008</v>
      </c>
      <c r="B1013" s="2">
        <v>44318</v>
      </c>
      <c r="C1013" s="2" t="s">
        <v>3519</v>
      </c>
      <c r="D1013" s="14" t="s">
        <v>793</v>
      </c>
      <c r="E1013" s="14">
        <v>2.6274471999999998</v>
      </c>
      <c r="F1013" s="14">
        <v>0</v>
      </c>
      <c r="G1013" s="14">
        <v>2.6274471999999998</v>
      </c>
      <c r="H1013" s="16">
        <v>269.22968800000001</v>
      </c>
      <c r="I1013" s="16">
        <v>243.7606614</v>
      </c>
      <c r="J1013" s="3" t="s">
        <v>5011</v>
      </c>
      <c r="K1013" s="16">
        <v>2199.864212912099</v>
      </c>
      <c r="L1013" s="16">
        <v>343.1065299</v>
      </c>
      <c r="M1013" s="16">
        <f t="shared" si="31"/>
        <v>1.274400800479329</v>
      </c>
    </row>
    <row r="1014" spans="1:13" x14ac:dyDescent="0.25">
      <c r="A1014" s="2">
        <f t="shared" si="30"/>
        <v>1009</v>
      </c>
      <c r="B1014" s="2">
        <v>44348</v>
      </c>
      <c r="C1014" s="2" t="s">
        <v>3520</v>
      </c>
      <c r="D1014" s="14" t="s">
        <v>1007</v>
      </c>
      <c r="E1014" s="14">
        <v>2.4654560000000001</v>
      </c>
      <c r="F1014" s="14">
        <v>0</v>
      </c>
      <c r="G1014" s="14">
        <v>2.4654560000000001</v>
      </c>
      <c r="H1014" s="16">
        <v>303.40133530000003</v>
      </c>
      <c r="I1014" s="16">
        <v>264.75895020000002</v>
      </c>
      <c r="J1014" s="3" t="s">
        <v>5011</v>
      </c>
      <c r="K1014" s="16">
        <v>2860.3641401309005</v>
      </c>
      <c r="L1014" s="16">
        <v>453.64469359999998</v>
      </c>
      <c r="M1014" s="16">
        <f t="shared" si="31"/>
        <v>1.4951967602629068</v>
      </c>
    </row>
    <row r="1015" spans="1:13" x14ac:dyDescent="0.25">
      <c r="A1015" s="2">
        <f t="shared" si="30"/>
        <v>1010</v>
      </c>
      <c r="B1015" s="2">
        <v>44504</v>
      </c>
      <c r="C1015" s="2" t="s">
        <v>3521</v>
      </c>
      <c r="D1015" s="14" t="s">
        <v>1008</v>
      </c>
      <c r="E1015" s="14">
        <v>0</v>
      </c>
      <c r="F1015" s="14">
        <v>0</v>
      </c>
      <c r="G1015" s="14">
        <v>0</v>
      </c>
      <c r="H1015" s="16">
        <v>0</v>
      </c>
      <c r="I1015" s="16">
        <v>0</v>
      </c>
      <c r="J1015" s="3" t="s">
        <v>5011</v>
      </c>
      <c r="K1015" s="16">
        <v>0</v>
      </c>
      <c r="L1015" s="16">
        <v>0</v>
      </c>
      <c r="M1015" s="16">
        <v>0</v>
      </c>
    </row>
    <row r="1016" spans="1:13" x14ac:dyDescent="0.25">
      <c r="A1016" s="2">
        <f t="shared" si="30"/>
        <v>1011</v>
      </c>
      <c r="B1016" s="2">
        <v>44580</v>
      </c>
      <c r="C1016" s="2" t="s">
        <v>3522</v>
      </c>
      <c r="D1016" s="14" t="s">
        <v>1009</v>
      </c>
      <c r="E1016" s="14">
        <v>0</v>
      </c>
      <c r="F1016" s="14">
        <v>0</v>
      </c>
      <c r="G1016" s="14">
        <v>0</v>
      </c>
      <c r="H1016" s="16">
        <v>0</v>
      </c>
      <c r="I1016" s="16">
        <v>0</v>
      </c>
      <c r="J1016" s="3" t="s">
        <v>5011</v>
      </c>
      <c r="K1016" s="16">
        <v>0</v>
      </c>
      <c r="L1016" s="16">
        <v>0</v>
      </c>
      <c r="M1016" s="16">
        <v>0</v>
      </c>
    </row>
    <row r="1017" spans="1:13" x14ac:dyDescent="0.25">
      <c r="A1017" s="2">
        <f t="shared" si="30"/>
        <v>1012</v>
      </c>
      <c r="B1017" s="2">
        <v>44863</v>
      </c>
      <c r="C1017" s="2" t="s">
        <v>3523</v>
      </c>
      <c r="D1017" s="14" t="s">
        <v>1010</v>
      </c>
      <c r="E1017" s="14">
        <v>11.710657599999999</v>
      </c>
      <c r="F1017" s="14">
        <v>0</v>
      </c>
      <c r="G1017" s="14">
        <v>11.710657599999999</v>
      </c>
      <c r="H1017" s="16">
        <v>640.48782749999998</v>
      </c>
      <c r="I1017" s="16">
        <v>496.81523929999997</v>
      </c>
      <c r="J1017" s="3" t="s">
        <v>5011</v>
      </c>
      <c r="K1017" s="16">
        <v>8506.700709500099</v>
      </c>
      <c r="L1017" s="16">
        <v>1269.0136691</v>
      </c>
      <c r="M1017" s="16">
        <f t="shared" si="31"/>
        <v>1.9813236327274308</v>
      </c>
    </row>
    <row r="1018" spans="1:13" x14ac:dyDescent="0.25">
      <c r="A1018" s="2">
        <f t="shared" si="30"/>
        <v>1013</v>
      </c>
      <c r="B1018" s="2">
        <v>45092</v>
      </c>
      <c r="C1018" s="2" t="s">
        <v>3524</v>
      </c>
      <c r="D1018" s="14" t="s">
        <v>1011</v>
      </c>
      <c r="E1018" s="14">
        <v>1.0758443</v>
      </c>
      <c r="F1018" s="14">
        <v>0</v>
      </c>
      <c r="G1018" s="14">
        <v>1.0758443</v>
      </c>
      <c r="H1018" s="16">
        <v>133.44976890000001</v>
      </c>
      <c r="I1018" s="16">
        <v>131.39360429999999</v>
      </c>
      <c r="J1018" s="3" t="s">
        <v>5011</v>
      </c>
      <c r="K1018" s="16">
        <v>1277.2569701512998</v>
      </c>
      <c r="L1018" s="16">
        <v>196.5333479</v>
      </c>
      <c r="M1018" s="16">
        <f t="shared" si="31"/>
        <v>1.4727140370491865</v>
      </c>
    </row>
    <row r="1019" spans="1:13" x14ac:dyDescent="0.25">
      <c r="A1019" s="2">
        <f t="shared" si="30"/>
        <v>1014</v>
      </c>
      <c r="B1019" s="2">
        <v>45111</v>
      </c>
      <c r="C1019" s="2" t="s">
        <v>3525</v>
      </c>
      <c r="D1019" s="14" t="s">
        <v>1012</v>
      </c>
      <c r="E1019" s="14">
        <v>0.20591970000000004</v>
      </c>
      <c r="F1019" s="14">
        <v>0</v>
      </c>
      <c r="G1019" s="14">
        <v>0.20591970000000004</v>
      </c>
      <c r="H1019" s="16">
        <v>4.8897554999999997</v>
      </c>
      <c r="I1019" s="16">
        <v>4.8897554999999997</v>
      </c>
      <c r="J1019" s="3" t="s">
        <v>5011</v>
      </c>
      <c r="K1019" s="16">
        <v>210.51260544950003</v>
      </c>
      <c r="L1019" s="16">
        <v>25.361415600000001</v>
      </c>
      <c r="M1019" s="16">
        <f t="shared" si="31"/>
        <v>5.1866428904267305</v>
      </c>
    </row>
    <row r="1020" spans="1:13" x14ac:dyDescent="0.25">
      <c r="A1020" s="2">
        <f t="shared" si="30"/>
        <v>1015</v>
      </c>
      <c r="B1020" s="2">
        <v>45274</v>
      </c>
      <c r="C1020" s="2" t="s">
        <v>3526</v>
      </c>
      <c r="D1020" s="14" t="s">
        <v>1013</v>
      </c>
      <c r="E1020" s="14">
        <v>5.8659000000000003E-3</v>
      </c>
      <c r="F1020" s="14">
        <v>0</v>
      </c>
      <c r="G1020" s="14">
        <v>5.8659000000000003E-3</v>
      </c>
      <c r="H1020" s="16">
        <v>25.273736400000001</v>
      </c>
      <c r="I1020" s="16">
        <v>25.273736400000001</v>
      </c>
      <c r="J1020" s="3" t="s">
        <v>5011</v>
      </c>
      <c r="K1020" s="16">
        <v>30.034168647999994</v>
      </c>
      <c r="L1020" s="16">
        <v>25.933285899999998</v>
      </c>
      <c r="M1020" s="16">
        <f t="shared" si="31"/>
        <v>1.0260962403643648</v>
      </c>
    </row>
    <row r="1021" spans="1:13" x14ac:dyDescent="0.25">
      <c r="A1021" s="2">
        <f t="shared" si="30"/>
        <v>1016</v>
      </c>
      <c r="B1021" s="2">
        <v>45289</v>
      </c>
      <c r="C1021" s="2" t="s">
        <v>3527</v>
      </c>
      <c r="D1021" s="14" t="s">
        <v>1014</v>
      </c>
      <c r="E1021" s="14">
        <v>0.57646540000000013</v>
      </c>
      <c r="F1021" s="14">
        <v>0</v>
      </c>
      <c r="G1021" s="14">
        <v>0.57646540000000013</v>
      </c>
      <c r="H1021" s="16">
        <v>298.31563949999997</v>
      </c>
      <c r="I1021" s="16">
        <v>205.06007920000002</v>
      </c>
      <c r="J1021" s="3" t="s">
        <v>5011</v>
      </c>
      <c r="K1021" s="16">
        <v>1147.9157052521</v>
      </c>
      <c r="L1021" s="16">
        <v>236.89394199999998</v>
      </c>
      <c r="M1021" s="16">
        <f t="shared" si="31"/>
        <v>0.79410500367011427</v>
      </c>
    </row>
    <row r="1022" spans="1:13" x14ac:dyDescent="0.25">
      <c r="A1022" s="2">
        <f t="shared" si="30"/>
        <v>1017</v>
      </c>
      <c r="B1022" s="2">
        <v>45392</v>
      </c>
      <c r="C1022" s="2" t="s">
        <v>3528</v>
      </c>
      <c r="D1022" s="14" t="s">
        <v>1015</v>
      </c>
      <c r="E1022" s="14">
        <v>0.13173839999999998</v>
      </c>
      <c r="F1022" s="14">
        <v>0</v>
      </c>
      <c r="G1022" s="14">
        <v>0.13173839999999998</v>
      </c>
      <c r="H1022" s="16">
        <v>12.369382</v>
      </c>
      <c r="I1022" s="16">
        <v>7.1911827000000006</v>
      </c>
      <c r="J1022" s="3" t="s">
        <v>5011</v>
      </c>
      <c r="K1022" s="16">
        <v>133.6617539385</v>
      </c>
      <c r="L1022" s="16">
        <v>16.2147343</v>
      </c>
      <c r="M1022" s="16">
        <f t="shared" si="31"/>
        <v>1.3108766711222921</v>
      </c>
    </row>
    <row r="1023" spans="1:13" x14ac:dyDescent="0.25">
      <c r="A1023" s="2">
        <f t="shared" si="30"/>
        <v>1018</v>
      </c>
      <c r="B1023" s="2">
        <v>45415</v>
      </c>
      <c r="C1023" s="2" t="s">
        <v>3529</v>
      </c>
      <c r="D1023" s="14" t="s">
        <v>1016</v>
      </c>
      <c r="E1023" s="14">
        <v>3.0306446</v>
      </c>
      <c r="F1023" s="14">
        <v>0</v>
      </c>
      <c r="G1023" s="14">
        <v>3.0306446</v>
      </c>
      <c r="H1023" s="16">
        <v>1111.5168851999999</v>
      </c>
      <c r="I1023" s="16">
        <v>754.24357659999998</v>
      </c>
      <c r="J1023" s="3" t="s">
        <v>5011</v>
      </c>
      <c r="K1023" s="16">
        <v>5654.8458666434999</v>
      </c>
      <c r="L1023" s="16">
        <v>965.40732129999992</v>
      </c>
      <c r="M1023" s="16">
        <f t="shared" si="31"/>
        <v>0.86854939781350249</v>
      </c>
    </row>
    <row r="1024" spans="1:13" x14ac:dyDescent="0.25">
      <c r="A1024" s="2">
        <f t="shared" si="30"/>
        <v>1019</v>
      </c>
      <c r="B1024" s="2">
        <v>45422</v>
      </c>
      <c r="C1024" s="2" t="s">
        <v>3530</v>
      </c>
      <c r="D1024" s="14" t="s">
        <v>1017</v>
      </c>
      <c r="E1024" s="14">
        <v>0</v>
      </c>
      <c r="F1024" s="14">
        <v>0</v>
      </c>
      <c r="G1024" s="14">
        <v>0</v>
      </c>
      <c r="H1024" s="16">
        <v>0</v>
      </c>
      <c r="I1024" s="16">
        <v>0</v>
      </c>
      <c r="J1024" s="3" t="s">
        <v>5011</v>
      </c>
      <c r="K1024" s="16">
        <v>0</v>
      </c>
      <c r="L1024" s="16">
        <v>0</v>
      </c>
      <c r="M1024" s="16">
        <v>0</v>
      </c>
    </row>
    <row r="1025" spans="1:13" x14ac:dyDescent="0.25">
      <c r="A1025" s="2">
        <f t="shared" si="30"/>
        <v>1020</v>
      </c>
      <c r="B1025" s="2">
        <v>45453</v>
      </c>
      <c r="C1025" s="2" t="s">
        <v>3531</v>
      </c>
      <c r="D1025" s="14" t="s">
        <v>1018</v>
      </c>
      <c r="E1025" s="14">
        <v>6.8142900000000006E-2</v>
      </c>
      <c r="F1025" s="14">
        <v>0</v>
      </c>
      <c r="G1025" s="14">
        <v>6.8142900000000006E-2</v>
      </c>
      <c r="H1025" s="16">
        <v>63.620609100000003</v>
      </c>
      <c r="I1025" s="16">
        <v>60.870596299999995</v>
      </c>
      <c r="J1025" s="3" t="s">
        <v>5011</v>
      </c>
      <c r="K1025" s="16">
        <v>157.21181865979997</v>
      </c>
      <c r="L1025" s="16">
        <v>64.302107699999993</v>
      </c>
      <c r="M1025" s="16">
        <f t="shared" si="31"/>
        <v>1.0107119156770221</v>
      </c>
    </row>
    <row r="1026" spans="1:13" x14ac:dyDescent="0.25">
      <c r="A1026" s="2">
        <f t="shared" si="30"/>
        <v>1021</v>
      </c>
      <c r="B1026" s="2">
        <v>45457</v>
      </c>
      <c r="C1026" s="2" t="s">
        <v>3532</v>
      </c>
      <c r="D1026" s="14" t="s">
        <v>1019</v>
      </c>
      <c r="E1026" s="14">
        <v>0.12689010000000001</v>
      </c>
      <c r="F1026" s="14">
        <v>0</v>
      </c>
      <c r="G1026" s="14">
        <v>0.12689010000000001</v>
      </c>
      <c r="H1026" s="16">
        <v>16.199428899999997</v>
      </c>
      <c r="I1026" s="16">
        <v>13.552241799999999</v>
      </c>
      <c r="J1026" s="3" t="s">
        <v>5011</v>
      </c>
      <c r="K1026" s="16">
        <v>169.60344741440002</v>
      </c>
      <c r="L1026" s="16">
        <v>29.224282000000002</v>
      </c>
      <c r="M1026" s="16">
        <f t="shared" si="31"/>
        <v>1.804031622374046</v>
      </c>
    </row>
    <row r="1027" spans="1:13" x14ac:dyDescent="0.25">
      <c r="A1027" s="2">
        <f t="shared" si="30"/>
        <v>1022</v>
      </c>
      <c r="B1027" s="2">
        <v>45545</v>
      </c>
      <c r="C1027" s="2" t="s">
        <v>3533</v>
      </c>
      <c r="D1027" s="14" t="s">
        <v>1020</v>
      </c>
      <c r="E1027" s="14">
        <v>0.74959369999999992</v>
      </c>
      <c r="F1027" s="14">
        <v>0</v>
      </c>
      <c r="G1027" s="14">
        <v>0.74959369999999992</v>
      </c>
      <c r="H1027" s="16">
        <v>78.621634999999998</v>
      </c>
      <c r="I1027" s="16">
        <v>33.888244699999994</v>
      </c>
      <c r="J1027" s="3" t="s">
        <v>5011</v>
      </c>
      <c r="K1027" s="16">
        <v>836.40665683049997</v>
      </c>
      <c r="L1027" s="16">
        <v>113.022351</v>
      </c>
      <c r="M1027" s="16">
        <f t="shared" si="31"/>
        <v>1.4375477055393213</v>
      </c>
    </row>
    <row r="1028" spans="1:13" x14ac:dyDescent="0.25">
      <c r="A1028" s="2">
        <f t="shared" si="30"/>
        <v>1023</v>
      </c>
      <c r="B1028" s="2">
        <v>45624</v>
      </c>
      <c r="C1028" s="2" t="s">
        <v>3534</v>
      </c>
      <c r="D1028" s="14" t="s">
        <v>1021</v>
      </c>
      <c r="E1028" s="14">
        <v>0.18905139999999998</v>
      </c>
      <c r="F1028" s="14">
        <v>0</v>
      </c>
      <c r="G1028" s="14">
        <v>0.18905139999999998</v>
      </c>
      <c r="H1028" s="16">
        <v>0.99995000000000001</v>
      </c>
      <c r="I1028" s="16">
        <v>0.99995000000000001</v>
      </c>
      <c r="J1028" s="3" t="s">
        <v>5011</v>
      </c>
      <c r="K1028" s="16">
        <v>142.74517216940001</v>
      </c>
      <c r="L1028" s="16">
        <v>14.913404</v>
      </c>
      <c r="M1028" s="16">
        <f t="shared" si="31"/>
        <v>14.914149707485373</v>
      </c>
    </row>
    <row r="1029" spans="1:13" x14ac:dyDescent="0.25">
      <c r="A1029" s="2">
        <f t="shared" si="30"/>
        <v>1024</v>
      </c>
      <c r="B1029" s="2">
        <v>45791</v>
      </c>
      <c r="C1029" s="2" t="s">
        <v>3535</v>
      </c>
      <c r="D1029" s="14" t="s">
        <v>1022</v>
      </c>
      <c r="E1029" s="14">
        <v>1.1313849000000002</v>
      </c>
      <c r="F1029" s="14">
        <v>0</v>
      </c>
      <c r="G1029" s="14">
        <v>1.1313849000000002</v>
      </c>
      <c r="H1029" s="16">
        <v>114.7975847</v>
      </c>
      <c r="I1029" s="16">
        <v>82.161766200000017</v>
      </c>
      <c r="J1029" s="3" t="s">
        <v>5011</v>
      </c>
      <c r="K1029" s="16">
        <v>1612.3270380596996</v>
      </c>
      <c r="L1029" s="16">
        <v>195.73861640000001</v>
      </c>
      <c r="M1029" s="16">
        <f t="shared" si="31"/>
        <v>1.7050760859779659</v>
      </c>
    </row>
    <row r="1030" spans="1:13" x14ac:dyDescent="0.25">
      <c r="A1030" s="2">
        <f t="shared" si="30"/>
        <v>1025</v>
      </c>
      <c r="B1030" s="2">
        <v>45878</v>
      </c>
      <c r="C1030" s="2" t="s">
        <v>3536</v>
      </c>
      <c r="D1030" s="14" t="s">
        <v>1023</v>
      </c>
      <c r="E1030" s="14">
        <v>0</v>
      </c>
      <c r="F1030" s="14">
        <v>0</v>
      </c>
      <c r="G1030" s="14">
        <v>0</v>
      </c>
      <c r="H1030" s="16">
        <v>0</v>
      </c>
      <c r="I1030" s="16">
        <v>0</v>
      </c>
      <c r="J1030" s="3" t="s">
        <v>5011</v>
      </c>
      <c r="K1030" s="16">
        <v>0</v>
      </c>
      <c r="L1030" s="16">
        <v>0</v>
      </c>
      <c r="M1030" s="16">
        <v>0</v>
      </c>
    </row>
    <row r="1031" spans="1:13" x14ac:dyDescent="0.25">
      <c r="A1031" s="2">
        <f t="shared" si="30"/>
        <v>1026</v>
      </c>
      <c r="B1031" s="2">
        <v>45888</v>
      </c>
      <c r="C1031" s="2" t="s">
        <v>3537</v>
      </c>
      <c r="D1031" s="14" t="s">
        <v>1024</v>
      </c>
      <c r="E1031" s="14">
        <v>0</v>
      </c>
      <c r="F1031" s="14">
        <v>0</v>
      </c>
      <c r="G1031" s="14">
        <v>0</v>
      </c>
      <c r="H1031" s="16">
        <v>0.99995039999999991</v>
      </c>
      <c r="I1031" s="16">
        <v>0.99995039999999991</v>
      </c>
      <c r="J1031" s="3" t="s">
        <v>5011</v>
      </c>
      <c r="K1031" s="16">
        <v>97.219258882399998</v>
      </c>
      <c r="L1031" s="16">
        <v>10.510588700000001</v>
      </c>
      <c r="M1031" s="16">
        <f t="shared" ref="M1031:M1094" si="32">L1031/H1031</f>
        <v>10.511110051058536</v>
      </c>
    </row>
    <row r="1032" spans="1:13" x14ac:dyDescent="0.25">
      <c r="A1032" s="2">
        <f t="shared" ref="A1032:A1095" si="33">A1031+1</f>
        <v>1027</v>
      </c>
      <c r="B1032" s="2">
        <v>45990</v>
      </c>
      <c r="C1032" s="2" t="s">
        <v>3538</v>
      </c>
      <c r="D1032" s="14" t="s">
        <v>1025</v>
      </c>
      <c r="E1032" s="14">
        <v>0.32103420000000005</v>
      </c>
      <c r="F1032" s="14">
        <v>0</v>
      </c>
      <c r="G1032" s="14">
        <v>0.32103420000000005</v>
      </c>
      <c r="H1032" s="16">
        <v>42.398635300000002</v>
      </c>
      <c r="I1032" s="16">
        <v>41.0579806</v>
      </c>
      <c r="J1032" s="3" t="s">
        <v>5011</v>
      </c>
      <c r="K1032" s="16">
        <v>367.32184725909991</v>
      </c>
      <c r="L1032" s="16">
        <v>66.383845899999997</v>
      </c>
      <c r="M1032" s="16">
        <f t="shared" si="32"/>
        <v>1.5657071372766564</v>
      </c>
    </row>
    <row r="1033" spans="1:13" x14ac:dyDescent="0.25">
      <c r="A1033" s="2">
        <f t="shared" si="33"/>
        <v>1028</v>
      </c>
      <c r="B1033" s="2">
        <v>46002</v>
      </c>
      <c r="C1033" s="2" t="s">
        <v>3539</v>
      </c>
      <c r="D1033" s="14" t="s">
        <v>1026</v>
      </c>
      <c r="E1033" s="14">
        <v>5.6285299999999996E-2</v>
      </c>
      <c r="F1033" s="14">
        <v>0</v>
      </c>
      <c r="G1033" s="14">
        <v>5.6285299999999996E-2</v>
      </c>
      <c r="H1033" s="16">
        <v>2.0031448000000003</v>
      </c>
      <c r="I1033" s="16">
        <v>0.99989980000000012</v>
      </c>
      <c r="J1033" s="3" t="s">
        <v>5011</v>
      </c>
      <c r="K1033" s="16">
        <v>67.972766284900004</v>
      </c>
      <c r="L1033" s="16">
        <v>7.9004866000000007</v>
      </c>
      <c r="M1033" s="16">
        <f t="shared" si="32"/>
        <v>3.9440416888484546</v>
      </c>
    </row>
    <row r="1034" spans="1:13" x14ac:dyDescent="0.25">
      <c r="A1034" s="2">
        <f t="shared" si="33"/>
        <v>1029</v>
      </c>
      <c r="B1034" s="2">
        <v>46040</v>
      </c>
      <c r="C1034" s="2" t="s">
        <v>3540</v>
      </c>
      <c r="D1034" s="14" t="s">
        <v>1027</v>
      </c>
      <c r="E1034" s="14">
        <v>1.3200000000000001E-5</v>
      </c>
      <c r="F1034" s="14">
        <v>0</v>
      </c>
      <c r="G1034" s="14">
        <v>1.3200000000000001E-5</v>
      </c>
      <c r="H1034" s="16">
        <v>5.9997099999999998E-2</v>
      </c>
      <c r="I1034" s="16">
        <v>5.9997099999999998E-2</v>
      </c>
      <c r="J1034" s="3" t="s">
        <v>5011</v>
      </c>
      <c r="K1034" s="16">
        <v>7.1790221799999998E-2</v>
      </c>
      <c r="L1034" s="16">
        <v>6.1046999999999997E-2</v>
      </c>
      <c r="M1034" s="16">
        <f t="shared" si="32"/>
        <v>1.0174991791269912</v>
      </c>
    </row>
    <row r="1035" spans="1:13" x14ac:dyDescent="0.25">
      <c r="A1035" s="2">
        <f t="shared" si="33"/>
        <v>1030</v>
      </c>
      <c r="B1035" s="2">
        <v>46188</v>
      </c>
      <c r="C1035" s="2" t="s">
        <v>3541</v>
      </c>
      <c r="D1035" s="14" t="s">
        <v>1028</v>
      </c>
      <c r="E1035" s="14">
        <v>0</v>
      </c>
      <c r="F1035" s="14">
        <v>0</v>
      </c>
      <c r="G1035" s="14">
        <v>0</v>
      </c>
      <c r="H1035" s="16">
        <v>0</v>
      </c>
      <c r="I1035" s="16">
        <v>0</v>
      </c>
      <c r="J1035" s="3" t="s">
        <v>5011</v>
      </c>
      <c r="K1035" s="16">
        <v>11.227249294</v>
      </c>
      <c r="L1035" s="16">
        <v>1.1556521</v>
      </c>
      <c r="M1035" s="16">
        <v>0</v>
      </c>
    </row>
    <row r="1036" spans="1:13" x14ac:dyDescent="0.25">
      <c r="A1036" s="2">
        <f t="shared" si="33"/>
        <v>1031</v>
      </c>
      <c r="B1036" s="2">
        <v>46220</v>
      </c>
      <c r="C1036" s="2" t="s">
        <v>3542</v>
      </c>
      <c r="D1036" s="14" t="s">
        <v>1029</v>
      </c>
      <c r="E1036" s="14">
        <v>56.575785400000001</v>
      </c>
      <c r="F1036" s="14">
        <v>0</v>
      </c>
      <c r="G1036" s="14">
        <v>56.575785400000001</v>
      </c>
      <c r="H1036" s="16">
        <v>1776.9169457</v>
      </c>
      <c r="I1036" s="16">
        <v>1445.4588100000001</v>
      </c>
      <c r="J1036" s="3" t="s">
        <v>5011</v>
      </c>
      <c r="K1036" s="16">
        <v>44324.000683622486</v>
      </c>
      <c r="L1036" s="16">
        <v>5553.6381478999992</v>
      </c>
      <c r="M1036" s="16">
        <f t="shared" si="32"/>
        <v>3.1254348501427538</v>
      </c>
    </row>
    <row r="1037" spans="1:13" x14ac:dyDescent="0.25">
      <c r="A1037" s="2">
        <f t="shared" si="33"/>
        <v>1032</v>
      </c>
      <c r="B1037" s="2">
        <v>46280</v>
      </c>
      <c r="C1037" s="2" t="s">
        <v>3543</v>
      </c>
      <c r="D1037" s="14" t="s">
        <v>1030</v>
      </c>
      <c r="E1037" s="14">
        <v>17.834084300000001</v>
      </c>
      <c r="F1037" s="14">
        <v>0</v>
      </c>
      <c r="G1037" s="14">
        <v>17.834084300000001</v>
      </c>
      <c r="H1037" s="16">
        <v>319.97200770000001</v>
      </c>
      <c r="I1037" s="16">
        <v>147.38398789999999</v>
      </c>
      <c r="J1037" s="3" t="s">
        <v>5011</v>
      </c>
      <c r="K1037" s="16">
        <v>14837.551763632902</v>
      </c>
      <c r="L1037" s="16">
        <v>1714.9027000999999</v>
      </c>
      <c r="M1037" s="16">
        <f t="shared" si="32"/>
        <v>5.3595397685783244</v>
      </c>
    </row>
    <row r="1038" spans="1:13" x14ac:dyDescent="0.25">
      <c r="A1038" s="2">
        <f t="shared" si="33"/>
        <v>1033</v>
      </c>
      <c r="B1038" s="2">
        <v>46285</v>
      </c>
      <c r="C1038" s="2" t="s">
        <v>3544</v>
      </c>
      <c r="D1038" s="14" t="s">
        <v>1031</v>
      </c>
      <c r="E1038" s="14">
        <v>42.706106300000002</v>
      </c>
      <c r="F1038" s="14">
        <v>0</v>
      </c>
      <c r="G1038" s="14">
        <v>42.706106300000002</v>
      </c>
      <c r="H1038" s="16">
        <v>1941.0735900999998</v>
      </c>
      <c r="I1038" s="16">
        <v>1530.6740464999998</v>
      </c>
      <c r="J1038" s="3" t="s">
        <v>5011</v>
      </c>
      <c r="K1038" s="16">
        <v>37559.951298785003</v>
      </c>
      <c r="L1038" s="16">
        <v>4728.5086891999999</v>
      </c>
      <c r="M1038" s="16">
        <f t="shared" si="32"/>
        <v>2.4360275227671289</v>
      </c>
    </row>
    <row r="1039" spans="1:13" x14ac:dyDescent="0.25">
      <c r="A1039" s="2">
        <f t="shared" si="33"/>
        <v>1034</v>
      </c>
      <c r="B1039" s="2">
        <v>46316</v>
      </c>
      <c r="C1039" s="2" t="s">
        <v>3545</v>
      </c>
      <c r="D1039" s="14" t="s">
        <v>1032</v>
      </c>
      <c r="E1039" s="14">
        <v>13.4105144</v>
      </c>
      <c r="F1039" s="14">
        <v>0</v>
      </c>
      <c r="G1039" s="14">
        <v>13.4105144</v>
      </c>
      <c r="H1039" s="16">
        <v>1834.8242331000001</v>
      </c>
      <c r="I1039" s="16">
        <v>1379.1184627</v>
      </c>
      <c r="J1039" s="3" t="s">
        <v>5011</v>
      </c>
      <c r="K1039" s="16">
        <v>17323.3316311364</v>
      </c>
      <c r="L1039" s="16">
        <v>2492.4285476</v>
      </c>
      <c r="M1039" s="16">
        <f t="shared" si="32"/>
        <v>1.358401803637046</v>
      </c>
    </row>
    <row r="1040" spans="1:13" x14ac:dyDescent="0.25">
      <c r="A1040" s="2">
        <f t="shared" si="33"/>
        <v>1035</v>
      </c>
      <c r="B1040" s="2">
        <v>46470</v>
      </c>
      <c r="C1040" s="2" t="s">
        <v>3546</v>
      </c>
      <c r="D1040" s="14" t="s">
        <v>1033</v>
      </c>
      <c r="E1040" s="14">
        <v>8.3796900000000007E-2</v>
      </c>
      <c r="F1040" s="14">
        <v>0</v>
      </c>
      <c r="G1040" s="14">
        <v>8.3796900000000007E-2</v>
      </c>
      <c r="H1040" s="16">
        <v>3.7748152000000004</v>
      </c>
      <c r="I1040" s="16">
        <v>2.4839693999999999</v>
      </c>
      <c r="J1040" s="3" t="s">
        <v>5011</v>
      </c>
      <c r="K1040" s="16">
        <v>83.652948629600004</v>
      </c>
      <c r="L1040" s="16">
        <v>9.9046292000000005</v>
      </c>
      <c r="M1040" s="16">
        <f t="shared" si="32"/>
        <v>2.6238712824935111</v>
      </c>
    </row>
    <row r="1041" spans="1:13" x14ac:dyDescent="0.25">
      <c r="A1041" s="2">
        <f t="shared" si="33"/>
        <v>1036</v>
      </c>
      <c r="B1041" s="2">
        <v>46559</v>
      </c>
      <c r="C1041" s="2" t="s">
        <v>3547</v>
      </c>
      <c r="D1041" s="14" t="s">
        <v>1034</v>
      </c>
      <c r="E1041" s="14">
        <v>0</v>
      </c>
      <c r="F1041" s="14">
        <v>0</v>
      </c>
      <c r="G1041" s="14">
        <v>0</v>
      </c>
      <c r="H1041" s="16">
        <v>0</v>
      </c>
      <c r="I1041" s="16">
        <v>0</v>
      </c>
      <c r="J1041" s="3" t="s">
        <v>5011</v>
      </c>
      <c r="K1041" s="16">
        <v>0</v>
      </c>
      <c r="L1041" s="16">
        <v>0</v>
      </c>
      <c r="M1041" s="16">
        <v>0</v>
      </c>
    </row>
    <row r="1042" spans="1:13" x14ac:dyDescent="0.25">
      <c r="A1042" s="2">
        <f t="shared" si="33"/>
        <v>1037</v>
      </c>
      <c r="B1042" s="2">
        <v>46659</v>
      </c>
      <c r="C1042" s="2" t="s">
        <v>3548</v>
      </c>
      <c r="D1042" s="14" t="s">
        <v>1035</v>
      </c>
      <c r="E1042" s="14">
        <v>5.9233712000000001</v>
      </c>
      <c r="F1042" s="14">
        <v>0</v>
      </c>
      <c r="G1042" s="14">
        <v>5.9233712000000001</v>
      </c>
      <c r="H1042" s="16">
        <v>711.28884449999998</v>
      </c>
      <c r="I1042" s="16">
        <v>503.54899349999999</v>
      </c>
      <c r="J1042" s="3" t="s">
        <v>5011</v>
      </c>
      <c r="K1042" s="16">
        <v>8070.2502750494004</v>
      </c>
      <c r="L1042" s="16">
        <v>1167.7506463</v>
      </c>
      <c r="M1042" s="16">
        <f t="shared" si="32"/>
        <v>1.6417390140862809</v>
      </c>
    </row>
    <row r="1043" spans="1:13" x14ac:dyDescent="0.25">
      <c r="A1043" s="2">
        <f t="shared" si="33"/>
        <v>1038</v>
      </c>
      <c r="B1043" s="2">
        <v>46706</v>
      </c>
      <c r="C1043" s="2" t="s">
        <v>3549</v>
      </c>
      <c r="D1043" s="14" t="s">
        <v>1036</v>
      </c>
      <c r="E1043" s="14">
        <v>6.7860799999999999E-2</v>
      </c>
      <c r="F1043" s="14">
        <v>0</v>
      </c>
      <c r="G1043" s="14">
        <v>6.7860799999999999E-2</v>
      </c>
      <c r="H1043" s="16">
        <v>38.333084999999997</v>
      </c>
      <c r="I1043" s="16">
        <v>27.940572700000001</v>
      </c>
      <c r="J1043" s="3" t="s">
        <v>5011</v>
      </c>
      <c r="K1043" s="16">
        <v>313.03023204110002</v>
      </c>
      <c r="L1043" s="16">
        <v>52.302126600000001</v>
      </c>
      <c r="M1043" s="16">
        <f t="shared" si="32"/>
        <v>1.3644121416264829</v>
      </c>
    </row>
    <row r="1044" spans="1:13" x14ac:dyDescent="0.25">
      <c r="A1044" s="2">
        <f t="shared" si="33"/>
        <v>1039</v>
      </c>
      <c r="B1044" s="2">
        <v>46722</v>
      </c>
      <c r="C1044" s="2" t="s">
        <v>3550</v>
      </c>
      <c r="D1044" s="14" t="s">
        <v>1037</v>
      </c>
      <c r="E1044" s="14">
        <v>0.69239309999999998</v>
      </c>
      <c r="F1044" s="14">
        <v>0</v>
      </c>
      <c r="G1044" s="14">
        <v>0.69239309999999998</v>
      </c>
      <c r="H1044" s="16">
        <v>25.508724500000003</v>
      </c>
      <c r="I1044" s="16">
        <v>23.379263000000002</v>
      </c>
      <c r="J1044" s="3" t="s">
        <v>5011</v>
      </c>
      <c r="K1044" s="16">
        <v>610.47509409229997</v>
      </c>
      <c r="L1044" s="16">
        <v>82.850531599999997</v>
      </c>
      <c r="M1044" s="16">
        <f t="shared" si="32"/>
        <v>3.2479292173154319</v>
      </c>
    </row>
    <row r="1045" spans="1:13" x14ac:dyDescent="0.25">
      <c r="A1045" s="2">
        <f t="shared" si="33"/>
        <v>1040</v>
      </c>
      <c r="B1045" s="2">
        <v>46724</v>
      </c>
      <c r="C1045" s="2" t="s">
        <v>3551</v>
      </c>
      <c r="D1045" s="14" t="s">
        <v>1038</v>
      </c>
      <c r="E1045" s="14">
        <v>1.0740305999999999</v>
      </c>
      <c r="F1045" s="14">
        <v>0</v>
      </c>
      <c r="G1045" s="14">
        <v>1.0740305999999999</v>
      </c>
      <c r="H1045" s="16">
        <v>183.12020239999998</v>
      </c>
      <c r="I1045" s="16">
        <v>129.95212770000001</v>
      </c>
      <c r="J1045" s="3" t="s">
        <v>5011</v>
      </c>
      <c r="K1045" s="16">
        <v>1673.0326864147999</v>
      </c>
      <c r="L1045" s="16">
        <v>204.84204670000003</v>
      </c>
      <c r="M1045" s="16">
        <f t="shared" si="32"/>
        <v>1.1186206874791005</v>
      </c>
    </row>
    <row r="1046" spans="1:13" x14ac:dyDescent="0.25">
      <c r="A1046" s="2">
        <f t="shared" si="33"/>
        <v>1041</v>
      </c>
      <c r="B1046" s="2">
        <v>46963</v>
      </c>
      <c r="C1046" s="2" t="s">
        <v>3552</v>
      </c>
      <c r="D1046" s="14" t="s">
        <v>1039</v>
      </c>
      <c r="E1046" s="14">
        <v>0.1076879</v>
      </c>
      <c r="F1046" s="14">
        <v>0</v>
      </c>
      <c r="G1046" s="14">
        <v>0.1076879</v>
      </c>
      <c r="H1046" s="16">
        <v>24.364177799999997</v>
      </c>
      <c r="I1046" s="16">
        <v>21.3837829</v>
      </c>
      <c r="J1046" s="3" t="s">
        <v>5011</v>
      </c>
      <c r="K1046" s="16">
        <v>171.07050376270001</v>
      </c>
      <c r="L1046" s="16">
        <v>32.855731400000003</v>
      </c>
      <c r="M1046" s="16">
        <f t="shared" si="32"/>
        <v>1.348526171073994</v>
      </c>
    </row>
    <row r="1047" spans="1:13" x14ac:dyDescent="0.25">
      <c r="A1047" s="2">
        <f t="shared" si="33"/>
        <v>1042</v>
      </c>
      <c r="B1047" s="2">
        <v>47054</v>
      </c>
      <c r="C1047" s="2" t="s">
        <v>3553</v>
      </c>
      <c r="D1047" s="14" t="s">
        <v>1040</v>
      </c>
      <c r="E1047" s="14">
        <v>0</v>
      </c>
      <c r="F1047" s="14">
        <v>0</v>
      </c>
      <c r="G1047" s="14">
        <v>0</v>
      </c>
      <c r="H1047" s="16">
        <v>0</v>
      </c>
      <c r="I1047" s="16">
        <v>0</v>
      </c>
      <c r="J1047" s="3" t="s">
        <v>5011</v>
      </c>
      <c r="K1047" s="16">
        <v>0</v>
      </c>
      <c r="L1047" s="16">
        <v>0</v>
      </c>
      <c r="M1047" s="16">
        <v>0</v>
      </c>
    </row>
    <row r="1048" spans="1:13" x14ac:dyDescent="0.25">
      <c r="A1048" s="2">
        <f t="shared" si="33"/>
        <v>1043</v>
      </c>
      <c r="B1048" s="2">
        <v>47169</v>
      </c>
      <c r="C1048" s="2" t="s">
        <v>3554</v>
      </c>
      <c r="D1048" s="14" t="s">
        <v>1041</v>
      </c>
      <c r="E1048" s="14">
        <v>0</v>
      </c>
      <c r="F1048" s="14">
        <v>0</v>
      </c>
      <c r="G1048" s="14">
        <v>0</v>
      </c>
      <c r="H1048" s="16">
        <v>0</v>
      </c>
      <c r="I1048" s="16">
        <v>0</v>
      </c>
      <c r="J1048" s="3" t="s">
        <v>5011</v>
      </c>
      <c r="K1048" s="16">
        <v>0</v>
      </c>
      <c r="L1048" s="16">
        <v>0</v>
      </c>
      <c r="M1048" s="16">
        <v>0</v>
      </c>
    </row>
    <row r="1049" spans="1:13" x14ac:dyDescent="0.25">
      <c r="A1049" s="2">
        <f t="shared" si="33"/>
        <v>1044</v>
      </c>
      <c r="B1049" s="2">
        <v>47282</v>
      </c>
      <c r="C1049" s="2" t="s">
        <v>3555</v>
      </c>
      <c r="D1049" s="14" t="s">
        <v>1042</v>
      </c>
      <c r="E1049" s="14">
        <v>0</v>
      </c>
      <c r="F1049" s="14">
        <v>0</v>
      </c>
      <c r="G1049" s="14">
        <v>0</v>
      </c>
      <c r="H1049" s="16">
        <v>0.51997400000000005</v>
      </c>
      <c r="I1049" s="16">
        <v>-0.61422209999999999</v>
      </c>
      <c r="J1049" s="3" t="s">
        <v>5011</v>
      </c>
      <c r="K1049" s="16">
        <v>74.065329528899994</v>
      </c>
      <c r="L1049" s="16">
        <v>7.3270958999999998</v>
      </c>
      <c r="M1049" s="16">
        <f t="shared" si="32"/>
        <v>14.091273602141644</v>
      </c>
    </row>
    <row r="1050" spans="1:13" x14ac:dyDescent="0.25">
      <c r="A1050" s="2">
        <f t="shared" si="33"/>
        <v>1045</v>
      </c>
      <c r="B1050" s="2">
        <v>47293</v>
      </c>
      <c r="C1050" s="2" t="s">
        <v>3556</v>
      </c>
      <c r="D1050" s="14" t="s">
        <v>1043</v>
      </c>
      <c r="E1050" s="14">
        <v>10.410032900000001</v>
      </c>
      <c r="F1050" s="14">
        <v>0</v>
      </c>
      <c r="G1050" s="14">
        <v>10.410032900000001</v>
      </c>
      <c r="H1050" s="16">
        <v>11159.99058</v>
      </c>
      <c r="I1050" s="16">
        <v>8780.9219845999996</v>
      </c>
      <c r="J1050" s="3" t="s">
        <v>5011</v>
      </c>
      <c r="K1050" s="16">
        <v>21415.570278692707</v>
      </c>
      <c r="L1050" s="16">
        <v>9425.1454181999998</v>
      </c>
      <c r="M1050" s="16">
        <f t="shared" si="32"/>
        <v>0.84454779335485786</v>
      </c>
    </row>
    <row r="1051" spans="1:13" x14ac:dyDescent="0.25">
      <c r="A1051" s="2">
        <f t="shared" si="33"/>
        <v>1046</v>
      </c>
      <c r="B1051" s="2">
        <v>47351</v>
      </c>
      <c r="C1051" s="2" t="s">
        <v>3557</v>
      </c>
      <c r="D1051" s="14" t="s">
        <v>1044</v>
      </c>
      <c r="E1051" s="14">
        <v>0.60290060000000001</v>
      </c>
      <c r="F1051" s="14">
        <v>0</v>
      </c>
      <c r="G1051" s="14">
        <v>0.60290060000000001</v>
      </c>
      <c r="H1051" s="16">
        <v>114.2579868</v>
      </c>
      <c r="I1051" s="16">
        <v>95.462104599999989</v>
      </c>
      <c r="J1051" s="3" t="s">
        <v>5011</v>
      </c>
      <c r="K1051" s="16">
        <v>680.70334968420013</v>
      </c>
      <c r="L1051" s="16">
        <v>126.1669291</v>
      </c>
      <c r="M1051" s="16">
        <f t="shared" si="32"/>
        <v>1.1042285325825469</v>
      </c>
    </row>
    <row r="1052" spans="1:13" x14ac:dyDescent="0.25">
      <c r="A1052" s="2">
        <f t="shared" si="33"/>
        <v>1047</v>
      </c>
      <c r="B1052" s="2">
        <v>47360</v>
      </c>
      <c r="C1052" s="2" t="s">
        <v>3558</v>
      </c>
      <c r="D1052" s="14" t="s">
        <v>1045</v>
      </c>
      <c r="E1052" s="14">
        <v>0</v>
      </c>
      <c r="F1052" s="14">
        <v>0</v>
      </c>
      <c r="G1052" s="14">
        <v>0</v>
      </c>
      <c r="H1052" s="16">
        <v>0</v>
      </c>
      <c r="I1052" s="16">
        <v>0</v>
      </c>
      <c r="J1052" s="3" t="s">
        <v>5011</v>
      </c>
      <c r="K1052" s="16">
        <v>0</v>
      </c>
      <c r="L1052" s="16">
        <v>0</v>
      </c>
      <c r="M1052" s="16">
        <v>0</v>
      </c>
    </row>
    <row r="1053" spans="1:13" x14ac:dyDescent="0.25">
      <c r="A1053" s="2">
        <f t="shared" si="33"/>
        <v>1048</v>
      </c>
      <c r="B1053" s="2">
        <v>47471</v>
      </c>
      <c r="C1053" s="2" t="s">
        <v>3559</v>
      </c>
      <c r="D1053" s="14" t="s">
        <v>1046</v>
      </c>
      <c r="E1053" s="14">
        <v>0</v>
      </c>
      <c r="F1053" s="14">
        <v>0</v>
      </c>
      <c r="G1053" s="14">
        <v>0</v>
      </c>
      <c r="H1053" s="16">
        <v>0</v>
      </c>
      <c r="I1053" s="16">
        <v>0</v>
      </c>
      <c r="J1053" s="3" t="s">
        <v>5011</v>
      </c>
      <c r="K1053" s="16">
        <v>0</v>
      </c>
      <c r="L1053" s="16">
        <v>0</v>
      </c>
      <c r="M1053" s="16">
        <v>0</v>
      </c>
    </row>
    <row r="1054" spans="1:13" x14ac:dyDescent="0.25">
      <c r="A1054" s="2">
        <f t="shared" si="33"/>
        <v>1049</v>
      </c>
      <c r="B1054" s="2">
        <v>47603</v>
      </c>
      <c r="C1054" s="2" t="s">
        <v>3560</v>
      </c>
      <c r="D1054" s="14" t="s">
        <v>1047</v>
      </c>
      <c r="E1054" s="14">
        <v>0</v>
      </c>
      <c r="F1054" s="14">
        <v>0</v>
      </c>
      <c r="G1054" s="14">
        <v>0</v>
      </c>
      <c r="H1054" s="16">
        <v>0</v>
      </c>
      <c r="I1054" s="16">
        <v>0</v>
      </c>
      <c r="J1054" s="3" t="s">
        <v>5011</v>
      </c>
      <c r="K1054" s="16">
        <v>0</v>
      </c>
      <c r="L1054" s="16">
        <v>0</v>
      </c>
      <c r="M1054" s="16">
        <v>0</v>
      </c>
    </row>
    <row r="1055" spans="1:13" x14ac:dyDescent="0.25">
      <c r="A1055" s="2">
        <f t="shared" si="33"/>
        <v>1050</v>
      </c>
      <c r="B1055" s="2">
        <v>47647</v>
      </c>
      <c r="C1055" s="2" t="s">
        <v>3561</v>
      </c>
      <c r="D1055" s="14" t="s">
        <v>1048</v>
      </c>
      <c r="E1055" s="14">
        <v>1.1617000000000001E-2</v>
      </c>
      <c r="F1055" s="14">
        <v>0</v>
      </c>
      <c r="G1055" s="14">
        <v>1.1617000000000001E-2</v>
      </c>
      <c r="H1055" s="16">
        <v>32.518374000000001</v>
      </c>
      <c r="I1055" s="16">
        <v>32.518374000000001</v>
      </c>
      <c r="J1055" s="3" t="s">
        <v>5011</v>
      </c>
      <c r="K1055" s="16">
        <v>34.872273277600002</v>
      </c>
      <c r="L1055" s="16">
        <v>34.433044899999999</v>
      </c>
      <c r="M1055" s="16">
        <f t="shared" si="32"/>
        <v>1.0588796629253356</v>
      </c>
    </row>
    <row r="1056" spans="1:13" x14ac:dyDescent="0.25">
      <c r="A1056" s="2">
        <f t="shared" si="33"/>
        <v>1051</v>
      </c>
      <c r="B1056" s="2">
        <v>47791</v>
      </c>
      <c r="C1056" s="2" t="s">
        <v>3562</v>
      </c>
      <c r="D1056" s="14" t="s">
        <v>1049</v>
      </c>
      <c r="E1056" s="14">
        <v>159.76409150000003</v>
      </c>
      <c r="F1056" s="14">
        <v>0</v>
      </c>
      <c r="G1056" s="14">
        <v>159.76409150000003</v>
      </c>
      <c r="H1056" s="16">
        <v>12554.269328</v>
      </c>
      <c r="I1056" s="16">
        <v>9060.6784196999997</v>
      </c>
      <c r="J1056" s="3" t="s">
        <v>5011</v>
      </c>
      <c r="K1056" s="16">
        <v>151056.0860953423</v>
      </c>
      <c r="L1056" s="16">
        <v>21418.763299900002</v>
      </c>
      <c r="M1056" s="16">
        <f t="shared" si="32"/>
        <v>1.7060939780963094</v>
      </c>
    </row>
    <row r="1057" spans="1:13" x14ac:dyDescent="0.25">
      <c r="A1057" s="2">
        <f t="shared" si="33"/>
        <v>1052</v>
      </c>
      <c r="B1057" s="2">
        <v>47845</v>
      </c>
      <c r="C1057" s="2" t="s">
        <v>3563</v>
      </c>
      <c r="D1057" s="14" t="s">
        <v>1050</v>
      </c>
      <c r="E1057" s="14">
        <v>2.1499999999999997E-5</v>
      </c>
      <c r="F1057" s="14">
        <v>0</v>
      </c>
      <c r="G1057" s="14">
        <v>2.1499999999999997E-5</v>
      </c>
      <c r="H1057" s="16">
        <v>6.9996500000000003E-2</v>
      </c>
      <c r="I1057" s="16">
        <v>6.9996500000000003E-2</v>
      </c>
      <c r="J1057" s="3" t="s">
        <v>5011</v>
      </c>
      <c r="K1057" s="16">
        <v>9.7896813599999993E-2</v>
      </c>
      <c r="L1057" s="16">
        <v>7.1107799999999999E-2</v>
      </c>
      <c r="M1057" s="16">
        <f t="shared" si="32"/>
        <v>1.0158765081111198</v>
      </c>
    </row>
    <row r="1058" spans="1:13" x14ac:dyDescent="0.25">
      <c r="A1058" s="2">
        <f t="shared" si="33"/>
        <v>1053</v>
      </c>
      <c r="B1058" s="2">
        <v>47875</v>
      </c>
      <c r="C1058" s="2" t="s">
        <v>3564</v>
      </c>
      <c r="D1058" s="14" t="s">
        <v>1051</v>
      </c>
      <c r="E1058" s="14">
        <v>8.8901800000000003E-2</v>
      </c>
      <c r="F1058" s="14">
        <v>0</v>
      </c>
      <c r="G1058" s="14">
        <v>8.8901800000000003E-2</v>
      </c>
      <c r="H1058" s="16">
        <v>58.620625799999999</v>
      </c>
      <c r="I1058" s="16">
        <v>33.361165</v>
      </c>
      <c r="J1058" s="3" t="s">
        <v>5011</v>
      </c>
      <c r="K1058" s="16">
        <v>251.67495732950002</v>
      </c>
      <c r="L1058" s="16">
        <v>42.768596500000001</v>
      </c>
      <c r="M1058" s="16">
        <f t="shared" si="32"/>
        <v>0.72958273502429927</v>
      </c>
    </row>
    <row r="1059" spans="1:13" x14ac:dyDescent="0.25">
      <c r="A1059" s="2">
        <f t="shared" si="33"/>
        <v>1054</v>
      </c>
      <c r="B1059" s="2">
        <v>47959</v>
      </c>
      <c r="C1059" s="2" t="s">
        <v>3565</v>
      </c>
      <c r="D1059" s="14" t="s">
        <v>1052</v>
      </c>
      <c r="E1059" s="14">
        <v>2.6271959000000003</v>
      </c>
      <c r="F1059" s="14">
        <v>0</v>
      </c>
      <c r="G1059" s="14">
        <v>2.6271959000000003</v>
      </c>
      <c r="H1059" s="16">
        <v>139.5731207</v>
      </c>
      <c r="I1059" s="16">
        <v>109.92292070000001</v>
      </c>
      <c r="J1059" s="3" t="s">
        <v>5011</v>
      </c>
      <c r="K1059" s="16">
        <v>2719.5428977348001</v>
      </c>
      <c r="L1059" s="16">
        <v>360.55028630000004</v>
      </c>
      <c r="M1059" s="16">
        <f t="shared" si="32"/>
        <v>2.5832358300203859</v>
      </c>
    </row>
    <row r="1060" spans="1:13" x14ac:dyDescent="0.25">
      <c r="A1060" s="2">
        <f t="shared" si="33"/>
        <v>1055</v>
      </c>
      <c r="B1060" s="2">
        <v>48046</v>
      </c>
      <c r="C1060" s="2" t="s">
        <v>3566</v>
      </c>
      <c r="D1060" s="14" t="s">
        <v>1053</v>
      </c>
      <c r="E1060" s="14">
        <v>0.45847519999999997</v>
      </c>
      <c r="F1060" s="14">
        <v>0</v>
      </c>
      <c r="G1060" s="14">
        <v>0.45847519999999997</v>
      </c>
      <c r="H1060" s="16">
        <v>85.315735199999992</v>
      </c>
      <c r="I1060" s="16">
        <v>84.712067300000001</v>
      </c>
      <c r="J1060" s="3" t="s">
        <v>5011</v>
      </c>
      <c r="K1060" s="16">
        <v>452.16807571739992</v>
      </c>
      <c r="L1060" s="16">
        <v>102.0011265</v>
      </c>
      <c r="M1060" s="16">
        <f t="shared" si="32"/>
        <v>1.1955722617977276</v>
      </c>
    </row>
    <row r="1061" spans="1:13" x14ac:dyDescent="0.25">
      <c r="A1061" s="2">
        <f t="shared" si="33"/>
        <v>1056</v>
      </c>
      <c r="B1061" s="2">
        <v>48106</v>
      </c>
      <c r="C1061" s="2" t="s">
        <v>3567</v>
      </c>
      <c r="D1061" s="14" t="s">
        <v>1054</v>
      </c>
      <c r="E1061" s="14">
        <v>0.12828529999999999</v>
      </c>
      <c r="F1061" s="14">
        <v>0</v>
      </c>
      <c r="G1061" s="14">
        <v>0.12828529999999999</v>
      </c>
      <c r="H1061" s="16">
        <v>49.997500099999996</v>
      </c>
      <c r="I1061" s="16">
        <v>49.997500099999996</v>
      </c>
      <c r="J1061" s="3" t="s">
        <v>5011</v>
      </c>
      <c r="K1061" s="16">
        <v>164.57743030839998</v>
      </c>
      <c r="L1061" s="16">
        <v>56.838383099999994</v>
      </c>
      <c r="M1061" s="16">
        <f t="shared" si="32"/>
        <v>1.1368245009513986</v>
      </c>
    </row>
    <row r="1062" spans="1:13" x14ac:dyDescent="0.25">
      <c r="A1062" s="2">
        <f t="shared" si="33"/>
        <v>1057</v>
      </c>
      <c r="B1062" s="2">
        <v>48143</v>
      </c>
      <c r="C1062" s="2" t="s">
        <v>3568</v>
      </c>
      <c r="D1062" s="14" t="s">
        <v>1055</v>
      </c>
      <c r="E1062" s="14">
        <v>0.3000062</v>
      </c>
      <c r="F1062" s="14">
        <v>0</v>
      </c>
      <c r="G1062" s="14">
        <v>0.3000062</v>
      </c>
      <c r="H1062" s="16">
        <v>120.72896349999999</v>
      </c>
      <c r="I1062" s="16">
        <v>120.2789635</v>
      </c>
      <c r="J1062" s="3" t="s">
        <v>5011</v>
      </c>
      <c r="K1062" s="16">
        <v>434.51726868950004</v>
      </c>
      <c r="L1062" s="16">
        <v>142.7344004</v>
      </c>
      <c r="M1062" s="16">
        <f t="shared" si="32"/>
        <v>1.1822713975341965</v>
      </c>
    </row>
    <row r="1063" spans="1:13" x14ac:dyDescent="0.25">
      <c r="A1063" s="2">
        <f t="shared" si="33"/>
        <v>1058</v>
      </c>
      <c r="B1063" s="2">
        <v>48379</v>
      </c>
      <c r="C1063" s="2" t="s">
        <v>3569</v>
      </c>
      <c r="D1063" s="14" t="s">
        <v>1056</v>
      </c>
      <c r="E1063" s="14">
        <v>0</v>
      </c>
      <c r="F1063" s="14">
        <v>0</v>
      </c>
      <c r="G1063" s="14">
        <v>0</v>
      </c>
      <c r="H1063" s="16">
        <v>0</v>
      </c>
      <c r="I1063" s="16">
        <v>0</v>
      </c>
      <c r="J1063" s="3" t="s">
        <v>5011</v>
      </c>
      <c r="K1063" s="16">
        <v>0</v>
      </c>
      <c r="L1063" s="16">
        <v>0</v>
      </c>
      <c r="M1063" s="16">
        <v>0</v>
      </c>
    </row>
    <row r="1064" spans="1:13" x14ac:dyDescent="0.25">
      <c r="A1064" s="2">
        <f t="shared" si="33"/>
        <v>1059</v>
      </c>
      <c r="B1064" s="2">
        <v>48392</v>
      </c>
      <c r="C1064" s="2" t="s">
        <v>3570</v>
      </c>
      <c r="D1064" s="14" t="s">
        <v>1057</v>
      </c>
      <c r="E1064" s="14">
        <v>0.1536487</v>
      </c>
      <c r="F1064" s="14">
        <v>0</v>
      </c>
      <c r="G1064" s="14">
        <v>0.1536487</v>
      </c>
      <c r="H1064" s="16">
        <v>56.151158299999999</v>
      </c>
      <c r="I1064" s="16">
        <v>52.961066100000004</v>
      </c>
      <c r="J1064" s="3" t="s">
        <v>5011</v>
      </c>
      <c r="K1064" s="16">
        <v>185.18862413419998</v>
      </c>
      <c r="L1064" s="16">
        <v>61.2172628</v>
      </c>
      <c r="M1064" s="16">
        <f t="shared" si="32"/>
        <v>1.0902226179010095</v>
      </c>
    </row>
    <row r="1065" spans="1:13" x14ac:dyDescent="0.25">
      <c r="A1065" s="2">
        <f t="shared" si="33"/>
        <v>1060</v>
      </c>
      <c r="B1065" s="2">
        <v>48614</v>
      </c>
      <c r="C1065" s="2" t="s">
        <v>3571</v>
      </c>
      <c r="D1065" s="14" t="s">
        <v>1058</v>
      </c>
      <c r="E1065" s="14">
        <v>3.3779000000000001E-3</v>
      </c>
      <c r="F1065" s="14">
        <v>0</v>
      </c>
      <c r="G1065" s="14">
        <v>3.3779000000000001E-3</v>
      </c>
      <c r="H1065" s="16">
        <v>1.2999350000000001</v>
      </c>
      <c r="I1065" s="16">
        <v>1.2999350000000001</v>
      </c>
      <c r="J1065" s="3" t="s">
        <v>5011</v>
      </c>
      <c r="K1065" s="16">
        <v>5.2431170359999992</v>
      </c>
      <c r="L1065" s="16">
        <v>1.5526914000000001</v>
      </c>
      <c r="M1065" s="16">
        <f t="shared" si="32"/>
        <v>1.1944377218860942</v>
      </c>
    </row>
    <row r="1066" spans="1:13" x14ac:dyDescent="0.25">
      <c r="A1066" s="2">
        <f t="shared" si="33"/>
        <v>1061</v>
      </c>
      <c r="B1066" s="2">
        <v>48722</v>
      </c>
      <c r="C1066" s="2" t="s">
        <v>3572</v>
      </c>
      <c r="D1066" s="14" t="s">
        <v>1059</v>
      </c>
      <c r="E1066" s="14">
        <v>3.6949000000000001E-3</v>
      </c>
      <c r="F1066" s="14">
        <v>0</v>
      </c>
      <c r="G1066" s="14">
        <v>3.6949000000000001E-3</v>
      </c>
      <c r="H1066" s="16">
        <v>0.74996249999999998</v>
      </c>
      <c r="I1066" s="16">
        <v>0.74996249999999998</v>
      </c>
      <c r="J1066" s="3" t="s">
        <v>5011</v>
      </c>
      <c r="K1066" s="16">
        <v>5.8643403171999999</v>
      </c>
      <c r="L1066" s="16">
        <v>0.97537720000000006</v>
      </c>
      <c r="M1066" s="16">
        <f t="shared" si="32"/>
        <v>1.3005679617314201</v>
      </c>
    </row>
    <row r="1067" spans="1:13" x14ac:dyDescent="0.25">
      <c r="A1067" s="2">
        <f t="shared" si="33"/>
        <v>1062</v>
      </c>
      <c r="B1067" s="2">
        <v>48991</v>
      </c>
      <c r="C1067" s="2" t="s">
        <v>3573</v>
      </c>
      <c r="D1067" s="14" t="s">
        <v>1060</v>
      </c>
      <c r="E1067" s="14">
        <v>1.1614300000000001E-2</v>
      </c>
      <c r="F1067" s="14">
        <v>0</v>
      </c>
      <c r="G1067" s="14">
        <v>1.1614300000000001E-2</v>
      </c>
      <c r="H1067" s="16">
        <v>22.423879400000001</v>
      </c>
      <c r="I1067" s="16">
        <v>19.023879399999998</v>
      </c>
      <c r="J1067" s="3" t="s">
        <v>5011</v>
      </c>
      <c r="K1067" s="16">
        <v>31.115840751900002</v>
      </c>
      <c r="L1067" s="16">
        <v>20.376160900000002</v>
      </c>
      <c r="M1067" s="16">
        <f t="shared" si="32"/>
        <v>0.90868134529835198</v>
      </c>
    </row>
    <row r="1068" spans="1:13" x14ac:dyDescent="0.25">
      <c r="A1068" s="2">
        <f t="shared" si="33"/>
        <v>1063</v>
      </c>
      <c r="B1068" s="2">
        <v>49091</v>
      </c>
      <c r="C1068" s="2" t="s">
        <v>3574</v>
      </c>
      <c r="D1068" s="14" t="s">
        <v>1061</v>
      </c>
      <c r="E1068" s="14">
        <v>18.073373000000004</v>
      </c>
      <c r="F1068" s="14">
        <v>0</v>
      </c>
      <c r="G1068" s="14">
        <v>18.073373000000004</v>
      </c>
      <c r="H1068" s="16">
        <v>307.83843719999999</v>
      </c>
      <c r="I1068" s="16">
        <v>-5.1968275000000004</v>
      </c>
      <c r="J1068" s="3" t="s">
        <v>5011</v>
      </c>
      <c r="K1068" s="16">
        <v>13921.170277348301</v>
      </c>
      <c r="L1068" s="16">
        <v>1429.5020011000001</v>
      </c>
      <c r="M1068" s="16">
        <f t="shared" si="32"/>
        <v>4.6436761247305354</v>
      </c>
    </row>
    <row r="1069" spans="1:13" x14ac:dyDescent="0.25">
      <c r="A1069" s="2">
        <f t="shared" si="33"/>
        <v>1064</v>
      </c>
      <c r="B1069" s="2">
        <v>49236</v>
      </c>
      <c r="C1069" s="2" t="s">
        <v>3575</v>
      </c>
      <c r="D1069" s="14" t="s">
        <v>1062</v>
      </c>
      <c r="E1069" s="14">
        <v>2.8591341999999997</v>
      </c>
      <c r="F1069" s="14">
        <v>0</v>
      </c>
      <c r="G1069" s="14">
        <v>2.8591341999999997</v>
      </c>
      <c r="H1069" s="16">
        <v>1228.1257518</v>
      </c>
      <c r="I1069" s="16">
        <v>802.17461390000017</v>
      </c>
      <c r="J1069" s="3" t="s">
        <v>5011</v>
      </c>
      <c r="K1069" s="16">
        <v>4054.7156305843009</v>
      </c>
      <c r="L1069" s="16">
        <v>1005.9049881</v>
      </c>
      <c r="M1069" s="16">
        <f t="shared" si="32"/>
        <v>0.81905699528382769</v>
      </c>
    </row>
    <row r="1070" spans="1:13" x14ac:dyDescent="0.25">
      <c r="A1070" s="2">
        <f t="shared" si="33"/>
        <v>1065</v>
      </c>
      <c r="B1070" s="2">
        <v>49309</v>
      </c>
      <c r="C1070" s="2" t="s">
        <v>3576</v>
      </c>
      <c r="D1070" s="14" t="s">
        <v>1063</v>
      </c>
      <c r="E1070" s="14">
        <v>0.27542129999999998</v>
      </c>
      <c r="F1070" s="14">
        <v>0</v>
      </c>
      <c r="G1070" s="14">
        <v>0.27542129999999998</v>
      </c>
      <c r="H1070" s="16">
        <v>25.0287498</v>
      </c>
      <c r="I1070" s="16">
        <v>24.874234100000002</v>
      </c>
      <c r="J1070" s="3" t="s">
        <v>5011</v>
      </c>
      <c r="K1070" s="16">
        <v>324.77861827799995</v>
      </c>
      <c r="L1070" s="16">
        <v>49.745041900000004</v>
      </c>
      <c r="M1070" s="16">
        <f t="shared" si="32"/>
        <v>1.9875160484444174</v>
      </c>
    </row>
    <row r="1071" spans="1:13" x14ac:dyDescent="0.25">
      <c r="A1071" s="2">
        <f t="shared" si="33"/>
        <v>1066</v>
      </c>
      <c r="B1071" s="2">
        <v>49626</v>
      </c>
      <c r="C1071" s="2" t="s">
        <v>3577</v>
      </c>
      <c r="D1071" s="14" t="s">
        <v>1064</v>
      </c>
      <c r="E1071" s="14">
        <v>2.0822632999999997</v>
      </c>
      <c r="F1071" s="14">
        <v>0</v>
      </c>
      <c r="G1071" s="14">
        <v>2.0822632999999997</v>
      </c>
      <c r="H1071" s="16">
        <v>40.048930400000003</v>
      </c>
      <c r="I1071" s="16">
        <v>33.190194300000002</v>
      </c>
      <c r="J1071" s="3" t="s">
        <v>5011</v>
      </c>
      <c r="K1071" s="16">
        <v>1636.9126853604002</v>
      </c>
      <c r="L1071" s="16">
        <v>182.17767789999999</v>
      </c>
      <c r="M1071" s="16">
        <f t="shared" si="32"/>
        <v>4.5488774876244875</v>
      </c>
    </row>
    <row r="1072" spans="1:13" x14ac:dyDescent="0.25">
      <c r="A1072" s="2">
        <f t="shared" si="33"/>
        <v>1067</v>
      </c>
      <c r="B1072" s="2">
        <v>49675</v>
      </c>
      <c r="C1072" s="2" t="s">
        <v>3578</v>
      </c>
      <c r="D1072" s="14" t="s">
        <v>1065</v>
      </c>
      <c r="E1072" s="14">
        <v>0</v>
      </c>
      <c r="F1072" s="14">
        <v>0</v>
      </c>
      <c r="G1072" s="14">
        <v>0</v>
      </c>
      <c r="H1072" s="16">
        <v>0</v>
      </c>
      <c r="I1072" s="16">
        <v>0</v>
      </c>
      <c r="J1072" s="3" t="s">
        <v>5011</v>
      </c>
      <c r="K1072" s="16">
        <v>0</v>
      </c>
      <c r="L1072" s="16">
        <v>0</v>
      </c>
      <c r="M1072" s="16">
        <v>0</v>
      </c>
    </row>
    <row r="1073" spans="1:13" x14ac:dyDescent="0.25">
      <c r="A1073" s="2">
        <f t="shared" si="33"/>
        <v>1068</v>
      </c>
      <c r="B1073" s="2">
        <v>49702</v>
      </c>
      <c r="C1073" s="2" t="s">
        <v>3579</v>
      </c>
      <c r="D1073" s="14" t="s">
        <v>1066</v>
      </c>
      <c r="E1073" s="14">
        <v>0</v>
      </c>
      <c r="F1073" s="14">
        <v>0</v>
      </c>
      <c r="G1073" s="14">
        <v>0</v>
      </c>
      <c r="H1073" s="16">
        <v>0</v>
      </c>
      <c r="I1073" s="16">
        <v>0</v>
      </c>
      <c r="J1073" s="3" t="s">
        <v>5011</v>
      </c>
      <c r="K1073" s="16">
        <v>0</v>
      </c>
      <c r="L1073" s="16">
        <v>0</v>
      </c>
      <c r="M1073" s="16">
        <v>0</v>
      </c>
    </row>
    <row r="1074" spans="1:13" x14ac:dyDescent="0.25">
      <c r="A1074" s="2">
        <f t="shared" si="33"/>
        <v>1069</v>
      </c>
      <c r="B1074" s="2">
        <v>49705</v>
      </c>
      <c r="C1074" s="2" t="s">
        <v>3580</v>
      </c>
      <c r="D1074" s="14" t="s">
        <v>1067</v>
      </c>
      <c r="E1074" s="14">
        <v>94.688545199999979</v>
      </c>
      <c r="F1074" s="14">
        <v>0</v>
      </c>
      <c r="G1074" s="14">
        <v>94.688545199999979</v>
      </c>
      <c r="H1074" s="16">
        <v>1801.1710356999999</v>
      </c>
      <c r="I1074" s="16">
        <v>1197.3274606999998</v>
      </c>
      <c r="J1074" s="3" t="s">
        <v>5011</v>
      </c>
      <c r="K1074" s="16">
        <v>76311.469880363686</v>
      </c>
      <c r="L1074" s="16">
        <v>8641.1733786000004</v>
      </c>
      <c r="M1074" s="16">
        <f t="shared" si="32"/>
        <v>4.7975307215850984</v>
      </c>
    </row>
    <row r="1075" spans="1:13" x14ac:dyDescent="0.25">
      <c r="A1075" s="2">
        <f t="shared" si="33"/>
        <v>1070</v>
      </c>
      <c r="B1075" s="2">
        <v>49710</v>
      </c>
      <c r="C1075" s="2" t="s">
        <v>3581</v>
      </c>
      <c r="D1075" s="14" t="s">
        <v>1068</v>
      </c>
      <c r="E1075" s="14">
        <v>9.2084966999999995</v>
      </c>
      <c r="F1075" s="14">
        <v>0</v>
      </c>
      <c r="G1075" s="14">
        <v>9.2084966999999995</v>
      </c>
      <c r="H1075" s="16">
        <v>428.39101950000003</v>
      </c>
      <c r="I1075" s="16">
        <v>346.21854940000003</v>
      </c>
      <c r="J1075" s="3" t="s">
        <v>5011</v>
      </c>
      <c r="K1075" s="16">
        <v>7154.8143422127987</v>
      </c>
      <c r="L1075" s="16">
        <v>947.12299159999998</v>
      </c>
      <c r="M1075" s="16">
        <f t="shared" si="32"/>
        <v>2.2108843287738433</v>
      </c>
    </row>
    <row r="1076" spans="1:13" x14ac:dyDescent="0.25">
      <c r="A1076" s="2">
        <f t="shared" si="33"/>
        <v>1071</v>
      </c>
      <c r="B1076" s="2">
        <v>49884</v>
      </c>
      <c r="C1076" s="2" t="s">
        <v>3582</v>
      </c>
      <c r="D1076" s="14" t="s">
        <v>1069</v>
      </c>
      <c r="E1076" s="14">
        <v>2.0980999999999999E-3</v>
      </c>
      <c r="F1076" s="14">
        <v>0</v>
      </c>
      <c r="G1076" s="14">
        <v>2.0980999999999999E-3</v>
      </c>
      <c r="H1076" s="16">
        <v>0.79996</v>
      </c>
      <c r="I1076" s="16">
        <v>0.79996</v>
      </c>
      <c r="J1076" s="3" t="s">
        <v>5011</v>
      </c>
      <c r="K1076" s="16">
        <v>4.5512990477000006</v>
      </c>
      <c r="L1076" s="16">
        <v>0.94777070000000008</v>
      </c>
      <c r="M1076" s="16">
        <f t="shared" si="32"/>
        <v>1.1847726136306815</v>
      </c>
    </row>
    <row r="1077" spans="1:13" x14ac:dyDescent="0.25">
      <c r="A1077" s="2">
        <f t="shared" si="33"/>
        <v>1072</v>
      </c>
      <c r="B1077" s="2">
        <v>49891</v>
      </c>
      <c r="C1077" s="2" t="s">
        <v>3583</v>
      </c>
      <c r="D1077" s="14" t="s">
        <v>1070</v>
      </c>
      <c r="E1077" s="14">
        <v>15.524809099999999</v>
      </c>
      <c r="F1077" s="14">
        <v>0</v>
      </c>
      <c r="G1077" s="14">
        <v>15.524809099999999</v>
      </c>
      <c r="H1077" s="16">
        <v>176.11858219999999</v>
      </c>
      <c r="I1077" s="16">
        <v>96.981424099999998</v>
      </c>
      <c r="J1077" s="3" t="s">
        <v>5011</v>
      </c>
      <c r="K1077" s="16">
        <v>13938.948618567103</v>
      </c>
      <c r="L1077" s="16">
        <v>1509.8217853000001</v>
      </c>
      <c r="M1077" s="16">
        <f t="shared" si="32"/>
        <v>8.5727568689228306</v>
      </c>
    </row>
    <row r="1078" spans="1:13" x14ac:dyDescent="0.25">
      <c r="A1078" s="2">
        <f t="shared" si="33"/>
        <v>1073</v>
      </c>
      <c r="B1078" s="2">
        <v>49898</v>
      </c>
      <c r="C1078" s="2" t="s">
        <v>3584</v>
      </c>
      <c r="D1078" s="14" t="s">
        <v>1071</v>
      </c>
      <c r="E1078" s="14">
        <v>0.24924290000000002</v>
      </c>
      <c r="F1078" s="14">
        <v>0</v>
      </c>
      <c r="G1078" s="14">
        <v>0.24924290000000002</v>
      </c>
      <c r="H1078" s="16">
        <v>15.2542384</v>
      </c>
      <c r="I1078" s="16">
        <v>15.2542384</v>
      </c>
      <c r="J1078" s="3" t="s">
        <v>5011</v>
      </c>
      <c r="K1078" s="16">
        <v>271.46857111799994</v>
      </c>
      <c r="L1078" s="16">
        <v>38.0667379</v>
      </c>
      <c r="M1078" s="16">
        <f t="shared" si="32"/>
        <v>2.4954859693290228</v>
      </c>
    </row>
    <row r="1079" spans="1:13" x14ac:dyDescent="0.25">
      <c r="A1079" s="2">
        <f t="shared" si="33"/>
        <v>1074</v>
      </c>
      <c r="B1079" s="2">
        <v>50041</v>
      </c>
      <c r="C1079" s="2" t="s">
        <v>3585</v>
      </c>
      <c r="D1079" s="14" t="s">
        <v>1072</v>
      </c>
      <c r="E1079" s="14">
        <v>0</v>
      </c>
      <c r="F1079" s="14">
        <v>0</v>
      </c>
      <c r="G1079" s="14">
        <v>0</v>
      </c>
      <c r="H1079" s="16">
        <v>0</v>
      </c>
      <c r="I1079" s="16">
        <v>0</v>
      </c>
      <c r="J1079" s="3" t="s">
        <v>5011</v>
      </c>
      <c r="K1079" s="16">
        <v>3.9931427527999999</v>
      </c>
      <c r="L1079" s="16">
        <v>0.40927970000000002</v>
      </c>
      <c r="M1079" s="16">
        <v>0</v>
      </c>
    </row>
    <row r="1080" spans="1:13" x14ac:dyDescent="0.25">
      <c r="A1080" s="2">
        <f t="shared" si="33"/>
        <v>1075</v>
      </c>
      <c r="B1080" s="2">
        <v>50043</v>
      </c>
      <c r="C1080" s="2" t="s">
        <v>3586</v>
      </c>
      <c r="D1080" s="14" t="s">
        <v>1073</v>
      </c>
      <c r="E1080" s="14">
        <v>2.7856592999999998</v>
      </c>
      <c r="F1080" s="14">
        <v>0</v>
      </c>
      <c r="G1080" s="14">
        <v>2.7856592999999998</v>
      </c>
      <c r="H1080" s="16">
        <v>76.817105099999992</v>
      </c>
      <c r="I1080" s="16">
        <v>59.582878099999995</v>
      </c>
      <c r="J1080" s="3" t="s">
        <v>5011</v>
      </c>
      <c r="K1080" s="16">
        <v>2417.7277427873</v>
      </c>
      <c r="L1080" s="16">
        <v>293.57913930000001</v>
      </c>
      <c r="M1080" s="16">
        <f t="shared" si="32"/>
        <v>3.8217938428924216</v>
      </c>
    </row>
    <row r="1081" spans="1:13" x14ac:dyDescent="0.25">
      <c r="A1081" s="2">
        <f t="shared" si="33"/>
        <v>1076</v>
      </c>
      <c r="B1081" s="2">
        <v>50105</v>
      </c>
      <c r="C1081" s="2" t="s">
        <v>3587</v>
      </c>
      <c r="D1081" s="14" t="s">
        <v>1074</v>
      </c>
      <c r="E1081" s="14">
        <v>0.20591129999999996</v>
      </c>
      <c r="F1081" s="14">
        <v>0</v>
      </c>
      <c r="G1081" s="14">
        <v>0.20591129999999996</v>
      </c>
      <c r="H1081" s="16">
        <v>124.6087696</v>
      </c>
      <c r="I1081" s="16">
        <v>121.86876920000002</v>
      </c>
      <c r="J1081" s="3" t="s">
        <v>5011</v>
      </c>
      <c r="K1081" s="16">
        <v>406.82568230330003</v>
      </c>
      <c r="L1081" s="16">
        <v>134.7583338</v>
      </c>
      <c r="M1081" s="16">
        <f t="shared" si="32"/>
        <v>1.0814514438476568</v>
      </c>
    </row>
    <row r="1082" spans="1:13" x14ac:dyDescent="0.25">
      <c r="A1082" s="2">
        <f t="shared" si="33"/>
        <v>1077</v>
      </c>
      <c r="B1082" s="2">
        <v>50106</v>
      </c>
      <c r="C1082" s="2" t="s">
        <v>3588</v>
      </c>
      <c r="D1082" s="14" t="s">
        <v>1075</v>
      </c>
      <c r="E1082" s="14">
        <v>6.3116361000000012</v>
      </c>
      <c r="F1082" s="14">
        <v>0</v>
      </c>
      <c r="G1082" s="14">
        <v>6.3116361000000012</v>
      </c>
      <c r="H1082" s="16">
        <v>1015.1274523000001</v>
      </c>
      <c r="I1082" s="16">
        <v>646.13750430000005</v>
      </c>
      <c r="J1082" s="3" t="s">
        <v>5011</v>
      </c>
      <c r="K1082" s="16">
        <v>6930.5934018247972</v>
      </c>
      <c r="L1082" s="16">
        <v>1200.2496710999999</v>
      </c>
      <c r="M1082" s="16">
        <f t="shared" si="32"/>
        <v>1.1823635233000189</v>
      </c>
    </row>
    <row r="1083" spans="1:13" x14ac:dyDescent="0.25">
      <c r="A1083" s="2">
        <f t="shared" si="33"/>
        <v>1078</v>
      </c>
      <c r="B1083" s="2">
        <v>50120</v>
      </c>
      <c r="C1083" s="2" t="s">
        <v>3589</v>
      </c>
      <c r="D1083" s="14" t="s">
        <v>1076</v>
      </c>
      <c r="E1083" s="14">
        <v>2.4348727999999999</v>
      </c>
      <c r="F1083" s="14">
        <v>0</v>
      </c>
      <c r="G1083" s="14">
        <v>2.4348727999999999</v>
      </c>
      <c r="H1083" s="16">
        <v>265.33347960000003</v>
      </c>
      <c r="I1083" s="16">
        <v>180.95590329999999</v>
      </c>
      <c r="J1083" s="3" t="s">
        <v>5011</v>
      </c>
      <c r="K1083" s="16">
        <v>3078.3072504544998</v>
      </c>
      <c r="L1083" s="16">
        <v>377.37804349999999</v>
      </c>
      <c r="M1083" s="16">
        <f t="shared" si="32"/>
        <v>1.4222782743772526</v>
      </c>
    </row>
    <row r="1084" spans="1:13" x14ac:dyDescent="0.25">
      <c r="A1084" s="2">
        <f t="shared" si="33"/>
        <v>1079</v>
      </c>
      <c r="B1084" s="2">
        <v>50197</v>
      </c>
      <c r="C1084" s="2" t="s">
        <v>3590</v>
      </c>
      <c r="D1084" s="14" t="s">
        <v>1077</v>
      </c>
      <c r="E1084" s="14">
        <v>16.214492699999997</v>
      </c>
      <c r="F1084" s="14">
        <v>0</v>
      </c>
      <c r="G1084" s="14">
        <v>16.214492699999997</v>
      </c>
      <c r="H1084" s="16">
        <v>499.95000270000003</v>
      </c>
      <c r="I1084" s="16">
        <v>307.23686830000003</v>
      </c>
      <c r="J1084" s="3" t="s">
        <v>5011</v>
      </c>
      <c r="K1084" s="16">
        <v>10650.739452480298</v>
      </c>
      <c r="L1084" s="16">
        <v>1414.7620041999999</v>
      </c>
      <c r="M1084" s="16">
        <f t="shared" si="32"/>
        <v>2.8298069738164235</v>
      </c>
    </row>
    <row r="1085" spans="1:13" x14ac:dyDescent="0.25">
      <c r="A1085" s="2">
        <f t="shared" si="33"/>
        <v>1080</v>
      </c>
      <c r="B1085" s="2">
        <v>50561</v>
      </c>
      <c r="C1085" s="2" t="s">
        <v>3591</v>
      </c>
      <c r="D1085" s="14" t="s">
        <v>1078</v>
      </c>
      <c r="E1085" s="14">
        <v>0.33198089999999997</v>
      </c>
      <c r="F1085" s="14">
        <v>0</v>
      </c>
      <c r="G1085" s="14">
        <v>0.33198089999999997</v>
      </c>
      <c r="H1085" s="16">
        <v>83.230859699999996</v>
      </c>
      <c r="I1085" s="16">
        <v>72.360667399999997</v>
      </c>
      <c r="J1085" s="3" t="s">
        <v>5011</v>
      </c>
      <c r="K1085" s="16">
        <v>573.03566129639989</v>
      </c>
      <c r="L1085" s="16">
        <v>101.5026127</v>
      </c>
      <c r="M1085" s="16">
        <f t="shared" si="32"/>
        <v>1.2195309896576738</v>
      </c>
    </row>
    <row r="1086" spans="1:13" x14ac:dyDescent="0.25">
      <c r="A1086" s="2">
        <f t="shared" si="33"/>
        <v>1081</v>
      </c>
      <c r="B1086" s="2">
        <v>50627</v>
      </c>
      <c r="C1086" s="2" t="s">
        <v>3592</v>
      </c>
      <c r="D1086" s="14" t="s">
        <v>1079</v>
      </c>
      <c r="E1086" s="14">
        <v>8.5594952999999983</v>
      </c>
      <c r="F1086" s="14">
        <v>0</v>
      </c>
      <c r="G1086" s="14">
        <v>8.5594952999999983</v>
      </c>
      <c r="H1086" s="16">
        <v>277.9045145</v>
      </c>
      <c r="I1086" s="16">
        <v>60.259268900000009</v>
      </c>
      <c r="J1086" s="3" t="s">
        <v>5011</v>
      </c>
      <c r="K1086" s="16">
        <v>7237.9075514978986</v>
      </c>
      <c r="L1086" s="16">
        <v>788.41231540000001</v>
      </c>
      <c r="M1086" s="16">
        <f t="shared" si="32"/>
        <v>2.8369899525327789</v>
      </c>
    </row>
    <row r="1087" spans="1:13" x14ac:dyDescent="0.25">
      <c r="A1087" s="2">
        <f t="shared" si="33"/>
        <v>1082</v>
      </c>
      <c r="B1087" s="2">
        <v>50636</v>
      </c>
      <c r="C1087" s="2" t="s">
        <v>3593</v>
      </c>
      <c r="D1087" s="14" t="s">
        <v>1080</v>
      </c>
      <c r="E1087" s="14">
        <v>0</v>
      </c>
      <c r="F1087" s="14">
        <v>0</v>
      </c>
      <c r="G1087" s="14">
        <v>0</v>
      </c>
      <c r="H1087" s="16">
        <v>0</v>
      </c>
      <c r="I1087" s="16">
        <v>0</v>
      </c>
      <c r="J1087" s="3" t="s">
        <v>5011</v>
      </c>
      <c r="K1087" s="16">
        <v>0</v>
      </c>
      <c r="L1087" s="16">
        <v>0</v>
      </c>
      <c r="M1087" s="16">
        <v>0</v>
      </c>
    </row>
    <row r="1088" spans="1:13" x14ac:dyDescent="0.25">
      <c r="A1088" s="2">
        <f t="shared" si="33"/>
        <v>1083</v>
      </c>
      <c r="B1088" s="2">
        <v>50734</v>
      </c>
      <c r="C1088" s="2" t="s">
        <v>3594</v>
      </c>
      <c r="D1088" s="14" t="s">
        <v>1081</v>
      </c>
      <c r="E1088" s="14">
        <v>0.86346999999999985</v>
      </c>
      <c r="F1088" s="14">
        <v>0</v>
      </c>
      <c r="G1088" s="14">
        <v>0.86346999999999985</v>
      </c>
      <c r="H1088" s="16">
        <v>118.62065490000001</v>
      </c>
      <c r="I1088" s="16">
        <v>60.689116500000004</v>
      </c>
      <c r="J1088" s="3" t="s">
        <v>5011</v>
      </c>
      <c r="K1088" s="16">
        <v>1657.6984757014998</v>
      </c>
      <c r="L1088" s="16">
        <v>186.91585469999998</v>
      </c>
      <c r="M1088" s="16">
        <f t="shared" si="32"/>
        <v>1.5757445856084207</v>
      </c>
    </row>
    <row r="1089" spans="1:13" x14ac:dyDescent="0.25">
      <c r="A1089" s="2">
        <f t="shared" si="33"/>
        <v>1084</v>
      </c>
      <c r="B1089" s="2">
        <v>50760</v>
      </c>
      <c r="C1089" s="2" t="s">
        <v>3595</v>
      </c>
      <c r="D1089" s="14" t="s">
        <v>1082</v>
      </c>
      <c r="E1089" s="14">
        <v>5.4173825000000004</v>
      </c>
      <c r="F1089" s="14">
        <v>0</v>
      </c>
      <c r="G1089" s="14">
        <v>5.4173825000000004</v>
      </c>
      <c r="H1089" s="16">
        <v>346.93648359999997</v>
      </c>
      <c r="I1089" s="16">
        <v>141.61826500000001</v>
      </c>
      <c r="J1089" s="3" t="s">
        <v>5011</v>
      </c>
      <c r="K1089" s="16">
        <v>5600.2439305053995</v>
      </c>
      <c r="L1089" s="16">
        <v>626.86505999999997</v>
      </c>
      <c r="M1089" s="16">
        <f t="shared" si="32"/>
        <v>1.8068582856876572</v>
      </c>
    </row>
    <row r="1090" spans="1:13" x14ac:dyDescent="0.25">
      <c r="A1090" s="2">
        <f t="shared" si="33"/>
        <v>1085</v>
      </c>
      <c r="B1090" s="2">
        <v>50867</v>
      </c>
      <c r="C1090" s="2" t="s">
        <v>3596</v>
      </c>
      <c r="D1090" s="14" t="s">
        <v>1083</v>
      </c>
      <c r="E1090" s="14">
        <v>2.8340000000000001E-2</v>
      </c>
      <c r="F1090" s="14">
        <v>0</v>
      </c>
      <c r="G1090" s="14">
        <v>2.8340000000000001E-2</v>
      </c>
      <c r="H1090" s="16">
        <v>20.353982299999998</v>
      </c>
      <c r="I1090" s="16">
        <v>18.7839268</v>
      </c>
      <c r="J1090" s="3" t="s">
        <v>5011</v>
      </c>
      <c r="K1090" s="16">
        <v>54.6696113239</v>
      </c>
      <c r="L1090" s="16">
        <v>21.335587400000001</v>
      </c>
      <c r="M1090" s="16">
        <f t="shared" si="32"/>
        <v>1.0482266853499231</v>
      </c>
    </row>
    <row r="1091" spans="1:13" x14ac:dyDescent="0.25">
      <c r="A1091" s="2">
        <f t="shared" si="33"/>
        <v>1086</v>
      </c>
      <c r="B1091" s="2">
        <v>50927</v>
      </c>
      <c r="C1091" s="2" t="s">
        <v>3597</v>
      </c>
      <c r="D1091" s="14" t="s">
        <v>1084</v>
      </c>
      <c r="E1091" s="14">
        <v>2.8780799999999999E-2</v>
      </c>
      <c r="F1091" s="14">
        <v>0</v>
      </c>
      <c r="G1091" s="14">
        <v>2.8780799999999999E-2</v>
      </c>
      <c r="H1091" s="16">
        <v>0</v>
      </c>
      <c r="I1091" s="16">
        <v>0</v>
      </c>
      <c r="J1091" s="3" t="s">
        <v>5011</v>
      </c>
      <c r="K1091" s="16">
        <v>37.201276828799998</v>
      </c>
      <c r="L1091" s="16">
        <v>3.8292310999999999</v>
      </c>
      <c r="M1091" s="16">
        <v>0</v>
      </c>
    </row>
    <row r="1092" spans="1:13" x14ac:dyDescent="0.25">
      <c r="A1092" s="2">
        <f t="shared" si="33"/>
        <v>1087</v>
      </c>
      <c r="B1092" s="2">
        <v>50995</v>
      </c>
      <c r="C1092" s="2" t="s">
        <v>3598</v>
      </c>
      <c r="D1092" s="14" t="s">
        <v>1085</v>
      </c>
      <c r="E1092" s="14">
        <v>0</v>
      </c>
      <c r="F1092" s="14">
        <v>0</v>
      </c>
      <c r="G1092" s="14">
        <v>0</v>
      </c>
      <c r="H1092" s="16">
        <v>0</v>
      </c>
      <c r="I1092" s="16">
        <v>0</v>
      </c>
      <c r="J1092" s="3" t="s">
        <v>5011</v>
      </c>
      <c r="K1092" s="16">
        <v>0</v>
      </c>
      <c r="L1092" s="16">
        <v>0</v>
      </c>
      <c r="M1092" s="16">
        <v>0</v>
      </c>
    </row>
    <row r="1093" spans="1:13" x14ac:dyDescent="0.25">
      <c r="A1093" s="2">
        <f t="shared" si="33"/>
        <v>1088</v>
      </c>
      <c r="B1093" s="2">
        <v>51004</v>
      </c>
      <c r="C1093" s="2" t="s">
        <v>3599</v>
      </c>
      <c r="D1093" s="14" t="s">
        <v>1086</v>
      </c>
      <c r="E1093" s="14">
        <v>2.7664332000000003</v>
      </c>
      <c r="F1093" s="14">
        <v>0</v>
      </c>
      <c r="G1093" s="14">
        <v>2.7664332000000003</v>
      </c>
      <c r="H1093" s="16">
        <v>127.3997541</v>
      </c>
      <c r="I1093" s="16">
        <v>108.2187335</v>
      </c>
      <c r="J1093" s="3" t="s">
        <v>5011</v>
      </c>
      <c r="K1093" s="16">
        <v>2338.9298518987998</v>
      </c>
      <c r="L1093" s="16">
        <v>309.53860029999998</v>
      </c>
      <c r="M1093" s="16">
        <f t="shared" si="32"/>
        <v>2.4296640326089922</v>
      </c>
    </row>
    <row r="1094" spans="1:13" x14ac:dyDescent="0.25">
      <c r="A1094" s="2">
        <f t="shared" si="33"/>
        <v>1089</v>
      </c>
      <c r="B1094" s="2">
        <v>51053</v>
      </c>
      <c r="C1094" s="2" t="s">
        <v>3600</v>
      </c>
      <c r="D1094" s="14" t="s">
        <v>1087</v>
      </c>
      <c r="E1094" s="14">
        <v>2.1299855000000001</v>
      </c>
      <c r="F1094" s="14">
        <v>0</v>
      </c>
      <c r="G1094" s="14">
        <v>2.1299855000000001</v>
      </c>
      <c r="H1094" s="16">
        <v>828.99975769999992</v>
      </c>
      <c r="I1094" s="16">
        <v>475.21073969999998</v>
      </c>
      <c r="J1094" s="3" t="s">
        <v>5011</v>
      </c>
      <c r="K1094" s="16">
        <v>3429.2026433052006</v>
      </c>
      <c r="L1094" s="16">
        <v>626.65302029999998</v>
      </c>
      <c r="M1094" s="16">
        <f t="shared" si="32"/>
        <v>0.7559146000700937</v>
      </c>
    </row>
    <row r="1095" spans="1:13" x14ac:dyDescent="0.25">
      <c r="A1095" s="2">
        <f t="shared" si="33"/>
        <v>1090</v>
      </c>
      <c r="B1095" s="2">
        <v>51175</v>
      </c>
      <c r="C1095" s="2" t="s">
        <v>3601</v>
      </c>
      <c r="D1095" s="14" t="s">
        <v>1088</v>
      </c>
      <c r="E1095" s="14">
        <v>9.3981000000000012E-3</v>
      </c>
      <c r="F1095" s="14">
        <v>0</v>
      </c>
      <c r="G1095" s="14">
        <v>9.3981000000000012E-3</v>
      </c>
      <c r="H1095" s="16">
        <v>11.814409700000001</v>
      </c>
      <c r="I1095" s="16">
        <v>11.814409700000001</v>
      </c>
      <c r="J1095" s="3" t="s">
        <v>5011</v>
      </c>
      <c r="K1095" s="16">
        <v>72.787056292399996</v>
      </c>
      <c r="L1095" s="16">
        <v>16.663930400000002</v>
      </c>
      <c r="M1095" s="16">
        <f t="shared" ref="M1095:M1158" si="34">L1095/H1095</f>
        <v>1.41047507434925</v>
      </c>
    </row>
    <row r="1096" spans="1:13" x14ac:dyDescent="0.25">
      <c r="A1096" s="2">
        <f t="shared" ref="A1096:A1159" si="35">A1095+1</f>
        <v>1091</v>
      </c>
      <c r="B1096" s="2">
        <v>51179</v>
      </c>
      <c r="C1096" s="2" t="s">
        <v>3602</v>
      </c>
      <c r="D1096" s="14" t="s">
        <v>1089</v>
      </c>
      <c r="E1096" s="14">
        <v>0.30306620000000001</v>
      </c>
      <c r="F1096" s="14">
        <v>0</v>
      </c>
      <c r="G1096" s="14">
        <v>0.30306620000000001</v>
      </c>
      <c r="H1096" s="16">
        <v>23.793814600000001</v>
      </c>
      <c r="I1096" s="16">
        <v>17.365777999999999</v>
      </c>
      <c r="J1096" s="3" t="s">
        <v>5011</v>
      </c>
      <c r="K1096" s="16">
        <v>353.13042693030002</v>
      </c>
      <c r="L1096" s="16">
        <v>45.3423996</v>
      </c>
      <c r="M1096" s="16">
        <f t="shared" si="34"/>
        <v>1.9056380980626788</v>
      </c>
    </row>
    <row r="1097" spans="1:13" x14ac:dyDescent="0.25">
      <c r="A1097" s="2">
        <f t="shared" si="35"/>
        <v>1092</v>
      </c>
      <c r="B1097" s="2">
        <v>51268</v>
      </c>
      <c r="C1097" s="2" t="s">
        <v>3603</v>
      </c>
      <c r="D1097" s="14" t="s">
        <v>1090</v>
      </c>
      <c r="E1097" s="14">
        <v>0</v>
      </c>
      <c r="F1097" s="14">
        <v>0</v>
      </c>
      <c r="G1097" s="14">
        <v>0</v>
      </c>
      <c r="H1097" s="16">
        <v>0</v>
      </c>
      <c r="I1097" s="16">
        <v>0</v>
      </c>
      <c r="J1097" s="3" t="s">
        <v>5011</v>
      </c>
      <c r="K1097" s="16">
        <v>0</v>
      </c>
      <c r="L1097" s="16">
        <v>0</v>
      </c>
      <c r="M1097" s="16">
        <v>0</v>
      </c>
    </row>
    <row r="1098" spans="1:13" x14ac:dyDescent="0.25">
      <c r="A1098" s="2">
        <f t="shared" si="35"/>
        <v>1093</v>
      </c>
      <c r="B1098" s="2">
        <v>51289</v>
      </c>
      <c r="C1098" s="2" t="s">
        <v>3604</v>
      </c>
      <c r="D1098" s="14" t="s">
        <v>1091</v>
      </c>
      <c r="E1098" s="14">
        <v>1.2153001999999999</v>
      </c>
      <c r="F1098" s="14">
        <v>0</v>
      </c>
      <c r="G1098" s="14">
        <v>1.2153001999999999</v>
      </c>
      <c r="H1098" s="16">
        <v>122.7661694</v>
      </c>
      <c r="I1098" s="16">
        <v>65.552867799999987</v>
      </c>
      <c r="J1098" s="3" t="s">
        <v>5011</v>
      </c>
      <c r="K1098" s="16">
        <v>1374.4137802163998</v>
      </c>
      <c r="L1098" s="16">
        <v>164.11234189999999</v>
      </c>
      <c r="M1098" s="16">
        <f t="shared" si="34"/>
        <v>1.3367879986976281</v>
      </c>
    </row>
    <row r="1099" spans="1:13" x14ac:dyDescent="0.25">
      <c r="A1099" s="2">
        <f t="shared" si="35"/>
        <v>1094</v>
      </c>
      <c r="B1099" s="2">
        <v>51479</v>
      </c>
      <c r="C1099" s="2" t="s">
        <v>3605</v>
      </c>
      <c r="D1099" s="14" t="s">
        <v>1092</v>
      </c>
      <c r="E1099" s="14">
        <v>1.3966E-3</v>
      </c>
      <c r="F1099" s="14">
        <v>0</v>
      </c>
      <c r="G1099" s="14">
        <v>1.3966E-3</v>
      </c>
      <c r="H1099" s="16">
        <v>77.468126799999993</v>
      </c>
      <c r="I1099" s="16">
        <v>76.968126799999993</v>
      </c>
      <c r="J1099" s="3" t="s">
        <v>5011</v>
      </c>
      <c r="K1099" s="16">
        <v>464.97319938179999</v>
      </c>
      <c r="L1099" s="16">
        <v>454.52245950000002</v>
      </c>
      <c r="M1099" s="16">
        <f t="shared" si="34"/>
        <v>5.867218923124911</v>
      </c>
    </row>
    <row r="1100" spans="1:13" x14ac:dyDescent="0.25">
      <c r="A1100" s="2">
        <f t="shared" si="35"/>
        <v>1095</v>
      </c>
      <c r="B1100" s="2">
        <v>51487</v>
      </c>
      <c r="C1100" s="2" t="s">
        <v>3606</v>
      </c>
      <c r="D1100" s="14" t="s">
        <v>1093</v>
      </c>
      <c r="E1100" s="14">
        <v>50.514068999999992</v>
      </c>
      <c r="F1100" s="14">
        <v>0</v>
      </c>
      <c r="G1100" s="14">
        <v>50.514068999999992</v>
      </c>
      <c r="H1100" s="16">
        <v>1793.8739294</v>
      </c>
      <c r="I1100" s="16">
        <v>378.61463419999984</v>
      </c>
      <c r="J1100" s="3" t="s">
        <v>5011</v>
      </c>
      <c r="K1100" s="16">
        <v>50028.595482040284</v>
      </c>
      <c r="L1100" s="16">
        <v>5017.1338837000003</v>
      </c>
      <c r="M1100" s="16">
        <f t="shared" si="34"/>
        <v>2.7968152061711993</v>
      </c>
    </row>
    <row r="1101" spans="1:13" x14ac:dyDescent="0.25">
      <c r="A1101" s="2">
        <f t="shared" si="35"/>
        <v>1096</v>
      </c>
      <c r="B1101" s="2">
        <v>51565</v>
      </c>
      <c r="C1101" s="2" t="s">
        <v>3607</v>
      </c>
      <c r="D1101" s="14" t="s">
        <v>1094</v>
      </c>
      <c r="E1101" s="14">
        <v>0</v>
      </c>
      <c r="F1101" s="14">
        <v>0</v>
      </c>
      <c r="G1101" s="14">
        <v>0</v>
      </c>
      <c r="H1101" s="16">
        <v>7.4996400000000005E-2</v>
      </c>
      <c r="I1101" s="16">
        <v>-8.4995400000000013E-2</v>
      </c>
      <c r="J1101" s="3" t="s">
        <v>5011</v>
      </c>
      <c r="K1101" s="16">
        <v>3.0935091023000005</v>
      </c>
      <c r="L1101" s="16">
        <v>0.70996160000000008</v>
      </c>
      <c r="M1101" s="16">
        <f t="shared" si="34"/>
        <v>9.4666090639017337</v>
      </c>
    </row>
    <row r="1102" spans="1:13" x14ac:dyDescent="0.25">
      <c r="A1102" s="2">
        <f t="shared" si="35"/>
        <v>1097</v>
      </c>
      <c r="B1102" s="2">
        <v>51634</v>
      </c>
      <c r="C1102" s="2" t="s">
        <v>3608</v>
      </c>
      <c r="D1102" s="14" t="s">
        <v>1095</v>
      </c>
      <c r="E1102" s="14">
        <v>0.44692630000000005</v>
      </c>
      <c r="F1102" s="14">
        <v>0</v>
      </c>
      <c r="G1102" s="14">
        <v>0.44692630000000005</v>
      </c>
      <c r="H1102" s="16">
        <v>36.941984300000001</v>
      </c>
      <c r="I1102" s="16">
        <v>29.991859100000003</v>
      </c>
      <c r="J1102" s="3" t="s">
        <v>5011</v>
      </c>
      <c r="K1102" s="16">
        <v>541.99833060349988</v>
      </c>
      <c r="L1102" s="16">
        <v>70.854000299999996</v>
      </c>
      <c r="M1102" s="16">
        <f t="shared" si="34"/>
        <v>1.9179803587323812</v>
      </c>
    </row>
    <row r="1103" spans="1:13" x14ac:dyDescent="0.25">
      <c r="A1103" s="2">
        <f t="shared" si="35"/>
        <v>1098</v>
      </c>
      <c r="B1103" s="2">
        <v>51665</v>
      </c>
      <c r="C1103" s="2" t="s">
        <v>3609</v>
      </c>
      <c r="D1103" s="14" t="s">
        <v>1096</v>
      </c>
      <c r="E1103" s="14">
        <v>5.8618056000000003</v>
      </c>
      <c r="F1103" s="14">
        <v>0</v>
      </c>
      <c r="G1103" s="14">
        <v>5.8618056000000003</v>
      </c>
      <c r="H1103" s="16">
        <v>145.6782235</v>
      </c>
      <c r="I1103" s="16">
        <v>103.32473359999999</v>
      </c>
      <c r="J1103" s="3" t="s">
        <v>5011</v>
      </c>
      <c r="K1103" s="16">
        <v>5057.6083876179991</v>
      </c>
      <c r="L1103" s="16">
        <v>556.91033709999999</v>
      </c>
      <c r="M1103" s="16">
        <f t="shared" si="34"/>
        <v>3.8228797943846424</v>
      </c>
    </row>
    <row r="1104" spans="1:13" x14ac:dyDescent="0.25">
      <c r="A1104" s="2">
        <f t="shared" si="35"/>
        <v>1099</v>
      </c>
      <c r="B1104" s="2">
        <v>51701</v>
      </c>
      <c r="C1104" s="2" t="s">
        <v>3610</v>
      </c>
      <c r="D1104" s="14" t="s">
        <v>1097</v>
      </c>
      <c r="E1104" s="14">
        <v>4.3590437</v>
      </c>
      <c r="F1104" s="14">
        <v>0</v>
      </c>
      <c r="G1104" s="14">
        <v>4.3590437</v>
      </c>
      <c r="H1104" s="16">
        <v>263.77105089999998</v>
      </c>
      <c r="I1104" s="16">
        <v>253.48638769999999</v>
      </c>
      <c r="J1104" s="3" t="s">
        <v>5011</v>
      </c>
      <c r="K1104" s="16">
        <v>3047.7368467704</v>
      </c>
      <c r="L1104" s="16">
        <v>457.89417060000005</v>
      </c>
      <c r="M1104" s="16">
        <f t="shared" si="34"/>
        <v>1.7359530890051895</v>
      </c>
    </row>
    <row r="1105" spans="1:13" x14ac:dyDescent="0.25">
      <c r="A1105" s="2">
        <f t="shared" si="35"/>
        <v>1100</v>
      </c>
      <c r="B1105" s="2">
        <v>51729</v>
      </c>
      <c r="C1105" s="2" t="s">
        <v>3611</v>
      </c>
      <c r="D1105" s="14" t="s">
        <v>1098</v>
      </c>
      <c r="E1105" s="14">
        <v>0</v>
      </c>
      <c r="F1105" s="14">
        <v>0</v>
      </c>
      <c r="G1105" s="14">
        <v>0</v>
      </c>
      <c r="H1105" s="16">
        <v>0</v>
      </c>
      <c r="I1105" s="16">
        <v>0</v>
      </c>
      <c r="J1105" s="3" t="s">
        <v>5011</v>
      </c>
      <c r="K1105" s="16">
        <v>0</v>
      </c>
      <c r="L1105" s="16">
        <v>0</v>
      </c>
      <c r="M1105" s="16">
        <v>0</v>
      </c>
    </row>
    <row r="1106" spans="1:13" x14ac:dyDescent="0.25">
      <c r="A1106" s="2">
        <f t="shared" si="35"/>
        <v>1101</v>
      </c>
      <c r="B1106" s="2">
        <v>51734</v>
      </c>
      <c r="C1106" s="2" t="s">
        <v>3612</v>
      </c>
      <c r="D1106" s="14" t="s">
        <v>1099</v>
      </c>
      <c r="E1106" s="14">
        <v>7.0216199999999993E-2</v>
      </c>
      <c r="F1106" s="14">
        <v>0</v>
      </c>
      <c r="G1106" s="14">
        <v>7.0216199999999993E-2</v>
      </c>
      <c r="H1106" s="16">
        <v>42.657868300000004</v>
      </c>
      <c r="I1106" s="16">
        <v>42.657868300000004</v>
      </c>
      <c r="J1106" s="3" t="s">
        <v>5011</v>
      </c>
      <c r="K1106" s="16">
        <v>135.81796779289999</v>
      </c>
      <c r="L1106" s="16">
        <v>51.839924699999997</v>
      </c>
      <c r="M1106" s="16">
        <f t="shared" si="34"/>
        <v>1.2152488337069576</v>
      </c>
    </row>
    <row r="1107" spans="1:13" x14ac:dyDescent="0.25">
      <c r="A1107" s="2">
        <f t="shared" si="35"/>
        <v>1102</v>
      </c>
      <c r="B1107" s="2">
        <v>51806</v>
      </c>
      <c r="C1107" s="2" t="s">
        <v>3613</v>
      </c>
      <c r="D1107" s="14" t="s">
        <v>1100</v>
      </c>
      <c r="E1107" s="14">
        <v>0</v>
      </c>
      <c r="F1107" s="14">
        <v>0</v>
      </c>
      <c r="G1107" s="14">
        <v>0</v>
      </c>
      <c r="H1107" s="16">
        <v>0</v>
      </c>
      <c r="I1107" s="16">
        <v>0</v>
      </c>
      <c r="J1107" s="3" t="s">
        <v>5011</v>
      </c>
      <c r="K1107" s="16">
        <v>0</v>
      </c>
      <c r="L1107" s="16">
        <v>0</v>
      </c>
      <c r="M1107" s="16">
        <v>0</v>
      </c>
    </row>
    <row r="1108" spans="1:13" x14ac:dyDescent="0.25">
      <c r="A1108" s="2">
        <f t="shared" si="35"/>
        <v>1103</v>
      </c>
      <c r="B1108" s="2">
        <v>51873</v>
      </c>
      <c r="C1108" s="2" t="s">
        <v>3614</v>
      </c>
      <c r="D1108" s="14" t="s">
        <v>1101</v>
      </c>
      <c r="E1108" s="14">
        <v>0</v>
      </c>
      <c r="F1108" s="14">
        <v>0</v>
      </c>
      <c r="G1108" s="14">
        <v>0</v>
      </c>
      <c r="H1108" s="16">
        <v>0</v>
      </c>
      <c r="I1108" s="16">
        <v>0</v>
      </c>
      <c r="J1108" s="3" t="s">
        <v>5011</v>
      </c>
      <c r="K1108" s="16">
        <v>0</v>
      </c>
      <c r="L1108" s="16">
        <v>0</v>
      </c>
      <c r="M1108" s="16">
        <v>0</v>
      </c>
    </row>
    <row r="1109" spans="1:13" x14ac:dyDescent="0.25">
      <c r="A1109" s="2">
        <f t="shared" si="35"/>
        <v>1104</v>
      </c>
      <c r="B1109" s="2">
        <v>51903</v>
      </c>
      <c r="C1109" s="2" t="s">
        <v>3615</v>
      </c>
      <c r="D1109" s="14" t="s">
        <v>1102</v>
      </c>
      <c r="E1109" s="14">
        <v>0</v>
      </c>
      <c r="F1109" s="14">
        <v>0</v>
      </c>
      <c r="G1109" s="14">
        <v>0</v>
      </c>
      <c r="H1109" s="16">
        <v>0</v>
      </c>
      <c r="I1109" s="16">
        <v>0</v>
      </c>
      <c r="J1109" s="3" t="s">
        <v>5011</v>
      </c>
      <c r="K1109" s="16">
        <v>0</v>
      </c>
      <c r="L1109" s="16">
        <v>0</v>
      </c>
      <c r="M1109" s="16">
        <v>0</v>
      </c>
    </row>
    <row r="1110" spans="1:13" x14ac:dyDescent="0.25">
      <c r="A1110" s="2">
        <f t="shared" si="35"/>
        <v>1105</v>
      </c>
      <c r="B1110" s="2">
        <v>52018</v>
      </c>
      <c r="C1110" s="2" t="s">
        <v>3616</v>
      </c>
      <c r="D1110" s="14" t="s">
        <v>1103</v>
      </c>
      <c r="E1110" s="14">
        <v>25.229514500000001</v>
      </c>
      <c r="F1110" s="14">
        <v>0</v>
      </c>
      <c r="G1110" s="14">
        <v>25.229514500000001</v>
      </c>
      <c r="H1110" s="16">
        <v>1836.1785687000001</v>
      </c>
      <c r="I1110" s="16">
        <v>1190.2991911000001</v>
      </c>
      <c r="J1110" s="3" t="s">
        <v>5011</v>
      </c>
      <c r="K1110" s="16">
        <v>23995.806925323195</v>
      </c>
      <c r="L1110" s="16">
        <v>2907.5885232000001</v>
      </c>
      <c r="M1110" s="16">
        <f t="shared" si="34"/>
        <v>1.5834998691105242</v>
      </c>
    </row>
    <row r="1111" spans="1:13" x14ac:dyDescent="0.25">
      <c r="A1111" s="2">
        <f t="shared" si="35"/>
        <v>1106</v>
      </c>
      <c r="B1111" s="2">
        <v>52028</v>
      </c>
      <c r="C1111" s="2" t="s">
        <v>3617</v>
      </c>
      <c r="D1111" s="14" t="s">
        <v>1104</v>
      </c>
      <c r="E1111" s="14">
        <v>0.17335590000000001</v>
      </c>
      <c r="F1111" s="14">
        <v>0</v>
      </c>
      <c r="G1111" s="14">
        <v>0.17335590000000001</v>
      </c>
      <c r="H1111" s="16">
        <v>47.4904996</v>
      </c>
      <c r="I1111" s="16">
        <v>29.147227700000002</v>
      </c>
      <c r="J1111" s="3" t="s">
        <v>5011</v>
      </c>
      <c r="K1111" s="16">
        <v>237.27005379190001</v>
      </c>
      <c r="L1111" s="16">
        <v>39.845945899999997</v>
      </c>
      <c r="M1111" s="16">
        <f t="shared" si="34"/>
        <v>0.83902983197927861</v>
      </c>
    </row>
    <row r="1112" spans="1:13" x14ac:dyDescent="0.25">
      <c r="A1112" s="2">
        <f t="shared" si="35"/>
        <v>1107</v>
      </c>
      <c r="B1112" s="2">
        <v>52256</v>
      </c>
      <c r="C1112" s="2" t="s">
        <v>3618</v>
      </c>
      <c r="D1112" s="14" t="s">
        <v>1105</v>
      </c>
      <c r="E1112" s="14">
        <v>0</v>
      </c>
      <c r="F1112" s="14">
        <v>0</v>
      </c>
      <c r="G1112" s="14">
        <v>0</v>
      </c>
      <c r="H1112" s="16">
        <v>0</v>
      </c>
      <c r="I1112" s="16">
        <v>0</v>
      </c>
      <c r="J1112" s="3" t="s">
        <v>5011</v>
      </c>
      <c r="K1112" s="16">
        <v>0</v>
      </c>
      <c r="L1112" s="16">
        <v>0</v>
      </c>
      <c r="M1112" s="16">
        <v>0</v>
      </c>
    </row>
    <row r="1113" spans="1:13" x14ac:dyDescent="0.25">
      <c r="A1113" s="2">
        <f t="shared" si="35"/>
        <v>1108</v>
      </c>
      <c r="B1113" s="2">
        <v>52416</v>
      </c>
      <c r="C1113" s="2" t="s">
        <v>3619</v>
      </c>
      <c r="D1113" s="14" t="s">
        <v>1106</v>
      </c>
      <c r="E1113" s="14">
        <v>5.2886660000000001</v>
      </c>
      <c r="F1113" s="14">
        <v>0</v>
      </c>
      <c r="G1113" s="14">
        <v>5.2886660000000001</v>
      </c>
      <c r="H1113" s="16">
        <v>136.75401539999999</v>
      </c>
      <c r="I1113" s="16">
        <v>124.20218369999999</v>
      </c>
      <c r="J1113" s="3" t="s">
        <v>5011</v>
      </c>
      <c r="K1113" s="16">
        <v>5114.2931870545999</v>
      </c>
      <c r="L1113" s="16">
        <v>588.60631899999998</v>
      </c>
      <c r="M1113" s="16">
        <f t="shared" si="34"/>
        <v>4.3041245792918783</v>
      </c>
    </row>
    <row r="1114" spans="1:13" x14ac:dyDescent="0.25">
      <c r="A1114" s="2">
        <f t="shared" si="35"/>
        <v>1109</v>
      </c>
      <c r="B1114" s="2">
        <v>52431</v>
      </c>
      <c r="C1114" s="2" t="s">
        <v>3620</v>
      </c>
      <c r="D1114" s="14" t="s">
        <v>1107</v>
      </c>
      <c r="E1114" s="14">
        <v>2.1648800000000003E-2</v>
      </c>
      <c r="F1114" s="14">
        <v>0</v>
      </c>
      <c r="G1114" s="14">
        <v>2.1648800000000003E-2</v>
      </c>
      <c r="H1114" s="16">
        <v>10.8747694</v>
      </c>
      <c r="I1114" s="16">
        <v>10.8747694</v>
      </c>
      <c r="J1114" s="3" t="s">
        <v>5011</v>
      </c>
      <c r="K1114" s="16">
        <v>90.642435231999997</v>
      </c>
      <c r="L1114" s="16">
        <v>14.3864565</v>
      </c>
      <c r="M1114" s="16">
        <f t="shared" si="34"/>
        <v>1.3229206037233303</v>
      </c>
    </row>
    <row r="1115" spans="1:13" x14ac:dyDescent="0.25">
      <c r="A1115" s="2">
        <f t="shared" si="35"/>
        <v>1110</v>
      </c>
      <c r="B1115" s="2">
        <v>52466</v>
      </c>
      <c r="C1115" s="2" t="s">
        <v>3621</v>
      </c>
      <c r="D1115" s="14" t="s">
        <v>1108</v>
      </c>
      <c r="E1115" s="14">
        <v>2.8664849000000001</v>
      </c>
      <c r="F1115" s="14">
        <v>0</v>
      </c>
      <c r="G1115" s="14">
        <v>2.8664849000000001</v>
      </c>
      <c r="H1115" s="16">
        <v>284.94375460000003</v>
      </c>
      <c r="I1115" s="16">
        <v>277.60133150000001</v>
      </c>
      <c r="J1115" s="3" t="s">
        <v>5011</v>
      </c>
      <c r="K1115" s="16">
        <v>3168.9855639444004</v>
      </c>
      <c r="L1115" s="16">
        <v>462.60234320000001</v>
      </c>
      <c r="M1115" s="16">
        <f t="shared" si="34"/>
        <v>1.6234865152577025</v>
      </c>
    </row>
    <row r="1116" spans="1:13" x14ac:dyDescent="0.25">
      <c r="A1116" s="2">
        <f t="shared" si="35"/>
        <v>1111</v>
      </c>
      <c r="B1116" s="2">
        <v>52471</v>
      </c>
      <c r="C1116" s="2" t="s">
        <v>3622</v>
      </c>
      <c r="D1116" s="14" t="s">
        <v>1109</v>
      </c>
      <c r="E1116" s="14">
        <v>1.3687679000000001</v>
      </c>
      <c r="F1116" s="14">
        <v>0</v>
      </c>
      <c r="G1116" s="14">
        <v>1.3687679000000001</v>
      </c>
      <c r="H1116" s="16">
        <v>210.288342</v>
      </c>
      <c r="I1116" s="16">
        <v>127.930296</v>
      </c>
      <c r="J1116" s="3" t="s">
        <v>5011</v>
      </c>
      <c r="K1116" s="16">
        <v>1292.8303437067</v>
      </c>
      <c r="L1116" s="16">
        <v>239.51032179999999</v>
      </c>
      <c r="M1116" s="16">
        <f t="shared" si="34"/>
        <v>1.1389614827054939</v>
      </c>
    </row>
    <row r="1117" spans="1:13" x14ac:dyDescent="0.25">
      <c r="A1117" s="2">
        <f t="shared" si="35"/>
        <v>1112</v>
      </c>
      <c r="B1117" s="2">
        <v>52619</v>
      </c>
      <c r="C1117" s="2" t="s">
        <v>3623</v>
      </c>
      <c r="D1117" s="14" t="s">
        <v>1110</v>
      </c>
      <c r="E1117" s="14">
        <v>0</v>
      </c>
      <c r="F1117" s="14">
        <v>0</v>
      </c>
      <c r="G1117" s="14">
        <v>0</v>
      </c>
      <c r="H1117" s="16">
        <v>0.95995199999999992</v>
      </c>
      <c r="I1117" s="16">
        <v>0.95995199999999992</v>
      </c>
      <c r="J1117" s="3" t="s">
        <v>5011</v>
      </c>
      <c r="K1117" s="16">
        <v>1.7057128573</v>
      </c>
      <c r="L1117" s="16">
        <v>0.98373710000000003</v>
      </c>
      <c r="M1117" s="16">
        <f t="shared" si="34"/>
        <v>1.0247773847025685</v>
      </c>
    </row>
    <row r="1118" spans="1:13" x14ac:dyDescent="0.25">
      <c r="A1118" s="2">
        <f t="shared" si="35"/>
        <v>1113</v>
      </c>
      <c r="B1118" s="2">
        <v>52825</v>
      </c>
      <c r="C1118" s="2" t="s">
        <v>3624</v>
      </c>
      <c r="D1118" s="14" t="s">
        <v>1111</v>
      </c>
      <c r="E1118" s="14">
        <v>0.89707429999999988</v>
      </c>
      <c r="F1118" s="14">
        <v>0</v>
      </c>
      <c r="G1118" s="14">
        <v>0.89707429999999988</v>
      </c>
      <c r="H1118" s="16">
        <v>140.9899834</v>
      </c>
      <c r="I1118" s="16">
        <v>129.56093490000001</v>
      </c>
      <c r="J1118" s="3" t="s">
        <v>5011</v>
      </c>
      <c r="K1118" s="16">
        <v>1027.3573960791998</v>
      </c>
      <c r="L1118" s="16">
        <v>192.02351859999999</v>
      </c>
      <c r="M1118" s="16">
        <f t="shared" si="34"/>
        <v>1.3619656798966613</v>
      </c>
    </row>
    <row r="1119" spans="1:13" x14ac:dyDescent="0.25">
      <c r="A1119" s="2">
        <f t="shared" si="35"/>
        <v>1114</v>
      </c>
      <c r="B1119" s="2">
        <v>52828</v>
      </c>
      <c r="C1119" s="2" t="s">
        <v>3625</v>
      </c>
      <c r="D1119" s="14" t="s">
        <v>1112</v>
      </c>
      <c r="E1119" s="14">
        <v>0</v>
      </c>
      <c r="F1119" s="14">
        <v>0</v>
      </c>
      <c r="G1119" s="14">
        <v>0</v>
      </c>
      <c r="H1119" s="16">
        <v>0</v>
      </c>
      <c r="I1119" s="16">
        <v>0</v>
      </c>
      <c r="J1119" s="3" t="s">
        <v>5011</v>
      </c>
      <c r="K1119" s="16">
        <v>0</v>
      </c>
      <c r="L1119" s="16">
        <v>0</v>
      </c>
      <c r="M1119" s="16">
        <v>0</v>
      </c>
    </row>
    <row r="1120" spans="1:13" x14ac:dyDescent="0.25">
      <c r="A1120" s="2">
        <f t="shared" si="35"/>
        <v>1115</v>
      </c>
      <c r="B1120" s="2">
        <v>52872</v>
      </c>
      <c r="C1120" s="2" t="s">
        <v>3626</v>
      </c>
      <c r="D1120" s="14" t="s">
        <v>1113</v>
      </c>
      <c r="E1120" s="14">
        <v>2.4628299999999999E-2</v>
      </c>
      <c r="F1120" s="14">
        <v>0</v>
      </c>
      <c r="G1120" s="14">
        <v>2.4628299999999999E-2</v>
      </c>
      <c r="H1120" s="16">
        <v>1.9999</v>
      </c>
      <c r="I1120" s="16">
        <v>0.73257169999999994</v>
      </c>
      <c r="J1120" s="3" t="s">
        <v>5011</v>
      </c>
      <c r="K1120" s="16">
        <v>48.099673358699995</v>
      </c>
      <c r="L1120" s="16">
        <v>6.0479475000000003</v>
      </c>
      <c r="M1120" s="16">
        <f t="shared" si="34"/>
        <v>3.0241249562478125</v>
      </c>
    </row>
    <row r="1121" spans="1:13" x14ac:dyDescent="0.25">
      <c r="A1121" s="2">
        <f t="shared" si="35"/>
        <v>1116</v>
      </c>
      <c r="B1121" s="2">
        <v>52880</v>
      </c>
      <c r="C1121" s="2" t="s">
        <v>3627</v>
      </c>
      <c r="D1121" s="14" t="s">
        <v>1114</v>
      </c>
      <c r="E1121" s="14">
        <v>0</v>
      </c>
      <c r="F1121" s="14">
        <v>0</v>
      </c>
      <c r="G1121" s="14">
        <v>0</v>
      </c>
      <c r="H1121" s="16">
        <v>0</v>
      </c>
      <c r="I1121" s="16">
        <v>0</v>
      </c>
      <c r="J1121" s="3" t="s">
        <v>5011</v>
      </c>
      <c r="K1121" s="16">
        <v>0</v>
      </c>
      <c r="L1121" s="16">
        <v>0</v>
      </c>
      <c r="M1121" s="16">
        <v>0</v>
      </c>
    </row>
    <row r="1122" spans="1:13" x14ac:dyDescent="0.25">
      <c r="A1122" s="2">
        <f t="shared" si="35"/>
        <v>1117</v>
      </c>
      <c r="B1122" s="2">
        <v>52894</v>
      </c>
      <c r="C1122" s="2" t="s">
        <v>3628</v>
      </c>
      <c r="D1122" s="14" t="s">
        <v>1115</v>
      </c>
      <c r="E1122" s="14">
        <v>0.43584630000000002</v>
      </c>
      <c r="F1122" s="14">
        <v>0</v>
      </c>
      <c r="G1122" s="14">
        <v>0.43584630000000002</v>
      </c>
      <c r="H1122" s="16">
        <v>41.886052499999998</v>
      </c>
      <c r="I1122" s="16">
        <v>29.468958200000003</v>
      </c>
      <c r="J1122" s="3" t="s">
        <v>5011</v>
      </c>
      <c r="K1122" s="16">
        <v>481.95126728959997</v>
      </c>
      <c r="L1122" s="16">
        <v>69.002215399999997</v>
      </c>
      <c r="M1122" s="16">
        <f t="shared" si="34"/>
        <v>1.6473792893230987</v>
      </c>
    </row>
    <row r="1123" spans="1:13" x14ac:dyDescent="0.25">
      <c r="A1123" s="2">
        <f t="shared" si="35"/>
        <v>1118</v>
      </c>
      <c r="B1123" s="2">
        <v>52902</v>
      </c>
      <c r="C1123" s="2" t="s">
        <v>3629</v>
      </c>
      <c r="D1123" s="14" t="s">
        <v>1116</v>
      </c>
      <c r="E1123" s="14">
        <v>0.18742980000000001</v>
      </c>
      <c r="F1123" s="14">
        <v>0</v>
      </c>
      <c r="G1123" s="14">
        <v>0.18742980000000001</v>
      </c>
      <c r="H1123" s="16">
        <v>44.9908207</v>
      </c>
      <c r="I1123" s="16">
        <v>24.980261100000003</v>
      </c>
      <c r="J1123" s="3" t="s">
        <v>5011</v>
      </c>
      <c r="K1123" s="16">
        <v>300.3684011432</v>
      </c>
      <c r="L1123" s="16">
        <v>46.387662599999999</v>
      </c>
      <c r="M1123" s="16">
        <f t="shared" si="34"/>
        <v>1.0310472642700648</v>
      </c>
    </row>
    <row r="1124" spans="1:13" x14ac:dyDescent="0.25">
      <c r="A1124" s="2">
        <f t="shared" si="35"/>
        <v>1119</v>
      </c>
      <c r="B1124" s="2">
        <v>52940</v>
      </c>
      <c r="C1124" s="2" t="s">
        <v>3630</v>
      </c>
      <c r="D1124" s="14" t="s">
        <v>1117</v>
      </c>
      <c r="E1124" s="14">
        <v>0</v>
      </c>
      <c r="F1124" s="14">
        <v>0</v>
      </c>
      <c r="G1124" s="14">
        <v>0</v>
      </c>
      <c r="H1124" s="16">
        <v>0</v>
      </c>
      <c r="I1124" s="16">
        <v>0</v>
      </c>
      <c r="J1124" s="3" t="s">
        <v>5011</v>
      </c>
      <c r="K1124" s="16">
        <v>0</v>
      </c>
      <c r="L1124" s="16">
        <v>0</v>
      </c>
      <c r="M1124" s="16">
        <v>0</v>
      </c>
    </row>
    <row r="1125" spans="1:13" x14ac:dyDescent="0.25">
      <c r="A1125" s="2">
        <f t="shared" si="35"/>
        <v>1120</v>
      </c>
      <c r="B1125" s="2">
        <v>52978</v>
      </c>
      <c r="C1125" s="2" t="s">
        <v>3631</v>
      </c>
      <c r="D1125" s="14" t="s">
        <v>1118</v>
      </c>
      <c r="E1125" s="14">
        <v>3.7205613</v>
      </c>
      <c r="F1125" s="14">
        <v>0</v>
      </c>
      <c r="G1125" s="14">
        <v>3.7205613</v>
      </c>
      <c r="H1125" s="16">
        <v>230.4017671</v>
      </c>
      <c r="I1125" s="16">
        <v>162.28554019999999</v>
      </c>
      <c r="J1125" s="3" t="s">
        <v>5011</v>
      </c>
      <c r="K1125" s="16">
        <v>4331.2717997162999</v>
      </c>
      <c r="L1125" s="16">
        <v>492.90200140000002</v>
      </c>
      <c r="M1125" s="16">
        <f t="shared" si="34"/>
        <v>2.1393151953824576</v>
      </c>
    </row>
    <row r="1126" spans="1:13" x14ac:dyDescent="0.25">
      <c r="A1126" s="2">
        <f t="shared" si="35"/>
        <v>1121</v>
      </c>
      <c r="B1126" s="2">
        <v>53155</v>
      </c>
      <c r="C1126" s="2" t="s">
        <v>3632</v>
      </c>
      <c r="D1126" s="14" t="s">
        <v>1119</v>
      </c>
      <c r="E1126" s="14">
        <v>0.1661455</v>
      </c>
      <c r="F1126" s="14">
        <v>0</v>
      </c>
      <c r="G1126" s="14">
        <v>0.1661455</v>
      </c>
      <c r="H1126" s="16">
        <v>10.958151699999998</v>
      </c>
      <c r="I1126" s="16">
        <v>3.3313110999999989</v>
      </c>
      <c r="J1126" s="3" t="s">
        <v>5011</v>
      </c>
      <c r="K1126" s="16">
        <v>194.5534762762</v>
      </c>
      <c r="L1126" s="16">
        <v>24.286048399999999</v>
      </c>
      <c r="M1126" s="16">
        <f t="shared" si="34"/>
        <v>2.2162540786873759</v>
      </c>
    </row>
    <row r="1127" spans="1:13" x14ac:dyDescent="0.25">
      <c r="A1127" s="2">
        <f t="shared" si="35"/>
        <v>1122</v>
      </c>
      <c r="B1127" s="2">
        <v>53238</v>
      </c>
      <c r="C1127" s="2" t="s">
        <v>3633</v>
      </c>
      <c r="D1127" s="14" t="s">
        <v>1120</v>
      </c>
      <c r="E1127" s="14">
        <v>4.2998715999999995</v>
      </c>
      <c r="F1127" s="14">
        <v>0</v>
      </c>
      <c r="G1127" s="14">
        <v>4.2998715999999995</v>
      </c>
      <c r="H1127" s="16">
        <v>56.522228800000001</v>
      </c>
      <c r="I1127" s="16">
        <v>37.889476999999999</v>
      </c>
      <c r="J1127" s="3" t="s">
        <v>5011</v>
      </c>
      <c r="K1127" s="16">
        <v>3555.6307425683008</v>
      </c>
      <c r="L1127" s="16">
        <v>377.19045990000001</v>
      </c>
      <c r="M1127" s="16">
        <f t="shared" si="34"/>
        <v>6.6733118616865301</v>
      </c>
    </row>
    <row r="1128" spans="1:13" x14ac:dyDescent="0.25">
      <c r="A1128" s="2">
        <f t="shared" si="35"/>
        <v>1123</v>
      </c>
      <c r="B1128" s="2">
        <v>53308</v>
      </c>
      <c r="C1128" s="2" t="s">
        <v>3634</v>
      </c>
      <c r="D1128" s="14" t="s">
        <v>1121</v>
      </c>
      <c r="E1128" s="14">
        <v>0</v>
      </c>
      <c r="F1128" s="14">
        <v>0</v>
      </c>
      <c r="G1128" s="14">
        <v>0</v>
      </c>
      <c r="H1128" s="16">
        <v>0</v>
      </c>
      <c r="I1128" s="16">
        <v>0</v>
      </c>
      <c r="J1128" s="3" t="s">
        <v>5011</v>
      </c>
      <c r="K1128" s="16">
        <v>0</v>
      </c>
      <c r="L1128" s="16">
        <v>0</v>
      </c>
      <c r="M1128" s="16">
        <v>0</v>
      </c>
    </row>
    <row r="1129" spans="1:13" x14ac:dyDescent="0.25">
      <c r="A1129" s="2">
        <f t="shared" si="35"/>
        <v>1124</v>
      </c>
      <c r="B1129" s="2">
        <v>53321</v>
      </c>
      <c r="C1129" s="2" t="s">
        <v>3635</v>
      </c>
      <c r="D1129" s="14" t="s">
        <v>1122</v>
      </c>
      <c r="E1129" s="14">
        <v>0</v>
      </c>
      <c r="F1129" s="14">
        <v>0</v>
      </c>
      <c r="G1129" s="14">
        <v>0</v>
      </c>
      <c r="H1129" s="16">
        <v>0</v>
      </c>
      <c r="I1129" s="16">
        <v>0</v>
      </c>
      <c r="J1129" s="3" t="s">
        <v>5011</v>
      </c>
      <c r="K1129" s="16">
        <v>0</v>
      </c>
      <c r="L1129" s="16">
        <v>0</v>
      </c>
      <c r="M1129" s="16">
        <v>0</v>
      </c>
    </row>
    <row r="1130" spans="1:13" x14ac:dyDescent="0.25">
      <c r="A1130" s="2">
        <f t="shared" si="35"/>
        <v>1125</v>
      </c>
      <c r="B1130" s="2">
        <v>53378</v>
      </c>
      <c r="C1130" s="2" t="s">
        <v>3636</v>
      </c>
      <c r="D1130" s="14" t="s">
        <v>1123</v>
      </c>
      <c r="E1130" s="14">
        <v>58.696272700000002</v>
      </c>
      <c r="F1130" s="14">
        <v>0</v>
      </c>
      <c r="G1130" s="14">
        <v>58.696272700000002</v>
      </c>
      <c r="H1130" s="16">
        <v>3806.4056737999999</v>
      </c>
      <c r="I1130" s="16">
        <v>1193.1807968000001</v>
      </c>
      <c r="J1130" s="3" t="s">
        <v>5011</v>
      </c>
      <c r="K1130" s="16">
        <v>46972.094377645197</v>
      </c>
      <c r="L1130" s="16">
        <v>5661.3340544000002</v>
      </c>
      <c r="M1130" s="16">
        <f t="shared" si="34"/>
        <v>1.4873175745212133</v>
      </c>
    </row>
    <row r="1131" spans="1:13" x14ac:dyDescent="0.25">
      <c r="A1131" s="2">
        <f t="shared" si="35"/>
        <v>1126</v>
      </c>
      <c r="B1131" s="2">
        <v>53437</v>
      </c>
      <c r="C1131" s="2" t="s">
        <v>3637</v>
      </c>
      <c r="D1131" s="14" t="s">
        <v>1124</v>
      </c>
      <c r="E1131" s="14">
        <v>1.1006238000000002</v>
      </c>
      <c r="F1131" s="14">
        <v>0</v>
      </c>
      <c r="G1131" s="14">
        <v>1.1006238000000002</v>
      </c>
      <c r="H1131" s="16">
        <v>251.04168140000002</v>
      </c>
      <c r="I1131" s="16">
        <v>231.3174502</v>
      </c>
      <c r="J1131" s="3" t="s">
        <v>5011</v>
      </c>
      <c r="K1131" s="16">
        <v>1550.0552627935001</v>
      </c>
      <c r="L1131" s="16">
        <v>285.89573910000001</v>
      </c>
      <c r="M1131" s="16">
        <f t="shared" si="34"/>
        <v>1.1388377320675482</v>
      </c>
    </row>
    <row r="1132" spans="1:13" x14ac:dyDescent="0.25">
      <c r="A1132" s="2">
        <f t="shared" si="35"/>
        <v>1127</v>
      </c>
      <c r="B1132" s="2">
        <v>53452</v>
      </c>
      <c r="C1132" s="2" t="s">
        <v>3638</v>
      </c>
      <c r="D1132" s="14" t="s">
        <v>1125</v>
      </c>
      <c r="E1132" s="14">
        <v>0</v>
      </c>
      <c r="F1132" s="14">
        <v>0</v>
      </c>
      <c r="G1132" s="14">
        <v>0</v>
      </c>
      <c r="H1132" s="16">
        <v>0</v>
      </c>
      <c r="I1132" s="16">
        <v>0</v>
      </c>
      <c r="J1132" s="3" t="s">
        <v>5011</v>
      </c>
      <c r="K1132" s="16">
        <v>0</v>
      </c>
      <c r="L1132" s="16">
        <v>0</v>
      </c>
      <c r="M1132" s="16">
        <v>0</v>
      </c>
    </row>
    <row r="1133" spans="1:13" x14ac:dyDescent="0.25">
      <c r="A1133" s="2">
        <f t="shared" si="35"/>
        <v>1128</v>
      </c>
      <c r="B1133" s="2">
        <v>53552</v>
      </c>
      <c r="C1133" s="2" t="s">
        <v>3639</v>
      </c>
      <c r="D1133" s="14" t="s">
        <v>1126</v>
      </c>
      <c r="E1133" s="14">
        <v>0</v>
      </c>
      <c r="F1133" s="14">
        <v>0</v>
      </c>
      <c r="G1133" s="14">
        <v>0</v>
      </c>
      <c r="H1133" s="16">
        <v>0</v>
      </c>
      <c r="I1133" s="16">
        <v>0</v>
      </c>
      <c r="J1133" s="3" t="s">
        <v>5011</v>
      </c>
      <c r="K1133" s="16">
        <v>0</v>
      </c>
      <c r="L1133" s="16">
        <v>0</v>
      </c>
      <c r="M1133" s="16">
        <v>0</v>
      </c>
    </row>
    <row r="1134" spans="1:13" x14ac:dyDescent="0.25">
      <c r="A1134" s="2">
        <f t="shared" si="35"/>
        <v>1129</v>
      </c>
      <c r="B1134" s="2">
        <v>53588</v>
      </c>
      <c r="C1134" s="2" t="s">
        <v>3640</v>
      </c>
      <c r="D1134" s="14" t="s">
        <v>1127</v>
      </c>
      <c r="E1134" s="14">
        <v>0.41461350000000008</v>
      </c>
      <c r="F1134" s="14">
        <v>0</v>
      </c>
      <c r="G1134" s="14">
        <v>0.41461350000000008</v>
      </c>
      <c r="H1134" s="16">
        <v>63.957448600000006</v>
      </c>
      <c r="I1134" s="16">
        <v>63.957448600000006</v>
      </c>
      <c r="J1134" s="3" t="s">
        <v>5011</v>
      </c>
      <c r="K1134" s="16">
        <v>488.06580719109996</v>
      </c>
      <c r="L1134" s="16">
        <v>88.737168300000008</v>
      </c>
      <c r="M1134" s="16">
        <f t="shared" si="34"/>
        <v>1.3874407163265108</v>
      </c>
    </row>
    <row r="1135" spans="1:13" x14ac:dyDescent="0.25">
      <c r="A1135" s="2">
        <f t="shared" si="35"/>
        <v>1130</v>
      </c>
      <c r="B1135" s="2">
        <v>53670</v>
      </c>
      <c r="C1135" s="2" t="s">
        <v>3641</v>
      </c>
      <c r="D1135" s="14" t="s">
        <v>1128</v>
      </c>
      <c r="E1135" s="14">
        <v>5.12332E-2</v>
      </c>
      <c r="F1135" s="14">
        <v>0</v>
      </c>
      <c r="G1135" s="14">
        <v>5.12332E-2</v>
      </c>
      <c r="H1135" s="16">
        <v>4.0697979999999996</v>
      </c>
      <c r="I1135" s="16">
        <v>3.9998658000000002</v>
      </c>
      <c r="J1135" s="3" t="s">
        <v>5011</v>
      </c>
      <c r="K1135" s="16">
        <v>74.3724304932</v>
      </c>
      <c r="L1135" s="16">
        <v>10.221774399999999</v>
      </c>
      <c r="M1135" s="16">
        <f t="shared" si="34"/>
        <v>2.5116171367718989</v>
      </c>
    </row>
    <row r="1136" spans="1:13" x14ac:dyDescent="0.25">
      <c r="A1136" s="2">
        <f t="shared" si="35"/>
        <v>1131</v>
      </c>
      <c r="B1136" s="2">
        <v>53956</v>
      </c>
      <c r="C1136" s="2" t="s">
        <v>3642</v>
      </c>
      <c r="D1136" s="14" t="s">
        <v>1129</v>
      </c>
      <c r="E1136" s="14">
        <v>0</v>
      </c>
      <c r="F1136" s="14">
        <v>0</v>
      </c>
      <c r="G1136" s="14">
        <v>0</v>
      </c>
      <c r="H1136" s="16">
        <v>1.9999</v>
      </c>
      <c r="I1136" s="16">
        <v>1.9999</v>
      </c>
      <c r="J1136" s="3" t="s">
        <v>5011</v>
      </c>
      <c r="K1136" s="16">
        <v>338.65025729580003</v>
      </c>
      <c r="L1136" s="16">
        <v>36.000006299999995</v>
      </c>
      <c r="M1136" s="16">
        <f t="shared" si="34"/>
        <v>18.000903195159754</v>
      </c>
    </row>
    <row r="1137" spans="1:13" x14ac:dyDescent="0.25">
      <c r="A1137" s="2">
        <f t="shared" si="35"/>
        <v>1132</v>
      </c>
      <c r="B1137" s="2">
        <v>54047</v>
      </c>
      <c r="C1137" s="2" t="s">
        <v>3643</v>
      </c>
      <c r="D1137" s="14" t="s">
        <v>1130</v>
      </c>
      <c r="E1137" s="14">
        <v>0</v>
      </c>
      <c r="F1137" s="14">
        <v>0</v>
      </c>
      <c r="G1137" s="14">
        <v>0</v>
      </c>
      <c r="H1137" s="16">
        <v>0</v>
      </c>
      <c r="I1137" s="16">
        <v>0</v>
      </c>
      <c r="J1137" s="3" t="s">
        <v>5011</v>
      </c>
      <c r="K1137" s="16">
        <v>0</v>
      </c>
      <c r="L1137" s="16">
        <v>0</v>
      </c>
      <c r="M1137" s="16">
        <v>0</v>
      </c>
    </row>
    <row r="1138" spans="1:13" x14ac:dyDescent="0.25">
      <c r="A1138" s="2">
        <f t="shared" si="35"/>
        <v>1133</v>
      </c>
      <c r="B1138" s="2">
        <v>54164</v>
      </c>
      <c r="C1138" s="2" t="s">
        <v>3644</v>
      </c>
      <c r="D1138" s="14" t="s">
        <v>1131</v>
      </c>
      <c r="E1138" s="14">
        <v>0</v>
      </c>
      <c r="F1138" s="14">
        <v>0</v>
      </c>
      <c r="G1138" s="14">
        <v>0</v>
      </c>
      <c r="H1138" s="16">
        <v>0</v>
      </c>
      <c r="I1138" s="16">
        <v>0</v>
      </c>
      <c r="J1138" s="3" t="s">
        <v>5011</v>
      </c>
      <c r="K1138" s="16">
        <v>0</v>
      </c>
      <c r="L1138" s="16">
        <v>0</v>
      </c>
      <c r="M1138" s="16">
        <v>0</v>
      </c>
    </row>
    <row r="1139" spans="1:13" x14ac:dyDescent="0.25">
      <c r="A1139" s="2">
        <f t="shared" si="35"/>
        <v>1134</v>
      </c>
      <c r="B1139" s="2">
        <v>54387</v>
      </c>
      <c r="C1139" s="2" t="s">
        <v>3645</v>
      </c>
      <c r="D1139" s="14" t="s">
        <v>1132</v>
      </c>
      <c r="E1139" s="14">
        <v>1.4485200000000002E-2</v>
      </c>
      <c r="F1139" s="14">
        <v>0</v>
      </c>
      <c r="G1139" s="14">
        <v>1.4485200000000002E-2</v>
      </c>
      <c r="H1139" s="16">
        <v>1.499925</v>
      </c>
      <c r="I1139" s="16">
        <v>1.499925</v>
      </c>
      <c r="J1139" s="3" t="s">
        <v>5011</v>
      </c>
      <c r="K1139" s="16">
        <v>13.659098632299999</v>
      </c>
      <c r="L1139" s="16">
        <v>2.1024598999999999</v>
      </c>
      <c r="M1139" s="16">
        <f t="shared" si="34"/>
        <v>1.401710018834275</v>
      </c>
    </row>
    <row r="1140" spans="1:13" x14ac:dyDescent="0.25">
      <c r="A1140" s="2">
        <f t="shared" si="35"/>
        <v>1135</v>
      </c>
      <c r="B1140" s="2">
        <v>54495</v>
      </c>
      <c r="C1140" s="2" t="s">
        <v>3646</v>
      </c>
      <c r="D1140" s="14" t="s">
        <v>1133</v>
      </c>
      <c r="E1140" s="14">
        <v>0</v>
      </c>
      <c r="F1140" s="14">
        <v>0</v>
      </c>
      <c r="G1140" s="14">
        <v>0</v>
      </c>
      <c r="H1140" s="16">
        <v>0</v>
      </c>
      <c r="I1140" s="16">
        <v>0</v>
      </c>
      <c r="J1140" s="3" t="s">
        <v>5011</v>
      </c>
      <c r="K1140" s="16">
        <v>0</v>
      </c>
      <c r="L1140" s="16">
        <v>0</v>
      </c>
      <c r="M1140" s="16">
        <v>0</v>
      </c>
    </row>
    <row r="1141" spans="1:13" x14ac:dyDescent="0.25">
      <c r="A1141" s="2">
        <f t="shared" si="35"/>
        <v>1136</v>
      </c>
      <c r="B1141" s="2">
        <v>54504</v>
      </c>
      <c r="C1141" s="2" t="s">
        <v>3647</v>
      </c>
      <c r="D1141" s="14" t="s">
        <v>1134</v>
      </c>
      <c r="E1141" s="14">
        <v>6.6878010999999988</v>
      </c>
      <c r="F1141" s="14">
        <v>0</v>
      </c>
      <c r="G1141" s="14">
        <v>6.6878010999999988</v>
      </c>
      <c r="H1141" s="16">
        <v>195.53573839999999</v>
      </c>
      <c r="I1141" s="16">
        <v>160.79195110000001</v>
      </c>
      <c r="J1141" s="3" t="s">
        <v>5011</v>
      </c>
      <c r="K1141" s="16">
        <v>5216.6235533667987</v>
      </c>
      <c r="L1141" s="16">
        <v>619.77580710000007</v>
      </c>
      <c r="M1141" s="16">
        <f t="shared" si="34"/>
        <v>3.1696293075189579</v>
      </c>
    </row>
    <row r="1142" spans="1:13" x14ac:dyDescent="0.25">
      <c r="A1142" s="2">
        <f t="shared" si="35"/>
        <v>1137</v>
      </c>
      <c r="B1142" s="2">
        <v>54840</v>
      </c>
      <c r="C1142" s="2" t="s">
        <v>3648</v>
      </c>
      <c r="D1142" s="14" t="s">
        <v>1135</v>
      </c>
      <c r="E1142" s="14">
        <v>0</v>
      </c>
      <c r="F1142" s="14">
        <v>0</v>
      </c>
      <c r="G1142" s="14">
        <v>0</v>
      </c>
      <c r="H1142" s="16">
        <v>0</v>
      </c>
      <c r="I1142" s="16">
        <v>0</v>
      </c>
      <c r="J1142" s="3" t="s">
        <v>5011</v>
      </c>
      <c r="K1142" s="16">
        <v>0</v>
      </c>
      <c r="L1142" s="16">
        <v>0</v>
      </c>
      <c r="M1142" s="16">
        <v>0</v>
      </c>
    </row>
    <row r="1143" spans="1:13" x14ac:dyDescent="0.25">
      <c r="A1143" s="2">
        <f t="shared" si="35"/>
        <v>1138</v>
      </c>
      <c r="B1143" s="2">
        <v>54846</v>
      </c>
      <c r="C1143" s="2" t="s">
        <v>3649</v>
      </c>
      <c r="D1143" s="14" t="s">
        <v>1136</v>
      </c>
      <c r="E1143" s="14">
        <v>0</v>
      </c>
      <c r="F1143" s="14">
        <v>0</v>
      </c>
      <c r="G1143" s="14">
        <v>0</v>
      </c>
      <c r="H1143" s="16">
        <v>0</v>
      </c>
      <c r="I1143" s="16">
        <v>0</v>
      </c>
      <c r="J1143" s="3" t="s">
        <v>5011</v>
      </c>
      <c r="K1143" s="16">
        <v>0</v>
      </c>
      <c r="L1143" s="16">
        <v>0</v>
      </c>
      <c r="M1143" s="16">
        <v>0</v>
      </c>
    </row>
    <row r="1144" spans="1:13" x14ac:dyDescent="0.25">
      <c r="A1144" s="2">
        <f t="shared" si="35"/>
        <v>1139</v>
      </c>
      <c r="B1144" s="2">
        <v>55274</v>
      </c>
      <c r="C1144" s="2" t="s">
        <v>3650</v>
      </c>
      <c r="D1144" s="14" t="s">
        <v>1137</v>
      </c>
      <c r="E1144" s="14">
        <v>2.0687000000000001E-3</v>
      </c>
      <c r="F1144" s="14">
        <v>0</v>
      </c>
      <c r="G1144" s="14">
        <v>2.0687000000000001E-3</v>
      </c>
      <c r="H1144" s="16">
        <v>109.44452769999999</v>
      </c>
      <c r="I1144" s="16">
        <v>84.244527699999992</v>
      </c>
      <c r="J1144" s="3" t="s">
        <v>5011</v>
      </c>
      <c r="K1144" s="16">
        <v>100.5860757554</v>
      </c>
      <c r="L1144" s="16">
        <v>85.3724749</v>
      </c>
      <c r="M1144" s="16">
        <f t="shared" si="34"/>
        <v>0.78005247675805001</v>
      </c>
    </row>
    <row r="1145" spans="1:13" x14ac:dyDescent="0.25">
      <c r="A1145" s="2">
        <f t="shared" si="35"/>
        <v>1140</v>
      </c>
      <c r="B1145" s="2">
        <v>55275</v>
      </c>
      <c r="C1145" s="2" t="s">
        <v>3651</v>
      </c>
      <c r="D1145" s="14" t="s">
        <v>1138</v>
      </c>
      <c r="E1145" s="14">
        <v>1.7022200000000001E-2</v>
      </c>
      <c r="F1145" s="14">
        <v>0</v>
      </c>
      <c r="G1145" s="14">
        <v>1.7022200000000001E-2</v>
      </c>
      <c r="H1145" s="16">
        <v>51.470157199999996</v>
      </c>
      <c r="I1145" s="16">
        <v>47.662426499999995</v>
      </c>
      <c r="J1145" s="3" t="s">
        <v>5011</v>
      </c>
      <c r="K1145" s="16">
        <v>74.822546935199995</v>
      </c>
      <c r="L1145" s="16">
        <v>49.3352316</v>
      </c>
      <c r="M1145" s="16">
        <f t="shared" si="34"/>
        <v>0.95852109812479847</v>
      </c>
    </row>
    <row r="1146" spans="1:13" x14ac:dyDescent="0.25">
      <c r="A1146" s="2">
        <f t="shared" si="35"/>
        <v>1141</v>
      </c>
      <c r="B1146" s="2">
        <v>55372</v>
      </c>
      <c r="C1146" s="2" t="s">
        <v>3652</v>
      </c>
      <c r="D1146" s="14" t="s">
        <v>1139</v>
      </c>
      <c r="E1146" s="14">
        <v>0.26564959999999999</v>
      </c>
      <c r="F1146" s="14">
        <v>0</v>
      </c>
      <c r="G1146" s="14">
        <v>0.26564959999999999</v>
      </c>
      <c r="H1146" s="16">
        <v>152.12019560000002</v>
      </c>
      <c r="I1146" s="16">
        <v>125.5223943</v>
      </c>
      <c r="J1146" s="3" t="s">
        <v>5011</v>
      </c>
      <c r="K1146" s="16">
        <v>474.71267777470001</v>
      </c>
      <c r="L1146" s="16">
        <v>153.9437691</v>
      </c>
      <c r="M1146" s="16">
        <f t="shared" si="34"/>
        <v>1.0119877146673875</v>
      </c>
    </row>
    <row r="1147" spans="1:13" x14ac:dyDescent="0.25">
      <c r="A1147" s="2">
        <f t="shared" si="35"/>
        <v>1142</v>
      </c>
      <c r="B1147" s="2">
        <v>55374</v>
      </c>
      <c r="C1147" s="2" t="s">
        <v>3653</v>
      </c>
      <c r="D1147" s="14" t="s">
        <v>1140</v>
      </c>
      <c r="E1147" s="14">
        <v>1.4005500000000002E-2</v>
      </c>
      <c r="F1147" s="14">
        <v>0</v>
      </c>
      <c r="G1147" s="14">
        <v>1.4005500000000002E-2</v>
      </c>
      <c r="H1147" s="16">
        <v>19.129044199999999</v>
      </c>
      <c r="I1147" s="16">
        <v>18.5483361</v>
      </c>
      <c r="J1147" s="3" t="s">
        <v>5011</v>
      </c>
      <c r="K1147" s="16">
        <v>46.496197268800003</v>
      </c>
      <c r="L1147" s="16">
        <v>19.769326200000002</v>
      </c>
      <c r="M1147" s="16">
        <f t="shared" si="34"/>
        <v>1.0334717194077059</v>
      </c>
    </row>
    <row r="1148" spans="1:13" x14ac:dyDescent="0.25">
      <c r="A1148" s="2">
        <f t="shared" si="35"/>
        <v>1143</v>
      </c>
      <c r="B1148" s="2">
        <v>55500</v>
      </c>
      <c r="C1148" s="2" t="s">
        <v>3654</v>
      </c>
      <c r="D1148" s="14" t="s">
        <v>1141</v>
      </c>
      <c r="E1148" s="14">
        <v>0</v>
      </c>
      <c r="F1148" s="14">
        <v>0</v>
      </c>
      <c r="G1148" s="14">
        <v>0</v>
      </c>
      <c r="H1148" s="16">
        <v>0</v>
      </c>
      <c r="I1148" s="16">
        <v>0</v>
      </c>
      <c r="J1148" s="3" t="s">
        <v>5011</v>
      </c>
      <c r="K1148" s="16">
        <v>0</v>
      </c>
      <c r="L1148" s="16">
        <v>0</v>
      </c>
      <c r="M1148" s="16">
        <v>0</v>
      </c>
    </row>
    <row r="1149" spans="1:13" x14ac:dyDescent="0.25">
      <c r="A1149" s="2">
        <f t="shared" si="35"/>
        <v>1144</v>
      </c>
      <c r="B1149" s="2">
        <v>55743</v>
      </c>
      <c r="C1149" s="2" t="s">
        <v>3655</v>
      </c>
      <c r="D1149" s="14" t="s">
        <v>1142</v>
      </c>
      <c r="E1149" s="14">
        <v>1.4326199000000002</v>
      </c>
      <c r="F1149" s="14">
        <v>0</v>
      </c>
      <c r="G1149" s="14">
        <v>1.4326199000000002</v>
      </c>
      <c r="H1149" s="16">
        <v>124.29470480000001</v>
      </c>
      <c r="I1149" s="16">
        <v>29.520643499999995</v>
      </c>
      <c r="J1149" s="3" t="s">
        <v>5011</v>
      </c>
      <c r="K1149" s="16">
        <v>1414.6345326525998</v>
      </c>
      <c r="L1149" s="16">
        <v>144.2905983</v>
      </c>
      <c r="M1149" s="16">
        <f t="shared" si="34"/>
        <v>1.1608748621445697</v>
      </c>
    </row>
    <row r="1150" spans="1:13" x14ac:dyDescent="0.25">
      <c r="A1150" s="2">
        <f t="shared" si="35"/>
        <v>1145</v>
      </c>
      <c r="B1150" s="2">
        <v>55918</v>
      </c>
      <c r="C1150" s="2" t="s">
        <v>3656</v>
      </c>
      <c r="D1150" s="14" t="s">
        <v>1143</v>
      </c>
      <c r="E1150" s="14">
        <v>4.0976444000000001</v>
      </c>
      <c r="F1150" s="14">
        <v>0</v>
      </c>
      <c r="G1150" s="14">
        <v>4.0976444000000001</v>
      </c>
      <c r="H1150" s="16">
        <v>275.73015459999999</v>
      </c>
      <c r="I1150" s="16">
        <v>252.60558060000002</v>
      </c>
      <c r="J1150" s="3" t="s">
        <v>5011</v>
      </c>
      <c r="K1150" s="16">
        <v>3407.7003660260993</v>
      </c>
      <c r="L1150" s="16">
        <v>502.3616432</v>
      </c>
      <c r="M1150" s="16">
        <f t="shared" si="34"/>
        <v>1.8219321855775001</v>
      </c>
    </row>
    <row r="1151" spans="1:13" x14ac:dyDescent="0.25">
      <c r="A1151" s="2">
        <f t="shared" si="35"/>
        <v>1146</v>
      </c>
      <c r="B1151" s="2">
        <v>56003</v>
      </c>
      <c r="C1151" s="2" t="s">
        <v>3657</v>
      </c>
      <c r="D1151" s="14" t="s">
        <v>1144</v>
      </c>
      <c r="E1151" s="14">
        <v>0</v>
      </c>
      <c r="F1151" s="14">
        <v>0</v>
      </c>
      <c r="G1151" s="14">
        <v>0</v>
      </c>
      <c r="H1151" s="16">
        <v>0</v>
      </c>
      <c r="I1151" s="16">
        <v>0</v>
      </c>
      <c r="J1151" s="3" t="s">
        <v>5011</v>
      </c>
      <c r="K1151" s="16">
        <v>0</v>
      </c>
      <c r="L1151" s="16">
        <v>0</v>
      </c>
      <c r="M1151" s="16">
        <v>0</v>
      </c>
    </row>
    <row r="1152" spans="1:13" x14ac:dyDescent="0.25">
      <c r="A1152" s="2">
        <f t="shared" si="35"/>
        <v>1147</v>
      </c>
      <c r="B1152" s="2">
        <v>56033</v>
      </c>
      <c r="C1152" s="2" t="s">
        <v>3658</v>
      </c>
      <c r="D1152" s="14" t="s">
        <v>1145</v>
      </c>
      <c r="E1152" s="14">
        <v>0.96663579999999982</v>
      </c>
      <c r="F1152" s="14">
        <v>0</v>
      </c>
      <c r="G1152" s="14">
        <v>0.96663579999999982</v>
      </c>
      <c r="H1152" s="16">
        <v>141.58292969999999</v>
      </c>
      <c r="I1152" s="16">
        <v>134.36788370000002</v>
      </c>
      <c r="J1152" s="3" t="s">
        <v>5011</v>
      </c>
      <c r="K1152" s="16">
        <v>912.83914636689997</v>
      </c>
      <c r="L1152" s="16">
        <v>199.28877589999999</v>
      </c>
      <c r="M1152" s="16">
        <f t="shared" si="34"/>
        <v>1.4075762969608898</v>
      </c>
    </row>
    <row r="1153" spans="1:13" x14ac:dyDescent="0.25">
      <c r="A1153" s="2">
        <f t="shared" si="35"/>
        <v>1148</v>
      </c>
      <c r="B1153" s="2">
        <v>56152</v>
      </c>
      <c r="C1153" s="2" t="s">
        <v>3659</v>
      </c>
      <c r="D1153" s="14" t="s">
        <v>1146</v>
      </c>
      <c r="E1153" s="14">
        <v>1.8506999999999998E-3</v>
      </c>
      <c r="F1153" s="14">
        <v>0</v>
      </c>
      <c r="G1153" s="14">
        <v>1.8506999999999998E-3</v>
      </c>
      <c r="H1153" s="16">
        <v>3.2498374999999999</v>
      </c>
      <c r="I1153" s="16">
        <v>3.2498374999999999</v>
      </c>
      <c r="J1153" s="3" t="s">
        <v>5011</v>
      </c>
      <c r="K1153" s="16">
        <v>5.2515490221999999</v>
      </c>
      <c r="L1153" s="16">
        <v>3.3398676000000003</v>
      </c>
      <c r="M1153" s="16">
        <f t="shared" si="34"/>
        <v>1.0277029543784884</v>
      </c>
    </row>
    <row r="1154" spans="1:13" x14ac:dyDescent="0.25">
      <c r="A1154" s="2">
        <f t="shared" si="35"/>
        <v>1149</v>
      </c>
      <c r="B1154" s="2">
        <v>56308</v>
      </c>
      <c r="C1154" s="2" t="s">
        <v>3660</v>
      </c>
      <c r="D1154" s="14" t="s">
        <v>1147</v>
      </c>
      <c r="E1154" s="14">
        <v>2.7699693999999999</v>
      </c>
      <c r="F1154" s="14">
        <v>0</v>
      </c>
      <c r="G1154" s="14">
        <v>2.7699693999999999</v>
      </c>
      <c r="H1154" s="16">
        <v>154.71433380000002</v>
      </c>
      <c r="I1154" s="16">
        <v>121.86472350000001</v>
      </c>
      <c r="J1154" s="3" t="s">
        <v>5011</v>
      </c>
      <c r="K1154" s="16">
        <v>2562.395585170801</v>
      </c>
      <c r="L1154" s="16">
        <v>329.97722370000002</v>
      </c>
      <c r="M1154" s="16">
        <f t="shared" si="34"/>
        <v>2.1328161107978736</v>
      </c>
    </row>
    <row r="1155" spans="1:13" x14ac:dyDescent="0.25">
      <c r="A1155" s="2">
        <f t="shared" si="35"/>
        <v>1150</v>
      </c>
      <c r="B1155" s="2">
        <v>56421</v>
      </c>
      <c r="C1155" s="2" t="s">
        <v>3661</v>
      </c>
      <c r="D1155" s="14" t="s">
        <v>1148</v>
      </c>
      <c r="E1155" s="14">
        <v>7.2029092999999991</v>
      </c>
      <c r="F1155" s="14">
        <v>0</v>
      </c>
      <c r="G1155" s="14">
        <v>7.2029092999999991</v>
      </c>
      <c r="H1155" s="16">
        <v>228.64886399999997</v>
      </c>
      <c r="I1155" s="16">
        <v>211.96244369999997</v>
      </c>
      <c r="J1155" s="3" t="s">
        <v>5011</v>
      </c>
      <c r="K1155" s="16">
        <v>6124.7055288987995</v>
      </c>
      <c r="L1155" s="16">
        <v>757.82555749999995</v>
      </c>
      <c r="M1155" s="16">
        <f t="shared" si="34"/>
        <v>3.314363973835444</v>
      </c>
    </row>
    <row r="1156" spans="1:13" x14ac:dyDescent="0.25">
      <c r="A1156" s="2">
        <f t="shared" si="35"/>
        <v>1151</v>
      </c>
      <c r="B1156" s="2">
        <v>56561</v>
      </c>
      <c r="C1156" s="2" t="s">
        <v>3662</v>
      </c>
      <c r="D1156" s="14" t="s">
        <v>1149</v>
      </c>
      <c r="E1156" s="14">
        <v>4.3228900000000001E-2</v>
      </c>
      <c r="F1156" s="14">
        <v>0</v>
      </c>
      <c r="G1156" s="14">
        <v>4.3228900000000001E-2</v>
      </c>
      <c r="H1156" s="16">
        <v>17.119144599999998</v>
      </c>
      <c r="I1156" s="16">
        <v>17.119144599999998</v>
      </c>
      <c r="J1156" s="3" t="s">
        <v>5011</v>
      </c>
      <c r="K1156" s="16">
        <v>70.023530939799997</v>
      </c>
      <c r="L1156" s="16">
        <v>20.8089768</v>
      </c>
      <c r="M1156" s="16">
        <f t="shared" si="34"/>
        <v>1.2155383511393438</v>
      </c>
    </row>
    <row r="1157" spans="1:13" x14ac:dyDescent="0.25">
      <c r="A1157" s="2">
        <f t="shared" si="35"/>
        <v>1152</v>
      </c>
      <c r="B1157" s="2">
        <v>56958</v>
      </c>
      <c r="C1157" s="2" t="s">
        <v>3663</v>
      </c>
      <c r="D1157" s="14" t="s">
        <v>1150</v>
      </c>
      <c r="E1157" s="14">
        <v>1.9917000000000003E-3</v>
      </c>
      <c r="F1157" s="14">
        <v>0</v>
      </c>
      <c r="G1157" s="14">
        <v>1.9917000000000003E-3</v>
      </c>
      <c r="H1157" s="16">
        <v>2.5148748000000003</v>
      </c>
      <c r="I1157" s="16">
        <v>2.5148748000000003</v>
      </c>
      <c r="J1157" s="3" t="s">
        <v>5011</v>
      </c>
      <c r="K1157" s="16">
        <v>26.602121330299997</v>
      </c>
      <c r="L1157" s="16">
        <v>4.4262357000000003</v>
      </c>
      <c r="M1157" s="16">
        <f t="shared" si="34"/>
        <v>1.76002228818707</v>
      </c>
    </row>
    <row r="1158" spans="1:13" x14ac:dyDescent="0.25">
      <c r="A1158" s="2">
        <f t="shared" si="35"/>
        <v>1153</v>
      </c>
      <c r="B1158" s="2">
        <v>57328</v>
      </c>
      <c r="C1158" s="2" t="s">
        <v>3664</v>
      </c>
      <c r="D1158" s="14" t="s">
        <v>1151</v>
      </c>
      <c r="E1158" s="14">
        <v>0.16851820000000001</v>
      </c>
      <c r="F1158" s="14">
        <v>0</v>
      </c>
      <c r="G1158" s="14">
        <v>0.16851820000000001</v>
      </c>
      <c r="H1158" s="16">
        <v>24.872798900000003</v>
      </c>
      <c r="I1158" s="16">
        <v>19.593767700000001</v>
      </c>
      <c r="J1158" s="3" t="s">
        <v>5011</v>
      </c>
      <c r="K1158" s="16">
        <v>226.01042629089997</v>
      </c>
      <c r="L1158" s="16">
        <v>35.371164300000004</v>
      </c>
      <c r="M1158" s="16">
        <f t="shared" si="34"/>
        <v>1.422082188747966</v>
      </c>
    </row>
    <row r="1159" spans="1:13" x14ac:dyDescent="0.25">
      <c r="A1159" s="2">
        <f t="shared" si="35"/>
        <v>1154</v>
      </c>
      <c r="B1159" s="2">
        <v>57459</v>
      </c>
      <c r="C1159" s="2" t="s">
        <v>3665</v>
      </c>
      <c r="D1159" s="14" t="s">
        <v>1152</v>
      </c>
      <c r="E1159" s="14">
        <v>0</v>
      </c>
      <c r="F1159" s="14">
        <v>0</v>
      </c>
      <c r="G1159" s="14">
        <v>0</v>
      </c>
      <c r="H1159" s="16">
        <v>0</v>
      </c>
      <c r="I1159" s="16">
        <v>0</v>
      </c>
      <c r="J1159" s="3" t="s">
        <v>5011</v>
      </c>
      <c r="K1159" s="16">
        <v>0</v>
      </c>
      <c r="L1159" s="16">
        <v>0</v>
      </c>
      <c r="M1159" s="16">
        <v>0</v>
      </c>
    </row>
    <row r="1160" spans="1:13" x14ac:dyDescent="0.25">
      <c r="A1160" s="2">
        <f t="shared" ref="A1160:A1223" si="36">A1159+1</f>
        <v>1155</v>
      </c>
      <c r="B1160" s="2">
        <v>57584</v>
      </c>
      <c r="C1160" s="2" t="s">
        <v>3666</v>
      </c>
      <c r="D1160" s="14" t="s">
        <v>1153</v>
      </c>
      <c r="E1160" s="14">
        <v>5.2262000000000003E-3</v>
      </c>
      <c r="F1160" s="14">
        <v>0</v>
      </c>
      <c r="G1160" s="14">
        <v>5.2262000000000003E-3</v>
      </c>
      <c r="H1160" s="16">
        <v>3.5398229999999997</v>
      </c>
      <c r="I1160" s="16">
        <v>3.5398229999999997</v>
      </c>
      <c r="J1160" s="3" t="s">
        <v>5011</v>
      </c>
      <c r="K1160" s="16">
        <v>20.315750239499998</v>
      </c>
      <c r="L1160" s="16">
        <v>4.6262309000000004</v>
      </c>
      <c r="M1160" s="16">
        <f t="shared" ref="M1159:M1222" si="37">L1160/H1160</f>
        <v>1.3069102325172759</v>
      </c>
    </row>
    <row r="1161" spans="1:13" x14ac:dyDescent="0.25">
      <c r="A1161" s="2">
        <f t="shared" si="36"/>
        <v>1156</v>
      </c>
      <c r="B1161" s="2">
        <v>57656</v>
      </c>
      <c r="C1161" s="2" t="s">
        <v>3667</v>
      </c>
      <c r="D1161" s="14" t="s">
        <v>1154</v>
      </c>
      <c r="E1161" s="14">
        <v>23.4218017</v>
      </c>
      <c r="F1161" s="14">
        <v>0</v>
      </c>
      <c r="G1161" s="14">
        <v>23.4218017</v>
      </c>
      <c r="H1161" s="16">
        <v>4248.7456827999995</v>
      </c>
      <c r="I1161" s="16">
        <v>2900.4997689999996</v>
      </c>
      <c r="J1161" s="3" t="s">
        <v>5011</v>
      </c>
      <c r="K1161" s="16">
        <v>28387.871064097795</v>
      </c>
      <c r="L1161" s="16">
        <v>4196.4956495999995</v>
      </c>
      <c r="M1161" s="16">
        <f t="shared" si="37"/>
        <v>0.98770224506222593</v>
      </c>
    </row>
    <row r="1162" spans="1:13" x14ac:dyDescent="0.25">
      <c r="A1162" s="2">
        <f t="shared" si="36"/>
        <v>1157</v>
      </c>
      <c r="B1162" s="2">
        <v>57672</v>
      </c>
      <c r="C1162" s="2" t="s">
        <v>3668</v>
      </c>
      <c r="D1162" s="14" t="s">
        <v>1155</v>
      </c>
      <c r="E1162" s="14">
        <v>0</v>
      </c>
      <c r="F1162" s="14">
        <v>0</v>
      </c>
      <c r="G1162" s="14">
        <v>0</v>
      </c>
      <c r="H1162" s="16">
        <v>0</v>
      </c>
      <c r="I1162" s="16">
        <v>0</v>
      </c>
      <c r="J1162" s="3" t="s">
        <v>5011</v>
      </c>
      <c r="K1162" s="16">
        <v>0</v>
      </c>
      <c r="L1162" s="16">
        <v>0</v>
      </c>
      <c r="M1162" s="16">
        <v>0</v>
      </c>
    </row>
    <row r="1163" spans="1:13" x14ac:dyDescent="0.25">
      <c r="A1163" s="2">
        <f t="shared" si="36"/>
        <v>1158</v>
      </c>
      <c r="B1163" s="2">
        <v>57682</v>
      </c>
      <c r="C1163" s="2" t="s">
        <v>3669</v>
      </c>
      <c r="D1163" s="14" t="s">
        <v>1156</v>
      </c>
      <c r="E1163" s="14">
        <v>12.447939999999999</v>
      </c>
      <c r="F1163" s="14">
        <v>0</v>
      </c>
      <c r="G1163" s="14">
        <v>12.447939999999999</v>
      </c>
      <c r="H1163" s="16">
        <v>885.23931809999999</v>
      </c>
      <c r="I1163" s="16">
        <v>781.48714189999998</v>
      </c>
      <c r="J1163" s="3" t="s">
        <v>5011</v>
      </c>
      <c r="K1163" s="16">
        <v>9515.2652735455977</v>
      </c>
      <c r="L1163" s="16">
        <v>1457.0084457</v>
      </c>
      <c r="M1163" s="16">
        <f t="shared" si="37"/>
        <v>1.6458921513192559</v>
      </c>
    </row>
    <row r="1164" spans="1:13" x14ac:dyDescent="0.25">
      <c r="A1164" s="2">
        <f t="shared" si="36"/>
        <v>1159</v>
      </c>
      <c r="B1164" s="2">
        <v>57874</v>
      </c>
      <c r="C1164" s="2" t="s">
        <v>3670</v>
      </c>
      <c r="D1164" s="14" t="s">
        <v>1157</v>
      </c>
      <c r="E1164" s="14">
        <v>1.3075079000000001</v>
      </c>
      <c r="F1164" s="14">
        <v>0</v>
      </c>
      <c r="G1164" s="14">
        <v>1.3075079000000001</v>
      </c>
      <c r="H1164" s="16">
        <v>124.59649689999999</v>
      </c>
      <c r="I1164" s="16">
        <v>102.90593989999998</v>
      </c>
      <c r="J1164" s="3" t="s">
        <v>5011</v>
      </c>
      <c r="K1164" s="16">
        <v>1434.1120914899002</v>
      </c>
      <c r="L1164" s="16">
        <v>223.3138233</v>
      </c>
      <c r="M1164" s="16">
        <f t="shared" si="37"/>
        <v>1.7922961628626657</v>
      </c>
    </row>
    <row r="1165" spans="1:13" x14ac:dyDescent="0.25">
      <c r="A1165" s="2">
        <f t="shared" si="36"/>
        <v>1160</v>
      </c>
      <c r="B1165" s="2">
        <v>57930</v>
      </c>
      <c r="C1165" s="2" t="s">
        <v>3671</v>
      </c>
      <c r="D1165" s="14" t="s">
        <v>1158</v>
      </c>
      <c r="E1165" s="14">
        <v>0.22016179999999999</v>
      </c>
      <c r="F1165" s="14">
        <v>0</v>
      </c>
      <c r="G1165" s="14">
        <v>0.22016179999999999</v>
      </c>
      <c r="H1165" s="16">
        <v>28.978569500000003</v>
      </c>
      <c r="I1165" s="16">
        <v>21.670834900000003</v>
      </c>
      <c r="J1165" s="3" t="s">
        <v>5011</v>
      </c>
      <c r="K1165" s="16">
        <v>419.30211983709989</v>
      </c>
      <c r="L1165" s="16">
        <v>58.375469299999999</v>
      </c>
      <c r="M1165" s="16">
        <f t="shared" si="37"/>
        <v>2.0144358506033222</v>
      </c>
    </row>
    <row r="1166" spans="1:13" x14ac:dyDescent="0.25">
      <c r="A1166" s="2">
        <f t="shared" si="36"/>
        <v>1161</v>
      </c>
      <c r="B1166" s="2">
        <v>57940</v>
      </c>
      <c r="C1166" s="2" t="s">
        <v>3672</v>
      </c>
      <c r="D1166" s="14" t="s">
        <v>1159</v>
      </c>
      <c r="E1166" s="14">
        <v>0.34599129999999995</v>
      </c>
      <c r="F1166" s="14">
        <v>0</v>
      </c>
      <c r="G1166" s="14">
        <v>0.34599129999999995</v>
      </c>
      <c r="H1166" s="16">
        <v>0</v>
      </c>
      <c r="I1166" s="16">
        <v>0</v>
      </c>
      <c r="J1166" s="3" t="s">
        <v>5011</v>
      </c>
      <c r="K1166" s="16">
        <v>389.62202131269999</v>
      </c>
      <c r="L1166" s="16">
        <v>38.919480800000002</v>
      </c>
      <c r="M1166" s="16">
        <v>0</v>
      </c>
    </row>
    <row r="1167" spans="1:13" x14ac:dyDescent="0.25">
      <c r="A1167" s="2">
        <f t="shared" si="36"/>
        <v>1162</v>
      </c>
      <c r="B1167" s="2">
        <v>57970</v>
      </c>
      <c r="C1167" s="2" t="s">
        <v>3673</v>
      </c>
      <c r="D1167" s="14" t="s">
        <v>1160</v>
      </c>
      <c r="E1167" s="14">
        <v>0</v>
      </c>
      <c r="F1167" s="14">
        <v>0</v>
      </c>
      <c r="G1167" s="14">
        <v>0</v>
      </c>
      <c r="H1167" s="16">
        <v>0</v>
      </c>
      <c r="I1167" s="16">
        <v>0</v>
      </c>
      <c r="J1167" s="3" t="s">
        <v>5011</v>
      </c>
      <c r="K1167" s="16">
        <v>0</v>
      </c>
      <c r="L1167" s="16">
        <v>0</v>
      </c>
      <c r="M1167" s="16">
        <v>0</v>
      </c>
    </row>
    <row r="1168" spans="1:13" x14ac:dyDescent="0.25">
      <c r="A1168" s="2">
        <f t="shared" si="36"/>
        <v>1163</v>
      </c>
      <c r="B1168" s="2">
        <v>58240</v>
      </c>
      <c r="C1168" s="2" t="s">
        <v>3674</v>
      </c>
      <c r="D1168" s="14" t="s">
        <v>1161</v>
      </c>
      <c r="E1168" s="14">
        <v>4.9568200000000007E-2</v>
      </c>
      <c r="F1168" s="14">
        <v>0</v>
      </c>
      <c r="G1168" s="14">
        <v>4.9568200000000007E-2</v>
      </c>
      <c r="H1168" s="16">
        <v>11.719413999999999</v>
      </c>
      <c r="I1168" s="16">
        <v>11.719413999999999</v>
      </c>
      <c r="J1168" s="3" t="s">
        <v>5011</v>
      </c>
      <c r="K1168" s="16">
        <v>68.164645593100005</v>
      </c>
      <c r="L1168" s="16">
        <v>17.305976100000002</v>
      </c>
      <c r="M1168" s="16">
        <f t="shared" si="37"/>
        <v>1.4766929558082003</v>
      </c>
    </row>
    <row r="1169" spans="1:13" x14ac:dyDescent="0.25">
      <c r="A1169" s="2">
        <f t="shared" si="36"/>
        <v>1164</v>
      </c>
      <c r="B1169" s="2">
        <v>58315</v>
      </c>
      <c r="C1169" s="2" t="s">
        <v>3675</v>
      </c>
      <c r="D1169" s="14" t="s">
        <v>1162</v>
      </c>
      <c r="E1169" s="14">
        <v>1.4041901999999999</v>
      </c>
      <c r="F1169" s="14">
        <v>0</v>
      </c>
      <c r="G1169" s="14">
        <v>1.4041901999999999</v>
      </c>
      <c r="H1169" s="16">
        <v>219.1198387</v>
      </c>
      <c r="I1169" s="16">
        <v>114.86375450000001</v>
      </c>
      <c r="J1169" s="3" t="s">
        <v>5011</v>
      </c>
      <c r="K1169" s="16">
        <v>1772.2514072449003</v>
      </c>
      <c r="L1169" s="16">
        <v>239.11646300000001</v>
      </c>
      <c r="M1169" s="16">
        <f t="shared" si="37"/>
        <v>1.0912588491240067</v>
      </c>
    </row>
    <row r="1170" spans="1:13" x14ac:dyDescent="0.25">
      <c r="A1170" s="2">
        <f t="shared" si="36"/>
        <v>1165</v>
      </c>
      <c r="B1170" s="2">
        <v>58331</v>
      </c>
      <c r="C1170" s="2" t="s">
        <v>3676</v>
      </c>
      <c r="D1170" s="14" t="s">
        <v>1163</v>
      </c>
      <c r="E1170" s="14">
        <v>0</v>
      </c>
      <c r="F1170" s="14">
        <v>0</v>
      </c>
      <c r="G1170" s="14">
        <v>0</v>
      </c>
      <c r="H1170" s="16">
        <v>0</v>
      </c>
      <c r="I1170" s="16">
        <v>0</v>
      </c>
      <c r="J1170" s="3" t="s">
        <v>5011</v>
      </c>
      <c r="K1170" s="16">
        <v>0</v>
      </c>
      <c r="L1170" s="16">
        <v>0</v>
      </c>
      <c r="M1170" s="16">
        <v>0</v>
      </c>
    </row>
    <row r="1171" spans="1:13" x14ac:dyDescent="0.25">
      <c r="A1171" s="2">
        <f t="shared" si="36"/>
        <v>1166</v>
      </c>
      <c r="B1171" s="2">
        <v>58332</v>
      </c>
      <c r="C1171" s="2" t="s">
        <v>3677</v>
      </c>
      <c r="D1171" s="14" t="s">
        <v>1164</v>
      </c>
      <c r="E1171" s="14">
        <v>4.553657499999999</v>
      </c>
      <c r="F1171" s="14">
        <v>0</v>
      </c>
      <c r="G1171" s="14">
        <v>4.553657499999999</v>
      </c>
      <c r="H1171" s="16">
        <v>294.61773770000002</v>
      </c>
      <c r="I1171" s="16">
        <v>216.44775390000001</v>
      </c>
      <c r="J1171" s="3" t="s">
        <v>5011</v>
      </c>
      <c r="K1171" s="16">
        <v>3015.5177416524998</v>
      </c>
      <c r="L1171" s="16">
        <v>428.77187570000001</v>
      </c>
      <c r="M1171" s="16">
        <f t="shared" si="37"/>
        <v>1.4553498341522293</v>
      </c>
    </row>
    <row r="1172" spans="1:13" x14ac:dyDescent="0.25">
      <c r="A1172" s="2">
        <f t="shared" si="36"/>
        <v>1167</v>
      </c>
      <c r="B1172" s="2">
        <v>58603</v>
      </c>
      <c r="C1172" s="2" t="s">
        <v>3678</v>
      </c>
      <c r="D1172" s="14" t="s">
        <v>1165</v>
      </c>
      <c r="E1172" s="14">
        <v>2.7159599999999999E-2</v>
      </c>
      <c r="F1172" s="14">
        <v>0</v>
      </c>
      <c r="G1172" s="14">
        <v>2.7159599999999999E-2</v>
      </c>
      <c r="H1172" s="16">
        <v>12.4093795</v>
      </c>
      <c r="I1172" s="16">
        <v>11.8493795</v>
      </c>
      <c r="J1172" s="3" t="s">
        <v>5011</v>
      </c>
      <c r="K1172" s="16">
        <v>65.534195624899994</v>
      </c>
      <c r="L1172" s="16">
        <v>15.062633</v>
      </c>
      <c r="M1172" s="16">
        <f t="shared" si="37"/>
        <v>1.2138103279055976</v>
      </c>
    </row>
    <row r="1173" spans="1:13" x14ac:dyDescent="0.25">
      <c r="A1173" s="2">
        <f t="shared" si="36"/>
        <v>1168</v>
      </c>
      <c r="B1173" s="2">
        <v>58607</v>
      </c>
      <c r="C1173" s="2" t="s">
        <v>3679</v>
      </c>
      <c r="D1173" s="14" t="s">
        <v>1166</v>
      </c>
      <c r="E1173" s="14">
        <v>3.3929427000000003</v>
      </c>
      <c r="F1173" s="14">
        <v>0</v>
      </c>
      <c r="G1173" s="14">
        <v>3.3929427000000003</v>
      </c>
      <c r="H1173" s="16">
        <v>832.05422939999994</v>
      </c>
      <c r="I1173" s="16">
        <v>720.33758959999989</v>
      </c>
      <c r="J1173" s="3" t="s">
        <v>5011</v>
      </c>
      <c r="K1173" s="16">
        <v>4513.649232841899</v>
      </c>
      <c r="L1173" s="16">
        <v>1050.1147362000002</v>
      </c>
      <c r="M1173" s="16">
        <f t="shared" si="37"/>
        <v>1.2620748733616138</v>
      </c>
    </row>
    <row r="1174" spans="1:13" x14ac:dyDescent="0.25">
      <c r="A1174" s="2">
        <f t="shared" si="36"/>
        <v>1169</v>
      </c>
      <c r="B1174" s="2">
        <v>58665</v>
      </c>
      <c r="C1174" s="2" t="s">
        <v>3680</v>
      </c>
      <c r="D1174" s="14" t="s">
        <v>1167</v>
      </c>
      <c r="E1174" s="14">
        <v>0</v>
      </c>
      <c r="F1174" s="14">
        <v>0</v>
      </c>
      <c r="G1174" s="14">
        <v>0</v>
      </c>
      <c r="H1174" s="16">
        <v>0</v>
      </c>
      <c r="I1174" s="16">
        <v>0</v>
      </c>
      <c r="J1174" s="3" t="s">
        <v>5011</v>
      </c>
      <c r="K1174" s="16">
        <v>0</v>
      </c>
      <c r="L1174" s="16">
        <v>0</v>
      </c>
      <c r="M1174" s="16">
        <v>0</v>
      </c>
    </row>
    <row r="1175" spans="1:13" x14ac:dyDescent="0.25">
      <c r="A1175" s="2">
        <f t="shared" si="36"/>
        <v>1170</v>
      </c>
      <c r="B1175" s="2">
        <v>58711</v>
      </c>
      <c r="C1175" s="2" t="s">
        <v>3681</v>
      </c>
      <c r="D1175" s="14" t="s">
        <v>1168</v>
      </c>
      <c r="E1175" s="14">
        <v>1.3361378999999998</v>
      </c>
      <c r="F1175" s="14">
        <v>0</v>
      </c>
      <c r="G1175" s="14">
        <v>1.3361378999999998</v>
      </c>
      <c r="H1175" s="16">
        <v>255.67382519999998</v>
      </c>
      <c r="I1175" s="16">
        <v>232.09804629999999</v>
      </c>
      <c r="J1175" s="3" t="s">
        <v>5011</v>
      </c>
      <c r="K1175" s="16">
        <v>1641.6938350641003</v>
      </c>
      <c r="L1175" s="16">
        <v>333.0039233</v>
      </c>
      <c r="M1175" s="16">
        <f t="shared" si="37"/>
        <v>1.3024560611142295</v>
      </c>
    </row>
    <row r="1176" spans="1:13" x14ac:dyDescent="0.25">
      <c r="A1176" s="2">
        <f t="shared" si="36"/>
        <v>1171</v>
      </c>
      <c r="B1176" s="2">
        <v>58865</v>
      </c>
      <c r="C1176" s="2" t="s">
        <v>3682</v>
      </c>
      <c r="D1176" s="14" t="s">
        <v>1169</v>
      </c>
      <c r="E1176" s="14">
        <v>8.5269999999999996E-4</v>
      </c>
      <c r="F1176" s="14">
        <v>0</v>
      </c>
      <c r="G1176" s="14">
        <v>8.5269999999999996E-4</v>
      </c>
      <c r="H1176" s="16">
        <v>5.4597269999999991</v>
      </c>
      <c r="I1176" s="16">
        <v>5.4597269999999991</v>
      </c>
      <c r="J1176" s="3" t="s">
        <v>5011</v>
      </c>
      <c r="K1176" s="16">
        <v>6.1740981287999999</v>
      </c>
      <c r="L1176" s="16">
        <v>5.4076845999999996</v>
      </c>
      <c r="M1176" s="16">
        <f t="shared" si="37"/>
        <v>0.99046794830584028</v>
      </c>
    </row>
    <row r="1177" spans="1:13" x14ac:dyDescent="0.25">
      <c r="A1177" s="2">
        <f t="shared" si="36"/>
        <v>1172</v>
      </c>
      <c r="B1177" s="2">
        <v>58953</v>
      </c>
      <c r="C1177" s="2" t="s">
        <v>3683</v>
      </c>
      <c r="D1177" s="14" t="s">
        <v>1170</v>
      </c>
      <c r="E1177" s="14">
        <v>0</v>
      </c>
      <c r="F1177" s="14">
        <v>0</v>
      </c>
      <c r="G1177" s="14">
        <v>0</v>
      </c>
      <c r="H1177" s="16">
        <v>0</v>
      </c>
      <c r="I1177" s="16">
        <v>0</v>
      </c>
      <c r="J1177" s="3" t="s">
        <v>5011</v>
      </c>
      <c r="K1177" s="16">
        <v>0</v>
      </c>
      <c r="L1177" s="16">
        <v>0</v>
      </c>
      <c r="M1177" s="16">
        <v>0</v>
      </c>
    </row>
    <row r="1178" spans="1:13" x14ac:dyDescent="0.25">
      <c r="A1178" s="2">
        <f t="shared" si="36"/>
        <v>1173</v>
      </c>
      <c r="B1178" s="2">
        <v>59335</v>
      </c>
      <c r="C1178" s="2" t="s">
        <v>3684</v>
      </c>
      <c r="D1178" s="14" t="s">
        <v>1171</v>
      </c>
      <c r="E1178" s="14">
        <v>0.29385810000000001</v>
      </c>
      <c r="F1178" s="14">
        <v>0</v>
      </c>
      <c r="G1178" s="14">
        <v>0.29385810000000001</v>
      </c>
      <c r="H1178" s="16">
        <v>77.262890499999997</v>
      </c>
      <c r="I1178" s="16">
        <v>72.824770099999995</v>
      </c>
      <c r="J1178" s="3" t="s">
        <v>5011</v>
      </c>
      <c r="K1178" s="16">
        <v>397.40079064619994</v>
      </c>
      <c r="L1178" s="16">
        <v>86.544462200000012</v>
      </c>
      <c r="M1178" s="16">
        <f t="shared" si="37"/>
        <v>1.1201297497405953</v>
      </c>
    </row>
    <row r="1179" spans="1:13" x14ac:dyDescent="0.25">
      <c r="A1179" s="2">
        <f t="shared" si="36"/>
        <v>1174</v>
      </c>
      <c r="B1179" s="2">
        <v>59403</v>
      </c>
      <c r="C1179" s="2" t="s">
        <v>3685</v>
      </c>
      <c r="D1179" s="14" t="s">
        <v>1172</v>
      </c>
      <c r="E1179" s="14">
        <v>0.35792220000000002</v>
      </c>
      <c r="F1179" s="14">
        <v>0</v>
      </c>
      <c r="G1179" s="14">
        <v>0.35792220000000002</v>
      </c>
      <c r="H1179" s="16">
        <v>237.93595020000001</v>
      </c>
      <c r="I1179" s="16">
        <v>184.9630032</v>
      </c>
      <c r="J1179" s="3" t="s">
        <v>5011</v>
      </c>
      <c r="K1179" s="16">
        <v>726.14550168329993</v>
      </c>
      <c r="L1179" s="16">
        <v>219.53989140000002</v>
      </c>
      <c r="M1179" s="16">
        <f t="shared" si="37"/>
        <v>0.92268482848204758</v>
      </c>
    </row>
    <row r="1180" spans="1:13" x14ac:dyDescent="0.25">
      <c r="A1180" s="2">
        <f t="shared" si="36"/>
        <v>1175</v>
      </c>
      <c r="B1180" s="2">
        <v>59586</v>
      </c>
      <c r="C1180" s="2" t="s">
        <v>3686</v>
      </c>
      <c r="D1180" s="14" t="s">
        <v>1173</v>
      </c>
      <c r="E1180" s="14">
        <v>192.8240998</v>
      </c>
      <c r="F1180" s="14">
        <v>0</v>
      </c>
      <c r="G1180" s="14">
        <v>192.8240998</v>
      </c>
      <c r="H1180" s="16">
        <v>18224.306044699999</v>
      </c>
      <c r="I1180" s="16">
        <v>14615.5024971</v>
      </c>
      <c r="J1180" s="3" t="s">
        <v>5011</v>
      </c>
      <c r="K1180" s="16">
        <v>155744.14196494137</v>
      </c>
      <c r="L1180" s="16">
        <v>25012.677796199998</v>
      </c>
      <c r="M1180" s="16">
        <f t="shared" si="37"/>
        <v>1.3724899996109425</v>
      </c>
    </row>
    <row r="1181" spans="1:13" x14ac:dyDescent="0.25">
      <c r="A1181" s="2">
        <f t="shared" si="36"/>
        <v>1176</v>
      </c>
      <c r="B1181" s="2">
        <v>60100</v>
      </c>
      <c r="C1181" s="2" t="s">
        <v>3687</v>
      </c>
      <c r="D1181" s="14" t="s">
        <v>1174</v>
      </c>
      <c r="E1181" s="14">
        <v>0</v>
      </c>
      <c r="F1181" s="14">
        <v>0</v>
      </c>
      <c r="G1181" s="14">
        <v>0</v>
      </c>
      <c r="H1181" s="16">
        <v>0</v>
      </c>
      <c r="I1181" s="16">
        <v>0</v>
      </c>
      <c r="J1181" s="3" t="s">
        <v>5011</v>
      </c>
      <c r="K1181" s="16">
        <v>1.0347012248</v>
      </c>
      <c r="L1181" s="16">
        <v>0.37576660000000006</v>
      </c>
      <c r="M1181" s="16">
        <v>0</v>
      </c>
    </row>
    <row r="1182" spans="1:13" x14ac:dyDescent="0.25">
      <c r="A1182" s="2">
        <f t="shared" si="36"/>
        <v>1177</v>
      </c>
      <c r="B1182" s="2">
        <v>60149</v>
      </c>
      <c r="C1182" s="2" t="s">
        <v>3688</v>
      </c>
      <c r="D1182" s="14" t="s">
        <v>1175</v>
      </c>
      <c r="E1182" s="14">
        <v>0.55489869999999997</v>
      </c>
      <c r="F1182" s="14">
        <v>0</v>
      </c>
      <c r="G1182" s="14">
        <v>0.55489869999999997</v>
      </c>
      <c r="H1182" s="16">
        <v>309.1456043</v>
      </c>
      <c r="I1182" s="16">
        <v>209.26552359999999</v>
      </c>
      <c r="J1182" s="3" t="s">
        <v>5011</v>
      </c>
      <c r="K1182" s="16">
        <v>1102.8306960406003</v>
      </c>
      <c r="L1182" s="16">
        <v>240.3593765</v>
      </c>
      <c r="M1182" s="16">
        <f t="shared" si="37"/>
        <v>0.77749569509243699</v>
      </c>
    </row>
    <row r="1183" spans="1:13" x14ac:dyDescent="0.25">
      <c r="A1183" s="2">
        <f t="shared" si="36"/>
        <v>1178</v>
      </c>
      <c r="B1183" s="2">
        <v>60270</v>
      </c>
      <c r="C1183" s="2" t="s">
        <v>3689</v>
      </c>
      <c r="D1183" s="14" t="s">
        <v>1176</v>
      </c>
      <c r="E1183" s="14">
        <v>0</v>
      </c>
      <c r="F1183" s="14">
        <v>0</v>
      </c>
      <c r="G1183" s="14">
        <v>0</v>
      </c>
      <c r="H1183" s="16">
        <v>0</v>
      </c>
      <c r="I1183" s="16">
        <v>0</v>
      </c>
      <c r="J1183" s="3" t="s">
        <v>5011</v>
      </c>
      <c r="K1183" s="16">
        <v>0</v>
      </c>
      <c r="L1183" s="16">
        <v>0</v>
      </c>
      <c r="M1183" s="16">
        <v>0</v>
      </c>
    </row>
    <row r="1184" spans="1:13" x14ac:dyDescent="0.25">
      <c r="A1184" s="2">
        <f t="shared" si="36"/>
        <v>1179</v>
      </c>
      <c r="B1184" s="2">
        <v>60930</v>
      </c>
      <c r="C1184" s="2" t="s">
        <v>3690</v>
      </c>
      <c r="D1184" s="14" t="s">
        <v>1177</v>
      </c>
      <c r="E1184" s="14">
        <v>5.4143549999999996</v>
      </c>
      <c r="F1184" s="14">
        <v>0</v>
      </c>
      <c r="G1184" s="14">
        <v>5.4143549999999996</v>
      </c>
      <c r="H1184" s="16">
        <v>94.860260199999999</v>
      </c>
      <c r="I1184" s="16">
        <v>22.276219099999992</v>
      </c>
      <c r="J1184" s="3" t="s">
        <v>5011</v>
      </c>
      <c r="K1184" s="16">
        <v>2682.2756734711002</v>
      </c>
      <c r="L1184" s="16">
        <v>311.6063757</v>
      </c>
      <c r="M1184" s="16">
        <f t="shared" si="37"/>
        <v>3.2848990192839467</v>
      </c>
    </row>
    <row r="1185" spans="1:13" x14ac:dyDescent="0.25">
      <c r="A1185" s="2">
        <f t="shared" si="36"/>
        <v>1180</v>
      </c>
      <c r="B1185" s="2">
        <v>60947</v>
      </c>
      <c r="C1185" s="2" t="s">
        <v>3691</v>
      </c>
      <c r="D1185" s="14" t="s">
        <v>1178</v>
      </c>
      <c r="E1185" s="14">
        <v>4.2131145999999999</v>
      </c>
      <c r="F1185" s="14">
        <v>0</v>
      </c>
      <c r="G1185" s="14">
        <v>4.2131145999999999</v>
      </c>
      <c r="H1185" s="16">
        <v>74.131298600000008</v>
      </c>
      <c r="I1185" s="16">
        <v>53.848884000000005</v>
      </c>
      <c r="J1185" s="3" t="s">
        <v>5011</v>
      </c>
      <c r="K1185" s="16">
        <v>3630.0583383122998</v>
      </c>
      <c r="L1185" s="16">
        <v>413.8137653</v>
      </c>
      <c r="M1185" s="16">
        <f t="shared" si="37"/>
        <v>5.5821734289705258</v>
      </c>
    </row>
    <row r="1186" spans="1:13" x14ac:dyDescent="0.25">
      <c r="A1186" s="2">
        <f t="shared" si="36"/>
        <v>1181</v>
      </c>
      <c r="B1186" s="2">
        <v>61173</v>
      </c>
      <c r="C1186" s="2" t="s">
        <v>3692</v>
      </c>
      <c r="D1186" s="14" t="s">
        <v>1179</v>
      </c>
      <c r="E1186" s="14">
        <v>3.3799799999999998E-2</v>
      </c>
      <c r="F1186" s="14">
        <v>0</v>
      </c>
      <c r="G1186" s="14">
        <v>3.3799799999999998E-2</v>
      </c>
      <c r="H1186" s="16">
        <v>12.6977844</v>
      </c>
      <c r="I1186" s="16">
        <v>6.6443657999999992</v>
      </c>
      <c r="J1186" s="3" t="s">
        <v>5011</v>
      </c>
      <c r="K1186" s="16">
        <v>126.28041013199999</v>
      </c>
      <c r="L1186" s="16">
        <v>15.926264399999999</v>
      </c>
      <c r="M1186" s="16">
        <f t="shared" si="37"/>
        <v>1.254255380174828</v>
      </c>
    </row>
    <row r="1187" spans="1:13" x14ac:dyDescent="0.25">
      <c r="A1187" s="2">
        <f t="shared" si="36"/>
        <v>1182</v>
      </c>
      <c r="B1187" s="2">
        <v>61248</v>
      </c>
      <c r="C1187" s="2" t="s">
        <v>3693</v>
      </c>
      <c r="D1187" s="14" t="s">
        <v>1180</v>
      </c>
      <c r="E1187" s="14">
        <v>0.4929346</v>
      </c>
      <c r="F1187" s="14">
        <v>0</v>
      </c>
      <c r="G1187" s="14">
        <v>0.4929346</v>
      </c>
      <c r="H1187" s="16">
        <v>88.774856799999995</v>
      </c>
      <c r="I1187" s="16">
        <v>85.710562799999991</v>
      </c>
      <c r="J1187" s="3" t="s">
        <v>5011</v>
      </c>
      <c r="K1187" s="16">
        <v>655.79992677039991</v>
      </c>
      <c r="L1187" s="16">
        <v>107.0311913</v>
      </c>
      <c r="M1187" s="16">
        <f t="shared" si="37"/>
        <v>1.2056475803856213</v>
      </c>
    </row>
    <row r="1188" spans="1:13" x14ac:dyDescent="0.25">
      <c r="A1188" s="2">
        <f t="shared" si="36"/>
        <v>1183</v>
      </c>
      <c r="B1188" s="2">
        <v>61261</v>
      </c>
      <c r="C1188" s="2" t="s">
        <v>3694</v>
      </c>
      <c r="D1188" s="14" t="s">
        <v>1181</v>
      </c>
      <c r="E1188" s="14">
        <v>0</v>
      </c>
      <c r="F1188" s="14">
        <v>0</v>
      </c>
      <c r="G1188" s="14">
        <v>0</v>
      </c>
      <c r="H1188" s="16">
        <v>0</v>
      </c>
      <c r="I1188" s="16">
        <v>0</v>
      </c>
      <c r="J1188" s="3" t="s">
        <v>5011</v>
      </c>
      <c r="K1188" s="16">
        <v>0</v>
      </c>
      <c r="L1188" s="16">
        <v>0</v>
      </c>
      <c r="M1188" s="16">
        <v>0</v>
      </c>
    </row>
    <row r="1189" spans="1:13" x14ac:dyDescent="0.25">
      <c r="A1189" s="2">
        <f t="shared" si="36"/>
        <v>1184</v>
      </c>
      <c r="B1189" s="2">
        <v>61800</v>
      </c>
      <c r="C1189" s="2" t="s">
        <v>3695</v>
      </c>
      <c r="D1189" s="14" t="s">
        <v>1182</v>
      </c>
      <c r="E1189" s="14">
        <v>6.6395499999999996E-2</v>
      </c>
      <c r="F1189" s="14">
        <v>0</v>
      </c>
      <c r="G1189" s="14">
        <v>6.6395499999999996E-2</v>
      </c>
      <c r="H1189" s="16">
        <v>8.6896518</v>
      </c>
      <c r="I1189" s="16">
        <v>4.5836217000000001</v>
      </c>
      <c r="J1189" s="3" t="s">
        <v>5011</v>
      </c>
      <c r="K1189" s="16">
        <v>123.16276619409999</v>
      </c>
      <c r="L1189" s="16">
        <v>14.011485800000001</v>
      </c>
      <c r="M1189" s="16">
        <f t="shared" si="37"/>
        <v>1.6124335154603089</v>
      </c>
    </row>
    <row r="1190" spans="1:13" x14ac:dyDescent="0.25">
      <c r="A1190" s="2">
        <f t="shared" si="36"/>
        <v>1185</v>
      </c>
      <c r="B1190" s="2">
        <v>61974</v>
      </c>
      <c r="C1190" s="2" t="s">
        <v>3696</v>
      </c>
      <c r="D1190" s="14" t="s">
        <v>1183</v>
      </c>
      <c r="E1190" s="14">
        <v>8.8541999999999996E-3</v>
      </c>
      <c r="F1190" s="14">
        <v>0</v>
      </c>
      <c r="G1190" s="14">
        <v>8.8541999999999996E-3</v>
      </c>
      <c r="H1190" s="16">
        <v>23.098884999999999</v>
      </c>
      <c r="I1190" s="16">
        <v>21.898885</v>
      </c>
      <c r="J1190" s="3" t="s">
        <v>5011</v>
      </c>
      <c r="K1190" s="16">
        <v>33.405802067799996</v>
      </c>
      <c r="L1190" s="16">
        <v>22.085899600000001</v>
      </c>
      <c r="M1190" s="16">
        <f t="shared" si="37"/>
        <v>0.95614570140506794</v>
      </c>
    </row>
    <row r="1191" spans="1:13" x14ac:dyDescent="0.25">
      <c r="A1191" s="2">
        <f t="shared" si="36"/>
        <v>1186</v>
      </c>
      <c r="B1191" s="2">
        <v>62000</v>
      </c>
      <c r="C1191" s="2" t="s">
        <v>3697</v>
      </c>
      <c r="D1191" s="14" t="s">
        <v>1184</v>
      </c>
      <c r="E1191" s="14">
        <v>44.360698199999995</v>
      </c>
      <c r="F1191" s="14">
        <v>0</v>
      </c>
      <c r="G1191" s="14">
        <v>44.360698199999995</v>
      </c>
      <c r="H1191" s="16">
        <v>7476.8360147000003</v>
      </c>
      <c r="I1191" s="16">
        <v>6624.7274936000003</v>
      </c>
      <c r="J1191" s="3" t="s">
        <v>5011</v>
      </c>
      <c r="K1191" s="16">
        <v>38877.779981033091</v>
      </c>
      <c r="L1191" s="16">
        <v>8078.8350407000007</v>
      </c>
      <c r="M1191" s="16">
        <f t="shared" si="37"/>
        <v>1.080515210553826</v>
      </c>
    </row>
    <row r="1192" spans="1:13" x14ac:dyDescent="0.25">
      <c r="A1192" s="2">
        <f t="shared" si="36"/>
        <v>1187</v>
      </c>
      <c r="B1192" s="2">
        <v>62001</v>
      </c>
      <c r="C1192" s="2" t="s">
        <v>3698</v>
      </c>
      <c r="D1192" s="14" t="s">
        <v>1185</v>
      </c>
      <c r="E1192" s="14">
        <v>9.2479999999999993E-3</v>
      </c>
      <c r="F1192" s="14">
        <v>0</v>
      </c>
      <c r="G1192" s="14">
        <v>9.2479999999999993E-3</v>
      </c>
      <c r="H1192" s="16">
        <v>2.6998659000000003</v>
      </c>
      <c r="I1192" s="16">
        <v>2.6998659000000003</v>
      </c>
      <c r="J1192" s="3" t="s">
        <v>5011</v>
      </c>
      <c r="K1192" s="16">
        <v>14.130786651199998</v>
      </c>
      <c r="L1192" s="16">
        <v>3.3076871000000003</v>
      </c>
      <c r="M1192" s="16">
        <f t="shared" si="37"/>
        <v>1.2251301444268028</v>
      </c>
    </row>
    <row r="1193" spans="1:13" x14ac:dyDescent="0.25">
      <c r="A1193" s="2">
        <f t="shared" si="36"/>
        <v>1188</v>
      </c>
      <c r="B1193" s="2">
        <v>62300</v>
      </c>
      <c r="C1193" s="2" t="s">
        <v>3699</v>
      </c>
      <c r="D1193" s="14" t="s">
        <v>1186</v>
      </c>
      <c r="E1193" s="14">
        <v>0.35973549999999993</v>
      </c>
      <c r="F1193" s="14">
        <v>0</v>
      </c>
      <c r="G1193" s="14">
        <v>0.35973549999999993</v>
      </c>
      <c r="H1193" s="16">
        <v>114.35028220000001</v>
      </c>
      <c r="I1193" s="16">
        <v>114.23528100000001</v>
      </c>
      <c r="J1193" s="3" t="s">
        <v>5011</v>
      </c>
      <c r="K1193" s="16">
        <v>479.04304142160004</v>
      </c>
      <c r="L1193" s="16">
        <v>147.98159050000001</v>
      </c>
      <c r="M1193" s="16">
        <f t="shared" si="37"/>
        <v>1.2941077857698544</v>
      </c>
    </row>
    <row r="1194" spans="1:13" x14ac:dyDescent="0.25">
      <c r="A1194" s="2">
        <f t="shared" si="36"/>
        <v>1189</v>
      </c>
      <c r="B1194" s="2">
        <v>62301</v>
      </c>
      <c r="C1194" s="2" t="s">
        <v>3700</v>
      </c>
      <c r="D1194" s="14" t="s">
        <v>1187</v>
      </c>
      <c r="E1194" s="14">
        <v>5.3300000000000001E-5</v>
      </c>
      <c r="F1194" s="14">
        <v>0</v>
      </c>
      <c r="G1194" s="14">
        <v>5.3300000000000001E-5</v>
      </c>
      <c r="H1194" s="16">
        <v>11.6494175</v>
      </c>
      <c r="I1194" s="16">
        <v>11.6494175</v>
      </c>
      <c r="J1194" s="3" t="s">
        <v>5011</v>
      </c>
      <c r="K1194" s="16">
        <v>4.2263143580000007</v>
      </c>
      <c r="L1194" s="16">
        <v>11.759932900000001</v>
      </c>
      <c r="M1194" s="16">
        <f t="shared" si="37"/>
        <v>1.009486774767923</v>
      </c>
    </row>
    <row r="1195" spans="1:13" x14ac:dyDescent="0.25">
      <c r="A1195" s="2">
        <f t="shared" si="36"/>
        <v>1190</v>
      </c>
      <c r="B1195" s="2">
        <v>62337</v>
      </c>
      <c r="C1195" s="2" t="s">
        <v>3701</v>
      </c>
      <c r="D1195" s="14" t="s">
        <v>1188</v>
      </c>
      <c r="E1195" s="14">
        <v>0</v>
      </c>
      <c r="F1195" s="14">
        <v>0</v>
      </c>
      <c r="G1195" s="14">
        <v>0</v>
      </c>
      <c r="H1195" s="16">
        <v>0</v>
      </c>
      <c r="I1195" s="16">
        <v>0</v>
      </c>
      <c r="J1195" s="3" t="s">
        <v>5011</v>
      </c>
      <c r="K1195" s="16">
        <v>0</v>
      </c>
      <c r="L1195" s="16">
        <v>0</v>
      </c>
      <c r="M1195" s="16">
        <v>0</v>
      </c>
    </row>
    <row r="1196" spans="1:13" x14ac:dyDescent="0.25">
      <c r="A1196" s="2">
        <f t="shared" si="36"/>
        <v>1191</v>
      </c>
      <c r="B1196" s="2">
        <v>62343</v>
      </c>
      <c r="C1196" s="2" t="s">
        <v>3702</v>
      </c>
      <c r="D1196" s="14" t="s">
        <v>1189</v>
      </c>
      <c r="E1196" s="14">
        <v>0.4731339</v>
      </c>
      <c r="F1196" s="14">
        <v>0</v>
      </c>
      <c r="G1196" s="14">
        <v>0.4731339</v>
      </c>
      <c r="H1196" s="16">
        <v>3.9501490000000001</v>
      </c>
      <c r="I1196" s="16">
        <v>-3.139895399999999</v>
      </c>
      <c r="J1196" s="3" t="s">
        <v>5011</v>
      </c>
      <c r="K1196" s="16">
        <v>639.14342717900013</v>
      </c>
      <c r="L1196" s="16">
        <v>64.60468139999999</v>
      </c>
      <c r="M1196" s="16">
        <f t="shared" si="37"/>
        <v>16.354998608913231</v>
      </c>
    </row>
    <row r="1197" spans="1:13" x14ac:dyDescent="0.25">
      <c r="A1197" s="2">
        <f t="shared" si="36"/>
        <v>1192</v>
      </c>
      <c r="B1197" s="2">
        <v>62757</v>
      </c>
      <c r="C1197" s="2" t="s">
        <v>3703</v>
      </c>
      <c r="D1197" s="14" t="s">
        <v>1190</v>
      </c>
      <c r="E1197" s="14">
        <v>2.9397090000000001</v>
      </c>
      <c r="F1197" s="14">
        <v>0</v>
      </c>
      <c r="G1197" s="14">
        <v>2.9397090000000001</v>
      </c>
      <c r="H1197" s="16">
        <v>1227.0368283</v>
      </c>
      <c r="I1197" s="16">
        <v>905.05761930000006</v>
      </c>
      <c r="J1197" s="3" t="s">
        <v>5011</v>
      </c>
      <c r="K1197" s="16">
        <v>4768.9850297244011</v>
      </c>
      <c r="L1197" s="16">
        <v>1175.1928419999999</v>
      </c>
      <c r="M1197" s="16">
        <f t="shared" si="37"/>
        <v>0.95774863059992466</v>
      </c>
    </row>
    <row r="1198" spans="1:13" x14ac:dyDescent="0.25">
      <c r="A1198" s="2">
        <f t="shared" si="36"/>
        <v>1193</v>
      </c>
      <c r="B1198" s="2">
        <v>63611</v>
      </c>
      <c r="C1198" s="2" t="s">
        <v>3704</v>
      </c>
      <c r="D1198" s="14" t="s">
        <v>1191</v>
      </c>
      <c r="E1198" s="14">
        <v>4.5741450000000006</v>
      </c>
      <c r="F1198" s="14">
        <v>0</v>
      </c>
      <c r="G1198" s="14">
        <v>4.5741450000000006</v>
      </c>
      <c r="H1198" s="16">
        <v>203.55509579999998</v>
      </c>
      <c r="I1198" s="16">
        <v>119.95362879999999</v>
      </c>
      <c r="J1198" s="3" t="s">
        <v>5011</v>
      </c>
      <c r="K1198" s="16">
        <v>3818.3930406428999</v>
      </c>
      <c r="L1198" s="16">
        <v>457.2710257</v>
      </c>
      <c r="M1198" s="16">
        <f t="shared" si="37"/>
        <v>2.2464238682056128</v>
      </c>
    </row>
    <row r="1199" spans="1:13" x14ac:dyDescent="0.25">
      <c r="A1199" s="2">
        <f t="shared" si="36"/>
        <v>1194</v>
      </c>
      <c r="B1199" s="2">
        <v>63626</v>
      </c>
      <c r="C1199" s="2" t="s">
        <v>3705</v>
      </c>
      <c r="D1199" s="14" t="s">
        <v>1192</v>
      </c>
      <c r="E1199" s="14">
        <v>3.2274999999999999E-3</v>
      </c>
      <c r="F1199" s="14">
        <v>0</v>
      </c>
      <c r="G1199" s="14">
        <v>3.2274999999999999E-3</v>
      </c>
      <c r="H1199" s="16">
        <v>3.1264254999999999</v>
      </c>
      <c r="I1199" s="16">
        <v>1.5998443</v>
      </c>
      <c r="J1199" s="3" t="s">
        <v>5011</v>
      </c>
      <c r="K1199" s="16">
        <v>10.714898746299999</v>
      </c>
      <c r="L1199" s="16">
        <v>1.8391413000000001</v>
      </c>
      <c r="M1199" s="16">
        <f t="shared" si="37"/>
        <v>0.5882568767431049</v>
      </c>
    </row>
    <row r="1200" spans="1:13" x14ac:dyDescent="0.25">
      <c r="A1200" s="2">
        <f t="shared" si="36"/>
        <v>1195</v>
      </c>
      <c r="B1200" s="2">
        <v>63643</v>
      </c>
      <c r="C1200" s="2" t="s">
        <v>3706</v>
      </c>
      <c r="D1200" s="14" t="s">
        <v>1193</v>
      </c>
      <c r="E1200" s="14">
        <v>0</v>
      </c>
      <c r="F1200" s="14">
        <v>0</v>
      </c>
      <c r="G1200" s="14">
        <v>0</v>
      </c>
      <c r="H1200" s="16">
        <v>0</v>
      </c>
      <c r="I1200" s="16">
        <v>0</v>
      </c>
      <c r="J1200" s="3" t="s">
        <v>5011</v>
      </c>
      <c r="K1200" s="16">
        <v>0</v>
      </c>
      <c r="L1200" s="16">
        <v>0</v>
      </c>
      <c r="M1200" s="16">
        <v>0</v>
      </c>
    </row>
    <row r="1201" spans="1:13" x14ac:dyDescent="0.25">
      <c r="A1201" s="2">
        <f t="shared" si="36"/>
        <v>1196</v>
      </c>
      <c r="B1201" s="2">
        <v>63838</v>
      </c>
      <c r="C1201" s="2" t="s">
        <v>3707</v>
      </c>
      <c r="D1201" s="14" t="s">
        <v>1194</v>
      </c>
      <c r="E1201" s="14">
        <v>8.056439999999998E-2</v>
      </c>
      <c r="F1201" s="14">
        <v>0</v>
      </c>
      <c r="G1201" s="14">
        <v>8.056439999999998E-2</v>
      </c>
      <c r="H1201" s="16">
        <v>1.8754428000000001</v>
      </c>
      <c r="I1201" s="16">
        <v>1.8152020999999998</v>
      </c>
      <c r="J1201" s="3" t="s">
        <v>5011</v>
      </c>
      <c r="K1201" s="16">
        <v>56.922008573399999</v>
      </c>
      <c r="L1201" s="16">
        <v>6.7300827999999999</v>
      </c>
      <c r="M1201" s="16">
        <f t="shared" si="37"/>
        <v>3.5885300260823736</v>
      </c>
    </row>
    <row r="1202" spans="1:13" x14ac:dyDescent="0.25">
      <c r="A1202" s="2">
        <f t="shared" si="36"/>
        <v>1197</v>
      </c>
      <c r="B1202" s="2">
        <v>64132</v>
      </c>
      <c r="C1202" s="2" t="s">
        <v>3708</v>
      </c>
      <c r="D1202" s="14" t="s">
        <v>1195</v>
      </c>
      <c r="E1202" s="14">
        <v>0</v>
      </c>
      <c r="F1202" s="14">
        <v>0</v>
      </c>
      <c r="G1202" s="14">
        <v>0</v>
      </c>
      <c r="H1202" s="16">
        <v>0</v>
      </c>
      <c r="I1202" s="16">
        <v>0</v>
      </c>
      <c r="J1202" s="3" t="s">
        <v>5011</v>
      </c>
      <c r="K1202" s="16">
        <v>0</v>
      </c>
      <c r="L1202" s="16">
        <v>0</v>
      </c>
      <c r="M1202" s="16">
        <v>0</v>
      </c>
    </row>
    <row r="1203" spans="1:13" x14ac:dyDescent="0.25">
      <c r="A1203" s="2">
        <f t="shared" si="36"/>
        <v>1198</v>
      </c>
      <c r="B1203" s="2">
        <v>64297</v>
      </c>
      <c r="C1203" s="2" t="s">
        <v>3709</v>
      </c>
      <c r="D1203" s="14" t="s">
        <v>1196</v>
      </c>
      <c r="E1203" s="14">
        <v>1.9712867999999999</v>
      </c>
      <c r="F1203" s="14">
        <v>0</v>
      </c>
      <c r="G1203" s="14">
        <v>1.9712867999999999</v>
      </c>
      <c r="H1203" s="16">
        <v>212.87572750000001</v>
      </c>
      <c r="I1203" s="16">
        <v>199.14047019999998</v>
      </c>
      <c r="J1203" s="3" t="s">
        <v>5011</v>
      </c>
      <c r="K1203" s="16">
        <v>2279.5083366317003</v>
      </c>
      <c r="L1203" s="16">
        <v>337.81649899999996</v>
      </c>
      <c r="M1203" s="16">
        <f t="shared" si="37"/>
        <v>1.586918823330856</v>
      </c>
    </row>
    <row r="1204" spans="1:13" x14ac:dyDescent="0.25">
      <c r="A1204" s="2">
        <f t="shared" si="36"/>
        <v>1199</v>
      </c>
      <c r="B1204" s="2">
        <v>64301</v>
      </c>
      <c r="C1204" s="2" t="s">
        <v>3710</v>
      </c>
      <c r="D1204" s="14" t="s">
        <v>1197</v>
      </c>
      <c r="E1204" s="14">
        <v>0</v>
      </c>
      <c r="F1204" s="14">
        <v>0</v>
      </c>
      <c r="G1204" s="14">
        <v>0</v>
      </c>
      <c r="H1204" s="16">
        <v>0</v>
      </c>
      <c r="I1204" s="16">
        <v>0</v>
      </c>
      <c r="J1204" s="3" t="s">
        <v>5011</v>
      </c>
      <c r="K1204" s="16">
        <v>0</v>
      </c>
      <c r="L1204" s="16">
        <v>0</v>
      </c>
      <c r="M1204" s="16">
        <v>0</v>
      </c>
    </row>
    <row r="1205" spans="1:13" x14ac:dyDescent="0.25">
      <c r="A1205" s="2">
        <f t="shared" si="36"/>
        <v>1200</v>
      </c>
      <c r="B1205" s="2">
        <v>64422</v>
      </c>
      <c r="C1205" s="2" t="s">
        <v>3711</v>
      </c>
      <c r="D1205" s="14" t="s">
        <v>1198</v>
      </c>
      <c r="E1205" s="14">
        <v>1.42895E-2</v>
      </c>
      <c r="F1205" s="14">
        <v>0</v>
      </c>
      <c r="G1205" s="14">
        <v>1.42895E-2</v>
      </c>
      <c r="H1205" s="16">
        <v>3.8998050000000002</v>
      </c>
      <c r="I1205" s="16">
        <v>3.8998050000000002</v>
      </c>
      <c r="J1205" s="3" t="s">
        <v>5011</v>
      </c>
      <c r="K1205" s="16">
        <v>24.368072963199999</v>
      </c>
      <c r="L1205" s="16">
        <v>4.8295022999999997</v>
      </c>
      <c r="M1205" s="16">
        <f t="shared" si="37"/>
        <v>1.2383958428690665</v>
      </c>
    </row>
    <row r="1206" spans="1:13" x14ac:dyDescent="0.25">
      <c r="A1206" s="2">
        <f t="shared" si="36"/>
        <v>1201</v>
      </c>
      <c r="B1206" s="2">
        <v>64493</v>
      </c>
      <c r="C1206" s="2" t="s">
        <v>3712</v>
      </c>
      <c r="D1206" s="14" t="s">
        <v>1199</v>
      </c>
      <c r="E1206" s="14">
        <v>0</v>
      </c>
      <c r="F1206" s="14">
        <v>0</v>
      </c>
      <c r="G1206" s="14">
        <v>0</v>
      </c>
      <c r="H1206" s="16">
        <v>0</v>
      </c>
      <c r="I1206" s="16">
        <v>0</v>
      </c>
      <c r="J1206" s="3" t="s">
        <v>5011</v>
      </c>
      <c r="K1206" s="16">
        <v>0</v>
      </c>
      <c r="L1206" s="16">
        <v>0</v>
      </c>
      <c r="M1206" s="16">
        <v>0</v>
      </c>
    </row>
    <row r="1207" spans="1:13" x14ac:dyDescent="0.25">
      <c r="A1207" s="2">
        <f t="shared" si="36"/>
        <v>1202</v>
      </c>
      <c r="B1207" s="2">
        <v>64502</v>
      </c>
      <c r="C1207" s="2" t="s">
        <v>3713</v>
      </c>
      <c r="D1207" s="14" t="s">
        <v>1200</v>
      </c>
      <c r="E1207" s="14">
        <v>0</v>
      </c>
      <c r="F1207" s="14">
        <v>0</v>
      </c>
      <c r="G1207" s="14">
        <v>0</v>
      </c>
      <c r="H1207" s="16">
        <v>0</v>
      </c>
      <c r="I1207" s="16">
        <v>0</v>
      </c>
      <c r="J1207" s="3" t="s">
        <v>5011</v>
      </c>
      <c r="K1207" s="16">
        <v>0</v>
      </c>
      <c r="L1207" s="16">
        <v>0</v>
      </c>
      <c r="M1207" s="16">
        <v>0</v>
      </c>
    </row>
    <row r="1208" spans="1:13" x14ac:dyDescent="0.25">
      <c r="A1208" s="2">
        <f t="shared" si="36"/>
        <v>1203</v>
      </c>
      <c r="B1208" s="2">
        <v>64606</v>
      </c>
      <c r="C1208" s="2" t="s">
        <v>3714</v>
      </c>
      <c r="D1208" s="14" t="s">
        <v>1201</v>
      </c>
      <c r="E1208" s="14">
        <v>5.2308285000000003</v>
      </c>
      <c r="F1208" s="14">
        <v>0</v>
      </c>
      <c r="G1208" s="14">
        <v>5.2308285000000003</v>
      </c>
      <c r="H1208" s="16">
        <v>1529.5865699000001</v>
      </c>
      <c r="I1208" s="16">
        <v>461.69772060000003</v>
      </c>
      <c r="J1208" s="3" t="s">
        <v>5011</v>
      </c>
      <c r="K1208" s="16">
        <v>6023.3961910533999</v>
      </c>
      <c r="L1208" s="16">
        <v>901.62376500000005</v>
      </c>
      <c r="M1208" s="16">
        <f t="shared" si="37"/>
        <v>0.5894558586892833</v>
      </c>
    </row>
    <row r="1209" spans="1:13" x14ac:dyDescent="0.25">
      <c r="A1209" s="2">
        <f t="shared" si="36"/>
        <v>1204</v>
      </c>
      <c r="B1209" s="2">
        <v>64610</v>
      </c>
      <c r="C1209" s="2" t="s">
        <v>3715</v>
      </c>
      <c r="D1209" s="14" t="s">
        <v>1202</v>
      </c>
      <c r="E1209" s="14">
        <v>0</v>
      </c>
      <c r="F1209" s="14">
        <v>0</v>
      </c>
      <c r="G1209" s="14">
        <v>0</v>
      </c>
      <c r="H1209" s="16">
        <v>1.5399229999999999</v>
      </c>
      <c r="I1209" s="16">
        <v>1.5399229999999999</v>
      </c>
      <c r="J1209" s="3" t="s">
        <v>5011</v>
      </c>
      <c r="K1209" s="16">
        <v>49.880134464199998</v>
      </c>
      <c r="L1209" s="16">
        <v>6.3537277000000003</v>
      </c>
      <c r="M1209" s="16">
        <f t="shared" si="37"/>
        <v>4.1260035079676065</v>
      </c>
    </row>
    <row r="1210" spans="1:13" x14ac:dyDescent="0.25">
      <c r="A1210" s="2">
        <f t="shared" si="36"/>
        <v>1205</v>
      </c>
      <c r="B1210" s="2">
        <v>64651</v>
      </c>
      <c r="C1210" s="2" t="s">
        <v>3716</v>
      </c>
      <c r="D1210" s="14" t="s">
        <v>1203</v>
      </c>
      <c r="E1210" s="14">
        <v>6.1079625000000002</v>
      </c>
      <c r="F1210" s="14">
        <v>0</v>
      </c>
      <c r="G1210" s="14">
        <v>6.1079625000000002</v>
      </c>
      <c r="H1210" s="16">
        <v>222.09363210000001</v>
      </c>
      <c r="I1210" s="16">
        <v>179.5870386</v>
      </c>
      <c r="J1210" s="3" t="s">
        <v>5011</v>
      </c>
      <c r="K1210" s="16">
        <v>4795.1629303524005</v>
      </c>
      <c r="L1210" s="16">
        <v>568.26994619999994</v>
      </c>
      <c r="M1210" s="16">
        <f t="shared" si="37"/>
        <v>2.5586953611715009</v>
      </c>
    </row>
    <row r="1211" spans="1:13" x14ac:dyDescent="0.25">
      <c r="A1211" s="2">
        <f t="shared" si="36"/>
        <v>1206</v>
      </c>
      <c r="B1211" s="2">
        <v>64917</v>
      </c>
      <c r="C1211" s="2" t="s">
        <v>3717</v>
      </c>
      <c r="D1211" s="14" t="s">
        <v>1204</v>
      </c>
      <c r="E1211" s="14">
        <v>2.1443435000000002</v>
      </c>
      <c r="F1211" s="14">
        <v>0</v>
      </c>
      <c r="G1211" s="14">
        <v>2.1443435000000002</v>
      </c>
      <c r="H1211" s="16">
        <v>631.41581200000007</v>
      </c>
      <c r="I1211" s="16">
        <v>575.61533919999999</v>
      </c>
      <c r="J1211" s="3" t="s">
        <v>5011</v>
      </c>
      <c r="K1211" s="16">
        <v>2668.2677532273001</v>
      </c>
      <c r="L1211" s="16">
        <v>668.71958319999999</v>
      </c>
      <c r="M1211" s="16">
        <f t="shared" si="37"/>
        <v>1.0590795645136615</v>
      </c>
    </row>
    <row r="1212" spans="1:13" x14ac:dyDescent="0.25">
      <c r="A1212" s="2">
        <f t="shared" si="36"/>
        <v>1207</v>
      </c>
      <c r="B1212" s="2">
        <v>64981</v>
      </c>
      <c r="C1212" s="2" t="s">
        <v>3718</v>
      </c>
      <c r="D1212" s="14" t="s">
        <v>1205</v>
      </c>
      <c r="E1212" s="14">
        <v>0</v>
      </c>
      <c r="F1212" s="14">
        <v>0</v>
      </c>
      <c r="G1212" s="14">
        <v>0</v>
      </c>
      <c r="H1212" s="16">
        <v>0</v>
      </c>
      <c r="I1212" s="16">
        <v>0</v>
      </c>
      <c r="J1212" s="3" t="s">
        <v>5011</v>
      </c>
      <c r="K1212" s="16">
        <v>0</v>
      </c>
      <c r="L1212" s="16">
        <v>0</v>
      </c>
      <c r="M1212" s="16">
        <v>0</v>
      </c>
    </row>
    <row r="1213" spans="1:13" x14ac:dyDescent="0.25">
      <c r="A1213" s="2">
        <f t="shared" si="36"/>
        <v>1208</v>
      </c>
      <c r="B1213" s="2">
        <v>65092</v>
      </c>
      <c r="C1213" s="2" t="s">
        <v>3719</v>
      </c>
      <c r="D1213" s="14" t="s">
        <v>1206</v>
      </c>
      <c r="E1213" s="14">
        <v>0.97204800000000002</v>
      </c>
      <c r="F1213" s="14">
        <v>0</v>
      </c>
      <c r="G1213" s="14">
        <v>0.97204800000000002</v>
      </c>
      <c r="H1213" s="16">
        <v>417.86430569999999</v>
      </c>
      <c r="I1213" s="16">
        <v>387.06490509999998</v>
      </c>
      <c r="J1213" s="3" t="s">
        <v>5011</v>
      </c>
      <c r="K1213" s="16">
        <v>1588.1254331186001</v>
      </c>
      <c r="L1213" s="16">
        <v>433.51098710000002</v>
      </c>
      <c r="M1213" s="16">
        <f t="shared" si="37"/>
        <v>1.0374444076379985</v>
      </c>
    </row>
    <row r="1214" spans="1:13" x14ac:dyDescent="0.25">
      <c r="A1214" s="2">
        <f t="shared" si="36"/>
        <v>1209</v>
      </c>
      <c r="B1214" s="2">
        <v>65160</v>
      </c>
      <c r="C1214" s="2" t="s">
        <v>3720</v>
      </c>
      <c r="D1214" s="14" t="s">
        <v>1207</v>
      </c>
      <c r="E1214" s="14">
        <v>0.1705306</v>
      </c>
      <c r="F1214" s="14">
        <v>0</v>
      </c>
      <c r="G1214" s="14">
        <v>0.1705306</v>
      </c>
      <c r="H1214" s="16">
        <v>13.766511200000002</v>
      </c>
      <c r="I1214" s="16">
        <v>13.649313600000001</v>
      </c>
      <c r="J1214" s="3" t="s">
        <v>5011</v>
      </c>
      <c r="K1214" s="16">
        <v>215.9376964688</v>
      </c>
      <c r="L1214" s="16">
        <v>31.4373389</v>
      </c>
      <c r="M1214" s="16">
        <f t="shared" si="37"/>
        <v>2.283609728222209</v>
      </c>
    </row>
    <row r="1215" spans="1:13" x14ac:dyDescent="0.25">
      <c r="A1215" s="2">
        <f t="shared" si="36"/>
        <v>1210</v>
      </c>
      <c r="B1215" s="2">
        <v>65251</v>
      </c>
      <c r="C1215" s="2" t="s">
        <v>3721</v>
      </c>
      <c r="D1215" s="14" t="s">
        <v>1208</v>
      </c>
      <c r="E1215" s="14">
        <v>1.0542301000000001</v>
      </c>
      <c r="F1215" s="14">
        <v>0</v>
      </c>
      <c r="G1215" s="14">
        <v>1.0542301000000001</v>
      </c>
      <c r="H1215" s="16">
        <v>67.725385799999998</v>
      </c>
      <c r="I1215" s="16">
        <v>61.604012000000004</v>
      </c>
      <c r="J1215" s="3" t="s">
        <v>5011</v>
      </c>
      <c r="K1215" s="16">
        <v>837.79562124769996</v>
      </c>
      <c r="L1215" s="16">
        <v>127.7812796</v>
      </c>
      <c r="M1215" s="16">
        <f t="shared" si="37"/>
        <v>1.8867560234703014</v>
      </c>
    </row>
    <row r="1216" spans="1:13" x14ac:dyDescent="0.25">
      <c r="A1216" s="2">
        <f t="shared" si="36"/>
        <v>1211</v>
      </c>
      <c r="B1216" s="2">
        <v>65374</v>
      </c>
      <c r="C1216" s="2" t="s">
        <v>3722</v>
      </c>
      <c r="D1216" s="14" t="s">
        <v>1209</v>
      </c>
      <c r="E1216" s="14">
        <v>0</v>
      </c>
      <c r="F1216" s="14">
        <v>0</v>
      </c>
      <c r="G1216" s="14">
        <v>0</v>
      </c>
      <c r="H1216" s="16">
        <v>0</v>
      </c>
      <c r="I1216" s="16">
        <v>0</v>
      </c>
      <c r="J1216" s="3" t="s">
        <v>5011</v>
      </c>
      <c r="K1216" s="16">
        <v>0</v>
      </c>
      <c r="L1216" s="16">
        <v>0</v>
      </c>
      <c r="M1216" s="16">
        <v>0</v>
      </c>
    </row>
    <row r="1217" spans="1:13" x14ac:dyDescent="0.25">
      <c r="A1217" s="2">
        <f t="shared" si="36"/>
        <v>1212</v>
      </c>
      <c r="B1217" s="2">
        <v>65508</v>
      </c>
      <c r="C1217" s="2" t="s">
        <v>3723</v>
      </c>
      <c r="D1217" s="14" t="s">
        <v>1210</v>
      </c>
      <c r="E1217" s="14">
        <v>0</v>
      </c>
      <c r="F1217" s="14">
        <v>0</v>
      </c>
      <c r="G1217" s="14">
        <v>0</v>
      </c>
      <c r="H1217" s="16">
        <v>0</v>
      </c>
      <c r="I1217" s="16">
        <v>0</v>
      </c>
      <c r="J1217" s="3" t="s">
        <v>5011</v>
      </c>
      <c r="K1217" s="16">
        <v>0</v>
      </c>
      <c r="L1217" s="16">
        <v>0</v>
      </c>
      <c r="M1217" s="16">
        <v>0</v>
      </c>
    </row>
    <row r="1218" spans="1:13" x14ac:dyDescent="0.25">
      <c r="A1218" s="2">
        <f t="shared" si="36"/>
        <v>1213</v>
      </c>
      <c r="B1218" s="2">
        <v>65542</v>
      </c>
      <c r="C1218" s="2" t="s">
        <v>3724</v>
      </c>
      <c r="D1218" s="14" t="s">
        <v>1211</v>
      </c>
      <c r="E1218" s="14">
        <v>3.9252000000000002E-3</v>
      </c>
      <c r="F1218" s="14">
        <v>0</v>
      </c>
      <c r="G1218" s="14">
        <v>3.9252000000000002E-3</v>
      </c>
      <c r="H1218" s="16">
        <v>8.0645969999999991</v>
      </c>
      <c r="I1218" s="16">
        <v>8.0645969999999991</v>
      </c>
      <c r="J1218" s="3" t="s">
        <v>5011</v>
      </c>
      <c r="K1218" s="16">
        <v>15.258803651500001</v>
      </c>
      <c r="L1218" s="16">
        <v>8.1907601000000003</v>
      </c>
      <c r="M1218" s="16">
        <f t="shared" si="37"/>
        <v>1.015644067521291</v>
      </c>
    </row>
    <row r="1219" spans="1:13" x14ac:dyDescent="0.25">
      <c r="A1219" s="2">
        <f t="shared" si="36"/>
        <v>1214</v>
      </c>
      <c r="B1219" s="2">
        <v>65608</v>
      </c>
      <c r="C1219" s="2" t="s">
        <v>3725</v>
      </c>
      <c r="D1219" s="14" t="s">
        <v>1212</v>
      </c>
      <c r="E1219" s="14">
        <v>0.38287480000000002</v>
      </c>
      <c r="F1219" s="14">
        <v>0</v>
      </c>
      <c r="G1219" s="14">
        <v>0.38287480000000002</v>
      </c>
      <c r="H1219" s="16">
        <v>14.99925</v>
      </c>
      <c r="I1219" s="16">
        <v>-10.678576899999999</v>
      </c>
      <c r="J1219" s="3" t="s">
        <v>5011</v>
      </c>
      <c r="K1219" s="16">
        <v>383.61251304019999</v>
      </c>
      <c r="L1219" s="16">
        <v>27.793294900000003</v>
      </c>
      <c r="M1219" s="16">
        <f t="shared" si="37"/>
        <v>1.8529789756154476</v>
      </c>
    </row>
    <row r="1220" spans="1:13" x14ac:dyDescent="0.25">
      <c r="A1220" s="2">
        <f t="shared" si="36"/>
        <v>1215</v>
      </c>
      <c r="B1220" s="2">
        <v>65977</v>
      </c>
      <c r="C1220" s="2" t="s">
        <v>3726</v>
      </c>
      <c r="D1220" s="14" t="s">
        <v>1213</v>
      </c>
      <c r="E1220" s="14">
        <v>0.88460790000000011</v>
      </c>
      <c r="F1220" s="14">
        <v>0</v>
      </c>
      <c r="G1220" s="14">
        <v>0.88460790000000011</v>
      </c>
      <c r="H1220" s="16">
        <v>101.63991789999999</v>
      </c>
      <c r="I1220" s="16">
        <v>101.3667894</v>
      </c>
      <c r="J1220" s="3" t="s">
        <v>5011</v>
      </c>
      <c r="K1220" s="16">
        <v>916.4883326416998</v>
      </c>
      <c r="L1220" s="16">
        <v>148.99967419999999</v>
      </c>
      <c r="M1220" s="16">
        <f t="shared" si="37"/>
        <v>1.4659562628395237</v>
      </c>
    </row>
    <row r="1221" spans="1:13" x14ac:dyDescent="0.25">
      <c r="A1221" s="2">
        <f t="shared" si="36"/>
        <v>1216</v>
      </c>
      <c r="B1221" s="2">
        <v>66006</v>
      </c>
      <c r="C1221" s="2" t="s">
        <v>3727</v>
      </c>
      <c r="D1221" s="14" t="s">
        <v>1214</v>
      </c>
      <c r="E1221" s="14">
        <v>0</v>
      </c>
      <c r="F1221" s="14">
        <v>0</v>
      </c>
      <c r="G1221" s="14">
        <v>0</v>
      </c>
      <c r="H1221" s="16">
        <v>4.9997600000000003E-2</v>
      </c>
      <c r="I1221" s="16">
        <v>4.9997600000000003E-2</v>
      </c>
      <c r="J1221" s="3" t="s">
        <v>5011</v>
      </c>
      <c r="K1221" s="16">
        <v>3.1631589843999999</v>
      </c>
      <c r="L1221" s="16">
        <v>0.3306867</v>
      </c>
      <c r="M1221" s="16">
        <f t="shared" si="37"/>
        <v>6.6140514744707746</v>
      </c>
    </row>
    <row r="1222" spans="1:13" x14ac:dyDescent="0.25">
      <c r="A1222" s="2">
        <f t="shared" si="36"/>
        <v>1217</v>
      </c>
      <c r="B1222" s="2">
        <v>66107</v>
      </c>
      <c r="C1222" s="2" t="s">
        <v>3728</v>
      </c>
      <c r="D1222" s="14" t="s">
        <v>1215</v>
      </c>
      <c r="E1222" s="14">
        <v>11.544465399999998</v>
      </c>
      <c r="F1222" s="14">
        <v>0</v>
      </c>
      <c r="G1222" s="14">
        <v>11.544465399999998</v>
      </c>
      <c r="H1222" s="16">
        <v>1049.4234695999999</v>
      </c>
      <c r="I1222" s="16">
        <v>922.61329549999994</v>
      </c>
      <c r="J1222" s="3" t="s">
        <v>5011</v>
      </c>
      <c r="K1222" s="16">
        <v>10482.776027452899</v>
      </c>
      <c r="L1222" s="16">
        <v>1743.3312203</v>
      </c>
      <c r="M1222" s="16">
        <f t="shared" si="37"/>
        <v>1.6612275890537223</v>
      </c>
    </row>
    <row r="1223" spans="1:13" x14ac:dyDescent="0.25">
      <c r="A1223" s="2">
        <f t="shared" si="36"/>
        <v>1218</v>
      </c>
      <c r="B1223" s="2">
        <v>66203</v>
      </c>
      <c r="C1223" s="2" t="s">
        <v>3729</v>
      </c>
      <c r="D1223" s="14" t="s">
        <v>1216</v>
      </c>
      <c r="E1223" s="14">
        <v>3.1095900000000003E-2</v>
      </c>
      <c r="F1223" s="14">
        <v>0</v>
      </c>
      <c r="G1223" s="14">
        <v>3.1095900000000003E-2</v>
      </c>
      <c r="H1223" s="16">
        <v>13.640538100000001</v>
      </c>
      <c r="I1223" s="16">
        <v>13.640538100000001</v>
      </c>
      <c r="J1223" s="3" t="s">
        <v>5011</v>
      </c>
      <c r="K1223" s="16">
        <v>60.783770882999995</v>
      </c>
      <c r="L1223" s="16">
        <v>17.032191000000001</v>
      </c>
      <c r="M1223" s="16">
        <f t="shared" ref="M1223:M1286" si="38">L1223/H1223</f>
        <v>1.2486450956066022</v>
      </c>
    </row>
    <row r="1224" spans="1:13" x14ac:dyDescent="0.25">
      <c r="A1224" s="2">
        <f t="shared" ref="A1224:A1287" si="39">A1223+1</f>
        <v>1219</v>
      </c>
      <c r="B1224" s="2">
        <v>66529</v>
      </c>
      <c r="C1224" s="2" t="s">
        <v>3730</v>
      </c>
      <c r="D1224" s="14" t="s">
        <v>1217</v>
      </c>
      <c r="E1224" s="14">
        <v>0</v>
      </c>
      <c r="F1224" s="14">
        <v>0</v>
      </c>
      <c r="G1224" s="14">
        <v>0</v>
      </c>
      <c r="H1224" s="16">
        <v>0</v>
      </c>
      <c r="I1224" s="16">
        <v>0</v>
      </c>
      <c r="J1224" s="3" t="s">
        <v>5011</v>
      </c>
      <c r="K1224" s="16">
        <v>0</v>
      </c>
      <c r="L1224" s="16">
        <v>0</v>
      </c>
      <c r="M1224" s="16">
        <v>0</v>
      </c>
    </row>
    <row r="1225" spans="1:13" x14ac:dyDescent="0.25">
      <c r="A1225" s="2">
        <f t="shared" si="39"/>
        <v>1220</v>
      </c>
      <c r="B1225" s="2">
        <v>66555</v>
      </c>
      <c r="C1225" s="2" t="s">
        <v>3731</v>
      </c>
      <c r="D1225" s="14" t="s">
        <v>1218</v>
      </c>
      <c r="E1225" s="14">
        <v>5.1811650000000009</v>
      </c>
      <c r="F1225" s="14">
        <v>0</v>
      </c>
      <c r="G1225" s="14">
        <v>5.1811650000000009</v>
      </c>
      <c r="H1225" s="16">
        <v>99.820010100000005</v>
      </c>
      <c r="I1225" s="16">
        <v>-264.9411897</v>
      </c>
      <c r="J1225" s="3" t="s">
        <v>5011</v>
      </c>
      <c r="K1225" s="16">
        <v>3496.3055137355009</v>
      </c>
      <c r="L1225" s="16">
        <v>260.99149999999997</v>
      </c>
      <c r="M1225" s="16">
        <f t="shared" si="38"/>
        <v>2.6146210538201493</v>
      </c>
    </row>
    <row r="1226" spans="1:13" x14ac:dyDescent="0.25">
      <c r="A1226" s="2">
        <f t="shared" si="39"/>
        <v>1221</v>
      </c>
      <c r="B1226" s="2">
        <v>66560</v>
      </c>
      <c r="C1226" s="2" t="s">
        <v>3732</v>
      </c>
      <c r="D1226" s="14" t="s">
        <v>1219</v>
      </c>
      <c r="E1226" s="14">
        <v>5.7533370999999995</v>
      </c>
      <c r="F1226" s="14">
        <v>0</v>
      </c>
      <c r="G1226" s="14">
        <v>5.7533370999999995</v>
      </c>
      <c r="H1226" s="16">
        <v>147.41953150000001</v>
      </c>
      <c r="I1226" s="16">
        <v>104.04399380000001</v>
      </c>
      <c r="J1226" s="3" t="s">
        <v>5011</v>
      </c>
      <c r="K1226" s="16">
        <v>5032.3017389122997</v>
      </c>
      <c r="L1226" s="16">
        <v>595.38226369999995</v>
      </c>
      <c r="M1226" s="16">
        <f t="shared" si="38"/>
        <v>4.0386932290583211</v>
      </c>
    </row>
    <row r="1227" spans="1:13" x14ac:dyDescent="0.25">
      <c r="A1227" s="2">
        <f t="shared" si="39"/>
        <v>1222</v>
      </c>
      <c r="B1227" s="2">
        <v>66751</v>
      </c>
      <c r="C1227" s="2" t="s">
        <v>3733</v>
      </c>
      <c r="D1227" s="14" t="s">
        <v>1220</v>
      </c>
      <c r="E1227" s="14">
        <v>0</v>
      </c>
      <c r="F1227" s="14">
        <v>0</v>
      </c>
      <c r="G1227" s="14">
        <v>0</v>
      </c>
      <c r="H1227" s="16">
        <v>3.0746199000000001</v>
      </c>
      <c r="I1227" s="16">
        <v>2.0398469000000001</v>
      </c>
      <c r="J1227" s="3" t="s">
        <v>5011</v>
      </c>
      <c r="K1227" s="16">
        <v>30.529061900900004</v>
      </c>
      <c r="L1227" s="16">
        <v>4.3755686999999996</v>
      </c>
      <c r="M1227" s="16">
        <f t="shared" si="38"/>
        <v>1.4231250828760977</v>
      </c>
    </row>
    <row r="1228" spans="1:13" x14ac:dyDescent="0.25">
      <c r="A1228" s="2">
        <f t="shared" si="39"/>
        <v>1223</v>
      </c>
      <c r="B1228" s="2">
        <v>66910</v>
      </c>
      <c r="C1228" s="2" t="s">
        <v>3734</v>
      </c>
      <c r="D1228" s="14" t="s">
        <v>1221</v>
      </c>
      <c r="E1228" s="14">
        <v>0.4609722</v>
      </c>
      <c r="F1228" s="14">
        <v>0</v>
      </c>
      <c r="G1228" s="14">
        <v>0.4609722</v>
      </c>
      <c r="H1228" s="16">
        <v>12.099394999999999</v>
      </c>
      <c r="I1228" s="16">
        <v>7.0993449999999996</v>
      </c>
      <c r="J1228" s="3" t="s">
        <v>5011</v>
      </c>
      <c r="K1228" s="16">
        <v>454.2853192165</v>
      </c>
      <c r="L1228" s="16">
        <v>49.639402500000003</v>
      </c>
      <c r="M1228" s="16">
        <f t="shared" si="38"/>
        <v>4.1026350904322078</v>
      </c>
    </row>
    <row r="1229" spans="1:13" x14ac:dyDescent="0.25">
      <c r="A1229" s="2">
        <f t="shared" si="39"/>
        <v>1224</v>
      </c>
      <c r="B1229" s="2">
        <v>66913</v>
      </c>
      <c r="C1229" s="2" t="s">
        <v>3735</v>
      </c>
      <c r="D1229" s="14" t="s">
        <v>1222</v>
      </c>
      <c r="E1229" s="14">
        <v>0.38010399999999994</v>
      </c>
      <c r="F1229" s="14">
        <v>0</v>
      </c>
      <c r="G1229" s="14">
        <v>0.38010399999999994</v>
      </c>
      <c r="H1229" s="16">
        <v>169.68651690000002</v>
      </c>
      <c r="I1229" s="16">
        <v>167.00824750000001</v>
      </c>
      <c r="J1229" s="3" t="s">
        <v>5011</v>
      </c>
      <c r="K1229" s="16">
        <v>560.50524099079985</v>
      </c>
      <c r="L1229" s="16">
        <v>185.06756829999998</v>
      </c>
      <c r="M1229" s="16">
        <f t="shared" si="38"/>
        <v>1.0906439219862374</v>
      </c>
    </row>
    <row r="1230" spans="1:13" x14ac:dyDescent="0.25">
      <c r="A1230" s="2">
        <f t="shared" si="39"/>
        <v>1225</v>
      </c>
      <c r="B1230" s="2">
        <v>67045</v>
      </c>
      <c r="C1230" s="2" t="s">
        <v>3736</v>
      </c>
      <c r="D1230" s="14" t="s">
        <v>1223</v>
      </c>
      <c r="E1230" s="14">
        <v>19.589294700000004</v>
      </c>
      <c r="F1230" s="14">
        <v>0</v>
      </c>
      <c r="G1230" s="14">
        <v>19.589294700000004</v>
      </c>
      <c r="H1230" s="16">
        <v>331.45349770000001</v>
      </c>
      <c r="I1230" s="16">
        <v>181.49134660000001</v>
      </c>
      <c r="J1230" s="3" t="s">
        <v>5011</v>
      </c>
      <c r="K1230" s="16">
        <v>15652.558074736402</v>
      </c>
      <c r="L1230" s="16">
        <v>1681.6913355000002</v>
      </c>
      <c r="M1230" s="16">
        <f t="shared" si="38"/>
        <v>5.0736870999083745</v>
      </c>
    </row>
    <row r="1231" spans="1:13" x14ac:dyDescent="0.25">
      <c r="A1231" s="2">
        <f t="shared" si="39"/>
        <v>1226</v>
      </c>
      <c r="B1231" s="2">
        <v>67059</v>
      </c>
      <c r="C1231" s="2" t="s">
        <v>3737</v>
      </c>
      <c r="D1231" s="14" t="s">
        <v>1224</v>
      </c>
      <c r="E1231" s="14">
        <v>8.3121199999999992E-2</v>
      </c>
      <c r="F1231" s="14">
        <v>0</v>
      </c>
      <c r="G1231" s="14">
        <v>8.3121199999999992E-2</v>
      </c>
      <c r="H1231" s="16">
        <v>6.1496924999999996</v>
      </c>
      <c r="I1231" s="16">
        <v>6.1496924999999996</v>
      </c>
      <c r="J1231" s="3" t="s">
        <v>5011</v>
      </c>
      <c r="K1231" s="16">
        <v>114.0175804961</v>
      </c>
      <c r="L1231" s="16">
        <v>14.632056499999999</v>
      </c>
      <c r="M1231" s="16">
        <f t="shared" si="38"/>
        <v>2.3793151446190195</v>
      </c>
    </row>
    <row r="1232" spans="1:13" x14ac:dyDescent="0.25">
      <c r="A1232" s="2">
        <f t="shared" si="39"/>
        <v>1227</v>
      </c>
      <c r="B1232" s="2">
        <v>67288</v>
      </c>
      <c r="C1232" s="2" t="s">
        <v>3738</v>
      </c>
      <c r="D1232" s="14" t="s">
        <v>1225</v>
      </c>
      <c r="E1232" s="14">
        <v>1.9122708000000002</v>
      </c>
      <c r="F1232" s="14">
        <v>0</v>
      </c>
      <c r="G1232" s="14">
        <v>1.9122708000000002</v>
      </c>
      <c r="H1232" s="16">
        <v>34.356758599999999</v>
      </c>
      <c r="I1232" s="16">
        <v>21.116258699999999</v>
      </c>
      <c r="J1232" s="3" t="s">
        <v>5011</v>
      </c>
      <c r="K1232" s="16">
        <v>1910.5387870025997</v>
      </c>
      <c r="L1232" s="16">
        <v>208.80623199999999</v>
      </c>
      <c r="M1232" s="16">
        <f t="shared" si="38"/>
        <v>6.0775882390721225</v>
      </c>
    </row>
    <row r="1233" spans="1:13" x14ac:dyDescent="0.25">
      <c r="A1233" s="2">
        <f t="shared" si="39"/>
        <v>1228</v>
      </c>
      <c r="B1233" s="2">
        <v>67333</v>
      </c>
      <c r="C1233" s="2" t="s">
        <v>3739</v>
      </c>
      <c r="D1233" s="14" t="s">
        <v>1226</v>
      </c>
      <c r="E1233" s="14">
        <v>0</v>
      </c>
      <c r="F1233" s="14">
        <v>0</v>
      </c>
      <c r="G1233" s="14">
        <v>0</v>
      </c>
      <c r="H1233" s="16">
        <v>0</v>
      </c>
      <c r="I1233" s="16">
        <v>0</v>
      </c>
      <c r="J1233" s="3" t="s">
        <v>5011</v>
      </c>
      <c r="K1233" s="16">
        <v>0</v>
      </c>
      <c r="L1233" s="16">
        <v>0</v>
      </c>
      <c r="M1233" s="16">
        <v>0</v>
      </c>
    </row>
    <row r="1234" spans="1:13" x14ac:dyDescent="0.25">
      <c r="A1234" s="2">
        <f t="shared" si="39"/>
        <v>1229</v>
      </c>
      <c r="B1234" s="2">
        <v>67429</v>
      </c>
      <c r="C1234" s="2" t="s">
        <v>3740</v>
      </c>
      <c r="D1234" s="14" t="s">
        <v>1227</v>
      </c>
      <c r="E1234" s="14">
        <v>1.1979185000000001</v>
      </c>
      <c r="F1234" s="14">
        <v>0</v>
      </c>
      <c r="G1234" s="14">
        <v>1.1979185000000001</v>
      </c>
      <c r="H1234" s="16">
        <v>50.130597999999999</v>
      </c>
      <c r="I1234" s="16">
        <v>41.915597599999998</v>
      </c>
      <c r="J1234" s="3" t="s">
        <v>5011</v>
      </c>
      <c r="K1234" s="16">
        <v>1126.4779608629001</v>
      </c>
      <c r="L1234" s="16">
        <v>144.06572310000001</v>
      </c>
      <c r="M1234" s="16">
        <f t="shared" si="38"/>
        <v>2.873808189960152</v>
      </c>
    </row>
    <row r="1235" spans="1:13" x14ac:dyDescent="0.25">
      <c r="A1235" s="2">
        <f t="shared" si="39"/>
        <v>1230</v>
      </c>
      <c r="B1235" s="2">
        <v>67458</v>
      </c>
      <c r="C1235" s="2" t="s">
        <v>3741</v>
      </c>
      <c r="D1235" s="14" t="s">
        <v>1228</v>
      </c>
      <c r="E1235" s="14">
        <v>5.7908800000000003E-2</v>
      </c>
      <c r="F1235" s="14">
        <v>0</v>
      </c>
      <c r="G1235" s="14">
        <v>5.7908800000000003E-2</v>
      </c>
      <c r="H1235" s="16">
        <v>18.619069</v>
      </c>
      <c r="I1235" s="16">
        <v>14.307615299999998</v>
      </c>
      <c r="J1235" s="3" t="s">
        <v>5011</v>
      </c>
      <c r="K1235" s="16">
        <v>118.8409564438</v>
      </c>
      <c r="L1235" s="16">
        <v>21.095301200000002</v>
      </c>
      <c r="M1235" s="16">
        <f t="shared" si="38"/>
        <v>1.1329944155639577</v>
      </c>
    </row>
    <row r="1236" spans="1:13" x14ac:dyDescent="0.25">
      <c r="A1236" s="2">
        <f t="shared" si="39"/>
        <v>1231</v>
      </c>
      <c r="B1236" s="2">
        <v>67592</v>
      </c>
      <c r="C1236" s="2" t="s">
        <v>3742</v>
      </c>
      <c r="D1236" s="14" t="s">
        <v>1229</v>
      </c>
      <c r="E1236" s="14">
        <v>0</v>
      </c>
      <c r="F1236" s="14">
        <v>0</v>
      </c>
      <c r="G1236" s="14">
        <v>0</v>
      </c>
      <c r="H1236" s="16">
        <v>1.9998999999999999E-2</v>
      </c>
      <c r="I1236" s="16">
        <v>-9.7455799999999995E-2</v>
      </c>
      <c r="J1236" s="3" t="s">
        <v>5011</v>
      </c>
      <c r="K1236" s="16">
        <v>11.824923760800001</v>
      </c>
      <c r="L1236" s="16">
        <v>1.1985754</v>
      </c>
      <c r="M1236" s="16">
        <f t="shared" si="38"/>
        <v>59.931766588329417</v>
      </c>
    </row>
    <row r="1237" spans="1:13" x14ac:dyDescent="0.25">
      <c r="A1237" s="2">
        <f t="shared" si="39"/>
        <v>1232</v>
      </c>
      <c r="B1237" s="2">
        <v>67688</v>
      </c>
      <c r="C1237" s="2" t="s">
        <v>3743</v>
      </c>
      <c r="D1237" s="14" t="s">
        <v>1230</v>
      </c>
      <c r="E1237" s="14">
        <v>0</v>
      </c>
      <c r="F1237" s="14">
        <v>0</v>
      </c>
      <c r="G1237" s="14">
        <v>0</v>
      </c>
      <c r="H1237" s="16">
        <v>0</v>
      </c>
      <c r="I1237" s="16">
        <v>0</v>
      </c>
      <c r="J1237" s="3" t="s">
        <v>5011</v>
      </c>
      <c r="K1237" s="16">
        <v>0</v>
      </c>
      <c r="L1237" s="16">
        <v>0</v>
      </c>
      <c r="M1237" s="16">
        <v>0</v>
      </c>
    </row>
    <row r="1238" spans="1:13" x14ac:dyDescent="0.25">
      <c r="A1238" s="2">
        <f t="shared" si="39"/>
        <v>1233</v>
      </c>
      <c r="B1238" s="2">
        <v>67693</v>
      </c>
      <c r="C1238" s="2" t="s">
        <v>3744</v>
      </c>
      <c r="D1238" s="14" t="s">
        <v>1231</v>
      </c>
      <c r="E1238" s="14">
        <v>0</v>
      </c>
      <c r="F1238" s="14">
        <v>0</v>
      </c>
      <c r="G1238" s="14">
        <v>0</v>
      </c>
      <c r="H1238" s="16">
        <v>0</v>
      </c>
      <c r="I1238" s="16">
        <v>0</v>
      </c>
      <c r="J1238" s="3" t="s">
        <v>5011</v>
      </c>
      <c r="K1238" s="16">
        <v>0</v>
      </c>
      <c r="L1238" s="16">
        <v>0</v>
      </c>
      <c r="M1238" s="16">
        <v>0</v>
      </c>
    </row>
    <row r="1239" spans="1:13" x14ac:dyDescent="0.25">
      <c r="A1239" s="2">
        <f t="shared" si="39"/>
        <v>1234</v>
      </c>
      <c r="B1239" s="2">
        <v>67712</v>
      </c>
      <c r="C1239" s="2" t="s">
        <v>3745</v>
      </c>
      <c r="D1239" s="14" t="s">
        <v>1232</v>
      </c>
      <c r="E1239" s="14">
        <v>0</v>
      </c>
      <c r="F1239" s="14">
        <v>0</v>
      </c>
      <c r="G1239" s="14">
        <v>0</v>
      </c>
      <c r="H1239" s="16">
        <v>0</v>
      </c>
      <c r="I1239" s="16">
        <v>-3.8105841999999996</v>
      </c>
      <c r="J1239" s="3" t="s">
        <v>5011</v>
      </c>
      <c r="K1239" s="16">
        <v>20.002816111799998</v>
      </c>
      <c r="L1239" s="16">
        <v>0</v>
      </c>
      <c r="M1239" s="16">
        <v>0</v>
      </c>
    </row>
    <row r="1240" spans="1:13" x14ac:dyDescent="0.25">
      <c r="A1240" s="2">
        <f t="shared" si="39"/>
        <v>1235</v>
      </c>
      <c r="B1240" s="2">
        <v>67793</v>
      </c>
      <c r="C1240" s="2" t="s">
        <v>3746</v>
      </c>
      <c r="D1240" s="14" t="s">
        <v>1233</v>
      </c>
      <c r="E1240" s="14">
        <v>4.47882E-2</v>
      </c>
      <c r="F1240" s="14">
        <v>0</v>
      </c>
      <c r="G1240" s="14">
        <v>4.47882E-2</v>
      </c>
      <c r="H1240" s="16">
        <v>23.13841</v>
      </c>
      <c r="I1240" s="16">
        <v>15.5188431</v>
      </c>
      <c r="J1240" s="3" t="s">
        <v>5011</v>
      </c>
      <c r="K1240" s="16">
        <v>183.13110392729999</v>
      </c>
      <c r="L1240" s="16">
        <v>27.895414199999998</v>
      </c>
      <c r="M1240" s="16">
        <f t="shared" si="38"/>
        <v>1.205589070294804</v>
      </c>
    </row>
    <row r="1241" spans="1:13" x14ac:dyDescent="0.25">
      <c r="A1241" s="2">
        <f t="shared" si="39"/>
        <v>1236</v>
      </c>
      <c r="B1241" s="2">
        <v>68185</v>
      </c>
      <c r="C1241" s="2" t="s">
        <v>3747</v>
      </c>
      <c r="D1241" s="14" t="s">
        <v>1234</v>
      </c>
      <c r="E1241" s="14">
        <v>0</v>
      </c>
      <c r="F1241" s="14">
        <v>0</v>
      </c>
      <c r="G1241" s="14">
        <v>0</v>
      </c>
      <c r="H1241" s="16">
        <v>0</v>
      </c>
      <c r="I1241" s="16">
        <v>0</v>
      </c>
      <c r="J1241" s="3" t="s">
        <v>5011</v>
      </c>
      <c r="K1241" s="16">
        <v>0</v>
      </c>
      <c r="L1241" s="16">
        <v>0</v>
      </c>
      <c r="M1241" s="16">
        <v>0</v>
      </c>
    </row>
    <row r="1242" spans="1:13" x14ac:dyDescent="0.25">
      <c r="A1242" s="2">
        <f t="shared" si="39"/>
        <v>1237</v>
      </c>
      <c r="B1242" s="2">
        <v>68368</v>
      </c>
      <c r="C1242" s="2" t="s">
        <v>3748</v>
      </c>
      <c r="D1242" s="14" t="s">
        <v>1235</v>
      </c>
      <c r="E1242" s="14">
        <v>5.4023732999999998</v>
      </c>
      <c r="F1242" s="14">
        <v>0</v>
      </c>
      <c r="G1242" s="14">
        <v>5.4023732999999998</v>
      </c>
      <c r="H1242" s="16">
        <v>177.71718800000002</v>
      </c>
      <c r="I1242" s="16">
        <v>50.806567600000015</v>
      </c>
      <c r="J1242" s="3" t="s">
        <v>5011</v>
      </c>
      <c r="K1242" s="16">
        <v>3055.2376840276997</v>
      </c>
      <c r="L1242" s="16">
        <v>354.34621499999997</v>
      </c>
      <c r="M1242" s="16">
        <f t="shared" si="38"/>
        <v>1.9938770075520209</v>
      </c>
    </row>
    <row r="1243" spans="1:13" x14ac:dyDescent="0.25">
      <c r="A1243" s="2">
        <f t="shared" si="39"/>
        <v>1238</v>
      </c>
      <c r="B1243" s="2">
        <v>68412</v>
      </c>
      <c r="C1243" s="2" t="s">
        <v>3749</v>
      </c>
      <c r="D1243" s="14" t="s">
        <v>1236</v>
      </c>
      <c r="E1243" s="14">
        <v>7.0675024999999998</v>
      </c>
      <c r="F1243" s="14">
        <v>0</v>
      </c>
      <c r="G1243" s="14">
        <v>7.0675024999999998</v>
      </c>
      <c r="H1243" s="16">
        <v>626.11541390000002</v>
      </c>
      <c r="I1243" s="16">
        <v>443.23173370000006</v>
      </c>
      <c r="J1243" s="3" t="s">
        <v>5011</v>
      </c>
      <c r="K1243" s="16">
        <v>6514.1004318594005</v>
      </c>
      <c r="L1243" s="16">
        <v>973.41477659999998</v>
      </c>
      <c r="M1243" s="16">
        <f t="shared" si="38"/>
        <v>1.5546890477215896</v>
      </c>
    </row>
    <row r="1244" spans="1:13" x14ac:dyDescent="0.25">
      <c r="A1244" s="2">
        <f t="shared" si="39"/>
        <v>1239</v>
      </c>
      <c r="B1244" s="2">
        <v>68758</v>
      </c>
      <c r="C1244" s="2" t="s">
        <v>3750</v>
      </c>
      <c r="D1244" s="14" t="s">
        <v>1237</v>
      </c>
      <c r="E1244" s="14">
        <v>0</v>
      </c>
      <c r="F1244" s="14">
        <v>0</v>
      </c>
      <c r="G1244" s="14">
        <v>0</v>
      </c>
      <c r="H1244" s="16">
        <v>0</v>
      </c>
      <c r="I1244" s="16">
        <v>0</v>
      </c>
      <c r="J1244" s="3" t="s">
        <v>5011</v>
      </c>
      <c r="K1244" s="16">
        <v>0</v>
      </c>
      <c r="L1244" s="16">
        <v>0</v>
      </c>
      <c r="M1244" s="16">
        <v>0</v>
      </c>
    </row>
    <row r="1245" spans="1:13" x14ac:dyDescent="0.25">
      <c r="A1245" s="2">
        <f t="shared" si="39"/>
        <v>1240</v>
      </c>
      <c r="B1245" s="2">
        <v>69443</v>
      </c>
      <c r="C1245" s="2" t="s">
        <v>3751</v>
      </c>
      <c r="D1245" s="14" t="s">
        <v>1238</v>
      </c>
      <c r="E1245" s="14">
        <v>0.53411660000000005</v>
      </c>
      <c r="F1245" s="14">
        <v>0</v>
      </c>
      <c r="G1245" s="14">
        <v>0.53411660000000005</v>
      </c>
      <c r="H1245" s="16">
        <v>45.617915199999999</v>
      </c>
      <c r="I1245" s="16">
        <v>31.203214599999995</v>
      </c>
      <c r="J1245" s="3" t="s">
        <v>5011</v>
      </c>
      <c r="K1245" s="16">
        <v>684.4026538441999</v>
      </c>
      <c r="L1245" s="16">
        <v>83.80206530000001</v>
      </c>
      <c r="M1245" s="16">
        <f t="shared" si="38"/>
        <v>1.8370428576709708</v>
      </c>
    </row>
    <row r="1246" spans="1:13" x14ac:dyDescent="0.25">
      <c r="A1246" s="2">
        <f t="shared" si="39"/>
        <v>1241</v>
      </c>
      <c r="B1246" s="2">
        <v>69521</v>
      </c>
      <c r="C1246" s="2" t="s">
        <v>3752</v>
      </c>
      <c r="D1246" s="14" t="s">
        <v>1239</v>
      </c>
      <c r="E1246" s="14">
        <v>0</v>
      </c>
      <c r="F1246" s="14">
        <v>0</v>
      </c>
      <c r="G1246" s="14">
        <v>0</v>
      </c>
      <c r="H1246" s="16">
        <v>0</v>
      </c>
      <c r="I1246" s="16">
        <v>0</v>
      </c>
      <c r="J1246" s="3" t="s">
        <v>5011</v>
      </c>
      <c r="K1246" s="16">
        <v>0</v>
      </c>
      <c r="L1246" s="16">
        <v>0</v>
      </c>
      <c r="M1246" s="16">
        <v>0</v>
      </c>
    </row>
    <row r="1247" spans="1:13" x14ac:dyDescent="0.25">
      <c r="A1247" s="2">
        <f t="shared" si="39"/>
        <v>1242</v>
      </c>
      <c r="B1247" s="2">
        <v>69541</v>
      </c>
      <c r="C1247" s="2" t="s">
        <v>3753</v>
      </c>
      <c r="D1247" s="14" t="s">
        <v>1240</v>
      </c>
      <c r="E1247" s="14">
        <v>4.7863599999999999E-2</v>
      </c>
      <c r="F1247" s="14">
        <v>0</v>
      </c>
      <c r="G1247" s="14">
        <v>4.7863599999999999E-2</v>
      </c>
      <c r="H1247" s="16">
        <v>5.9497024999999999</v>
      </c>
      <c r="I1247" s="16">
        <v>5.9497024999999999</v>
      </c>
      <c r="J1247" s="3" t="s">
        <v>5011</v>
      </c>
      <c r="K1247" s="16">
        <v>57.715693392000006</v>
      </c>
      <c r="L1247" s="16">
        <v>11.129338700000002</v>
      </c>
      <c r="M1247" s="16">
        <f t="shared" si="38"/>
        <v>1.8705706209680235</v>
      </c>
    </row>
    <row r="1248" spans="1:13" x14ac:dyDescent="0.25">
      <c r="A1248" s="2">
        <f t="shared" si="39"/>
        <v>1243</v>
      </c>
      <c r="B1248" s="2">
        <v>69583</v>
      </c>
      <c r="C1248" s="2" t="s">
        <v>3754</v>
      </c>
      <c r="D1248" s="14" t="s">
        <v>1241</v>
      </c>
      <c r="E1248" s="14">
        <v>98.315153400000014</v>
      </c>
      <c r="F1248" s="14">
        <v>0</v>
      </c>
      <c r="G1248" s="14">
        <v>98.315153400000014</v>
      </c>
      <c r="H1248" s="16">
        <v>7451.8660517999997</v>
      </c>
      <c r="I1248" s="16">
        <v>5587.0074283999993</v>
      </c>
      <c r="J1248" s="3" t="s">
        <v>5011</v>
      </c>
      <c r="K1248" s="16">
        <v>96722.406924805255</v>
      </c>
      <c r="L1248" s="16">
        <v>13392.2542478</v>
      </c>
      <c r="M1248" s="16">
        <f t="shared" si="38"/>
        <v>1.7971678710683612</v>
      </c>
    </row>
    <row r="1249" spans="1:13" x14ac:dyDescent="0.25">
      <c r="A1249" s="2">
        <f t="shared" si="39"/>
        <v>1244</v>
      </c>
      <c r="B1249" s="2">
        <v>69846</v>
      </c>
      <c r="C1249" s="2" t="s">
        <v>3755</v>
      </c>
      <c r="D1249" s="14" t="s">
        <v>1242</v>
      </c>
      <c r="E1249" s="14">
        <v>0.29735670000000003</v>
      </c>
      <c r="F1249" s="14">
        <v>0</v>
      </c>
      <c r="G1249" s="14">
        <v>0.29735670000000003</v>
      </c>
      <c r="H1249" s="16">
        <v>2.5998700000000001</v>
      </c>
      <c r="I1249" s="16">
        <v>-6.8843095999999999</v>
      </c>
      <c r="J1249" s="3" t="s">
        <v>5011</v>
      </c>
      <c r="K1249" s="16">
        <v>265.22974264009997</v>
      </c>
      <c r="L1249" s="16">
        <v>19.514567499999998</v>
      </c>
      <c r="M1249" s="16">
        <f t="shared" si="38"/>
        <v>7.5059781835245598</v>
      </c>
    </row>
    <row r="1250" spans="1:13" x14ac:dyDescent="0.25">
      <c r="A1250" s="2">
        <f t="shared" si="39"/>
        <v>1245</v>
      </c>
      <c r="B1250" s="2">
        <v>70419</v>
      </c>
      <c r="C1250" s="2" t="s">
        <v>3756</v>
      </c>
      <c r="D1250" s="14" t="s">
        <v>1243</v>
      </c>
      <c r="E1250" s="14">
        <v>0.51897480000000007</v>
      </c>
      <c r="F1250" s="14">
        <v>0</v>
      </c>
      <c r="G1250" s="14">
        <v>0.51897480000000007</v>
      </c>
      <c r="H1250" s="16">
        <v>30.104063700000001</v>
      </c>
      <c r="I1250" s="16">
        <v>22.145327200000001</v>
      </c>
      <c r="J1250" s="3" t="s">
        <v>5011</v>
      </c>
      <c r="K1250" s="16">
        <v>396.28032909320007</v>
      </c>
      <c r="L1250" s="16">
        <v>54.714775000000003</v>
      </c>
      <c r="M1250" s="16">
        <f t="shared" si="38"/>
        <v>1.8175212338525579</v>
      </c>
    </row>
    <row r="1251" spans="1:13" x14ac:dyDescent="0.25">
      <c r="A1251" s="2">
        <f t="shared" si="39"/>
        <v>1246</v>
      </c>
      <c r="B1251" s="2">
        <v>70462</v>
      </c>
      <c r="C1251" s="2" t="s">
        <v>3757</v>
      </c>
      <c r="D1251" s="14" t="s">
        <v>1244</v>
      </c>
      <c r="E1251" s="14">
        <v>0</v>
      </c>
      <c r="F1251" s="14">
        <v>0</v>
      </c>
      <c r="G1251" s="14">
        <v>0</v>
      </c>
      <c r="H1251" s="16">
        <v>0</v>
      </c>
      <c r="I1251" s="16">
        <v>0</v>
      </c>
      <c r="J1251" s="3" t="s">
        <v>5011</v>
      </c>
      <c r="K1251" s="16">
        <v>0</v>
      </c>
      <c r="L1251" s="16">
        <v>0</v>
      </c>
      <c r="M1251" s="16">
        <v>0</v>
      </c>
    </row>
    <row r="1252" spans="1:13" x14ac:dyDescent="0.25">
      <c r="A1252" s="2">
        <f t="shared" si="39"/>
        <v>1247</v>
      </c>
      <c r="B1252" s="2">
        <v>70565</v>
      </c>
      <c r="C1252" s="2" t="s">
        <v>3758</v>
      </c>
      <c r="D1252" s="14" t="s">
        <v>1245</v>
      </c>
      <c r="E1252" s="14">
        <v>0.30020559999999996</v>
      </c>
      <c r="F1252" s="14">
        <v>0</v>
      </c>
      <c r="G1252" s="14">
        <v>0.30020559999999996</v>
      </c>
      <c r="H1252" s="16">
        <v>12.1616094</v>
      </c>
      <c r="I1252" s="16">
        <v>10.719978100000001</v>
      </c>
      <c r="J1252" s="3" t="s">
        <v>5011</v>
      </c>
      <c r="K1252" s="16">
        <v>242.39077009749997</v>
      </c>
      <c r="L1252" s="16">
        <v>31.066019900000001</v>
      </c>
      <c r="M1252" s="16">
        <f t="shared" si="38"/>
        <v>2.5544332890678105</v>
      </c>
    </row>
    <row r="1253" spans="1:13" x14ac:dyDescent="0.25">
      <c r="A1253" s="2">
        <f t="shared" si="39"/>
        <v>1248</v>
      </c>
      <c r="B1253" s="2">
        <v>70818</v>
      </c>
      <c r="C1253" s="2" t="s">
        <v>3759</v>
      </c>
      <c r="D1253" s="14" t="s">
        <v>1246</v>
      </c>
      <c r="E1253" s="14">
        <v>7.6029666999999996</v>
      </c>
      <c r="F1253" s="14">
        <v>0</v>
      </c>
      <c r="G1253" s="14">
        <v>7.6029666999999996</v>
      </c>
      <c r="H1253" s="16">
        <v>38.009451800000001</v>
      </c>
      <c r="I1253" s="16">
        <v>15.250262000000001</v>
      </c>
      <c r="J1253" s="3" t="s">
        <v>5011</v>
      </c>
      <c r="K1253" s="16">
        <v>6065.2873782237984</v>
      </c>
      <c r="L1253" s="16">
        <v>630.54031120000002</v>
      </c>
      <c r="M1253" s="16">
        <f t="shared" si="38"/>
        <v>16.589039866131404</v>
      </c>
    </row>
    <row r="1254" spans="1:13" x14ac:dyDescent="0.25">
      <c r="A1254" s="2">
        <f t="shared" si="39"/>
        <v>1249</v>
      </c>
      <c r="B1254" s="2">
        <v>70892</v>
      </c>
      <c r="C1254" s="2" t="s">
        <v>3760</v>
      </c>
      <c r="D1254" s="14" t="s">
        <v>1247</v>
      </c>
      <c r="E1254" s="14">
        <v>18.0951016</v>
      </c>
      <c r="F1254" s="14">
        <v>0</v>
      </c>
      <c r="G1254" s="14">
        <v>18.0951016</v>
      </c>
      <c r="H1254" s="16">
        <v>2274.6618996000002</v>
      </c>
      <c r="I1254" s="16">
        <v>1891.4211473000003</v>
      </c>
      <c r="J1254" s="3" t="s">
        <v>5011</v>
      </c>
      <c r="K1254" s="16">
        <v>19001.966596386497</v>
      </c>
      <c r="L1254" s="16">
        <v>3303.6689969999998</v>
      </c>
      <c r="M1254" s="16">
        <f t="shared" si="38"/>
        <v>1.4523780424602666</v>
      </c>
    </row>
    <row r="1255" spans="1:13" x14ac:dyDescent="0.25">
      <c r="A1255" s="2">
        <f t="shared" si="39"/>
        <v>1250</v>
      </c>
      <c r="B1255" s="2">
        <v>71520</v>
      </c>
      <c r="C1255" s="2" t="s">
        <v>3761</v>
      </c>
      <c r="D1255" s="14" t="s">
        <v>1248</v>
      </c>
      <c r="E1255" s="14">
        <v>0.57002489999999995</v>
      </c>
      <c r="F1255" s="14">
        <v>0</v>
      </c>
      <c r="G1255" s="14">
        <v>0.57002489999999995</v>
      </c>
      <c r="H1255" s="16">
        <v>205.55322469999999</v>
      </c>
      <c r="I1255" s="16">
        <v>197.33779429999998</v>
      </c>
      <c r="J1255" s="3" t="s">
        <v>5011</v>
      </c>
      <c r="K1255" s="16">
        <v>841.23270711970008</v>
      </c>
      <c r="L1255" s="16">
        <v>236.16129090000001</v>
      </c>
      <c r="M1255" s="16">
        <f t="shared" si="38"/>
        <v>1.148905794324909</v>
      </c>
    </row>
    <row r="1256" spans="1:13" x14ac:dyDescent="0.25">
      <c r="A1256" s="2">
        <f t="shared" si="39"/>
        <v>1251</v>
      </c>
      <c r="B1256" s="2">
        <v>71529</v>
      </c>
      <c r="C1256" s="2" t="s">
        <v>3762</v>
      </c>
      <c r="D1256" s="14" t="s">
        <v>1249</v>
      </c>
      <c r="E1256" s="14">
        <v>0.37885589999999997</v>
      </c>
      <c r="F1256" s="14">
        <v>0</v>
      </c>
      <c r="G1256" s="14">
        <v>0.37885589999999997</v>
      </c>
      <c r="H1256" s="16">
        <v>33.311388299999997</v>
      </c>
      <c r="I1256" s="16">
        <v>29.2685283</v>
      </c>
      <c r="J1256" s="3" t="s">
        <v>5011</v>
      </c>
      <c r="K1256" s="16">
        <v>466.48894527979996</v>
      </c>
      <c r="L1256" s="16">
        <v>66.860109699999995</v>
      </c>
      <c r="M1256" s="16">
        <f t="shared" si="38"/>
        <v>2.0071246835425351</v>
      </c>
    </row>
    <row r="1257" spans="1:13" x14ac:dyDescent="0.25">
      <c r="A1257" s="2">
        <f t="shared" si="39"/>
        <v>1252</v>
      </c>
      <c r="B1257" s="2">
        <v>72073</v>
      </c>
      <c r="C1257" s="2" t="s">
        <v>3763</v>
      </c>
      <c r="D1257" s="14" t="s">
        <v>1250</v>
      </c>
      <c r="E1257" s="14">
        <v>0</v>
      </c>
      <c r="F1257" s="14">
        <v>0</v>
      </c>
      <c r="G1257" s="14">
        <v>0</v>
      </c>
      <c r="H1257" s="16">
        <v>0</v>
      </c>
      <c r="I1257" s="16">
        <v>0</v>
      </c>
      <c r="J1257" s="3" t="s">
        <v>5011</v>
      </c>
      <c r="K1257" s="16">
        <v>0</v>
      </c>
      <c r="L1257" s="16">
        <v>0</v>
      </c>
      <c r="M1257" s="16">
        <v>0</v>
      </c>
    </row>
    <row r="1258" spans="1:13" x14ac:dyDescent="0.25">
      <c r="A1258" s="2">
        <f t="shared" si="39"/>
        <v>1253</v>
      </c>
      <c r="B1258" s="2">
        <v>72287</v>
      </c>
      <c r="C1258" s="2" t="s">
        <v>3764</v>
      </c>
      <c r="D1258" s="14" t="s">
        <v>1251</v>
      </c>
      <c r="E1258" s="14">
        <v>0</v>
      </c>
      <c r="F1258" s="14">
        <v>0</v>
      </c>
      <c r="G1258" s="14">
        <v>0</v>
      </c>
      <c r="H1258" s="16">
        <v>0</v>
      </c>
      <c r="I1258" s="16">
        <v>0</v>
      </c>
      <c r="J1258" s="3" t="s">
        <v>5011</v>
      </c>
      <c r="K1258" s="16">
        <v>0</v>
      </c>
      <c r="L1258" s="16">
        <v>0</v>
      </c>
      <c r="M1258" s="16">
        <v>0</v>
      </c>
    </row>
    <row r="1259" spans="1:13" x14ac:dyDescent="0.25">
      <c r="A1259" s="2">
        <f t="shared" si="39"/>
        <v>1254</v>
      </c>
      <c r="B1259" s="2">
        <v>72346</v>
      </c>
      <c r="C1259" s="2" t="s">
        <v>3765</v>
      </c>
      <c r="D1259" s="14" t="s">
        <v>1252</v>
      </c>
      <c r="E1259" s="14">
        <v>0</v>
      </c>
      <c r="F1259" s="14">
        <v>0</v>
      </c>
      <c r="G1259" s="14">
        <v>0</v>
      </c>
      <c r="H1259" s="16">
        <v>0</v>
      </c>
      <c r="I1259" s="16">
        <v>0</v>
      </c>
      <c r="J1259" s="3" t="s">
        <v>5011</v>
      </c>
      <c r="K1259" s="16">
        <v>0</v>
      </c>
      <c r="L1259" s="16">
        <v>0</v>
      </c>
      <c r="M1259" s="16">
        <v>0</v>
      </c>
    </row>
    <row r="1260" spans="1:13" x14ac:dyDescent="0.25">
      <c r="A1260" s="2">
        <f t="shared" si="39"/>
        <v>1255</v>
      </c>
      <c r="B1260" s="2">
        <v>72451</v>
      </c>
      <c r="C1260" s="2" t="s">
        <v>3766</v>
      </c>
      <c r="D1260" s="14" t="s">
        <v>1253</v>
      </c>
      <c r="E1260" s="14">
        <v>0</v>
      </c>
      <c r="F1260" s="14">
        <v>0</v>
      </c>
      <c r="G1260" s="14">
        <v>0</v>
      </c>
      <c r="H1260" s="16">
        <v>0</v>
      </c>
      <c r="I1260" s="16">
        <v>0</v>
      </c>
      <c r="J1260" s="3" t="s">
        <v>5011</v>
      </c>
      <c r="K1260" s="16">
        <v>0</v>
      </c>
      <c r="L1260" s="16">
        <v>0</v>
      </c>
      <c r="M1260" s="16">
        <v>0</v>
      </c>
    </row>
    <row r="1261" spans="1:13" x14ac:dyDescent="0.25">
      <c r="A1261" s="2">
        <f t="shared" si="39"/>
        <v>1256</v>
      </c>
      <c r="B1261" s="2">
        <v>72452</v>
      </c>
      <c r="C1261" s="2" t="s">
        <v>3767</v>
      </c>
      <c r="D1261" s="14" t="s">
        <v>1254</v>
      </c>
      <c r="E1261" s="14">
        <v>0</v>
      </c>
      <c r="F1261" s="14">
        <v>0</v>
      </c>
      <c r="G1261" s="14">
        <v>0</v>
      </c>
      <c r="H1261" s="16">
        <v>0</v>
      </c>
      <c r="I1261" s="16">
        <v>0</v>
      </c>
      <c r="J1261" s="3" t="s">
        <v>5011</v>
      </c>
      <c r="K1261" s="16">
        <v>0</v>
      </c>
      <c r="L1261" s="16">
        <v>0</v>
      </c>
      <c r="M1261" s="16">
        <v>0</v>
      </c>
    </row>
    <row r="1262" spans="1:13" x14ac:dyDescent="0.25">
      <c r="A1262" s="2">
        <f t="shared" si="39"/>
        <v>1257</v>
      </c>
      <c r="B1262" s="2">
        <v>72462</v>
      </c>
      <c r="C1262" s="2" t="s">
        <v>3768</v>
      </c>
      <c r="D1262" s="14" t="s">
        <v>1255</v>
      </c>
      <c r="E1262" s="14">
        <v>0</v>
      </c>
      <c r="F1262" s="14">
        <v>0</v>
      </c>
      <c r="G1262" s="14">
        <v>0</v>
      </c>
      <c r="H1262" s="16">
        <v>0</v>
      </c>
      <c r="I1262" s="16">
        <v>0</v>
      </c>
      <c r="J1262" s="3" t="s">
        <v>5011</v>
      </c>
      <c r="K1262" s="16">
        <v>0</v>
      </c>
      <c r="L1262" s="16">
        <v>0</v>
      </c>
      <c r="M1262" s="16">
        <v>0</v>
      </c>
    </row>
    <row r="1263" spans="1:13" x14ac:dyDescent="0.25">
      <c r="A1263" s="2">
        <f t="shared" si="39"/>
        <v>1258</v>
      </c>
      <c r="B1263" s="2">
        <v>72741</v>
      </c>
      <c r="C1263" s="2" t="s">
        <v>3769</v>
      </c>
      <c r="D1263" s="14" t="s">
        <v>1256</v>
      </c>
      <c r="E1263" s="14">
        <v>3.6730864999999997</v>
      </c>
      <c r="F1263" s="14">
        <v>0</v>
      </c>
      <c r="G1263" s="14">
        <v>3.6730864999999997</v>
      </c>
      <c r="H1263" s="16">
        <v>258.13162690000001</v>
      </c>
      <c r="I1263" s="16">
        <v>140.78043730000002</v>
      </c>
      <c r="J1263" s="3" t="s">
        <v>5011</v>
      </c>
      <c r="K1263" s="16">
        <v>2919.246682953501</v>
      </c>
      <c r="L1263" s="16">
        <v>367.24176969999996</v>
      </c>
      <c r="M1263" s="16">
        <f t="shared" si="38"/>
        <v>1.4226918805353097</v>
      </c>
    </row>
    <row r="1264" spans="1:13" x14ac:dyDescent="0.25">
      <c r="A1264" s="2">
        <f t="shared" si="39"/>
        <v>1259</v>
      </c>
      <c r="B1264" s="2">
        <v>72875</v>
      </c>
      <c r="C1264" s="2" t="s">
        <v>3770</v>
      </c>
      <c r="D1264" s="14" t="s">
        <v>1257</v>
      </c>
      <c r="E1264" s="14">
        <v>1.91E-5</v>
      </c>
      <c r="F1264" s="14">
        <v>0</v>
      </c>
      <c r="G1264" s="14">
        <v>1.91E-5</v>
      </c>
      <c r="H1264" s="16">
        <v>9.9995000000000001E-2</v>
      </c>
      <c r="I1264" s="16">
        <v>9.9995000000000001E-2</v>
      </c>
      <c r="J1264" s="3" t="s">
        <v>5011</v>
      </c>
      <c r="K1264" s="16">
        <v>0.10715749669999999</v>
      </c>
      <c r="L1264" s="16">
        <v>9.865850000000001E-2</v>
      </c>
      <c r="M1264" s="16">
        <f t="shared" si="38"/>
        <v>0.98663433171658588</v>
      </c>
    </row>
    <row r="1265" spans="1:13" x14ac:dyDescent="0.25">
      <c r="A1265" s="2">
        <f t="shared" si="39"/>
        <v>1260</v>
      </c>
      <c r="B1265" s="2">
        <v>72885</v>
      </c>
      <c r="C1265" s="2" t="s">
        <v>3771</v>
      </c>
      <c r="D1265" s="14" t="s">
        <v>346</v>
      </c>
      <c r="E1265" s="14">
        <v>1.3469999999999999E-4</v>
      </c>
      <c r="F1265" s="14">
        <v>0</v>
      </c>
      <c r="G1265" s="14">
        <v>1.3469999999999999E-4</v>
      </c>
      <c r="H1265" s="16">
        <v>0.299985</v>
      </c>
      <c r="I1265" s="16">
        <v>0.299985</v>
      </c>
      <c r="J1265" s="3" t="s">
        <v>5011</v>
      </c>
      <c r="K1265" s="16">
        <v>6.7480862864999995</v>
      </c>
      <c r="L1265" s="16">
        <v>0.95247280000000001</v>
      </c>
      <c r="M1265" s="16">
        <f t="shared" si="38"/>
        <v>3.1750680867376704</v>
      </c>
    </row>
    <row r="1266" spans="1:13" x14ac:dyDescent="0.25">
      <c r="A1266" s="2">
        <f t="shared" si="39"/>
        <v>1261</v>
      </c>
      <c r="B1266" s="2">
        <v>72900</v>
      </c>
      <c r="C1266" s="2" t="s">
        <v>3772</v>
      </c>
      <c r="D1266" s="14" t="s">
        <v>1258</v>
      </c>
      <c r="E1266" s="14">
        <v>1.468329</v>
      </c>
      <c r="F1266" s="14">
        <v>0</v>
      </c>
      <c r="G1266" s="14">
        <v>1.468329</v>
      </c>
      <c r="H1266" s="16">
        <v>277.66899769999998</v>
      </c>
      <c r="I1266" s="16">
        <v>242.33886129999999</v>
      </c>
      <c r="J1266" s="3" t="s">
        <v>5011</v>
      </c>
      <c r="K1266" s="16">
        <v>1284.8997036653002</v>
      </c>
      <c r="L1266" s="16">
        <v>296.0775256</v>
      </c>
      <c r="M1266" s="16">
        <f t="shared" si="38"/>
        <v>1.066296662762074</v>
      </c>
    </row>
    <row r="1267" spans="1:13" x14ac:dyDescent="0.25">
      <c r="A1267" s="2">
        <f t="shared" si="39"/>
        <v>1262</v>
      </c>
      <c r="B1267" s="2">
        <v>72969</v>
      </c>
      <c r="C1267" s="2" t="s">
        <v>3773</v>
      </c>
      <c r="D1267" s="14" t="s">
        <v>1259</v>
      </c>
      <c r="E1267" s="14">
        <v>0</v>
      </c>
      <c r="F1267" s="14">
        <v>0</v>
      </c>
      <c r="G1267" s="14">
        <v>0</v>
      </c>
      <c r="H1267" s="16">
        <v>0</v>
      </c>
      <c r="I1267" s="16">
        <v>0</v>
      </c>
      <c r="J1267" s="3" t="s">
        <v>5011</v>
      </c>
      <c r="K1267" s="16">
        <v>0</v>
      </c>
      <c r="L1267" s="16">
        <v>0</v>
      </c>
      <c r="M1267" s="16">
        <v>0</v>
      </c>
    </row>
    <row r="1268" spans="1:13" x14ac:dyDescent="0.25">
      <c r="A1268" s="2">
        <f t="shared" si="39"/>
        <v>1263</v>
      </c>
      <c r="B1268" s="2">
        <v>72999</v>
      </c>
      <c r="C1268" s="2" t="s">
        <v>3774</v>
      </c>
      <c r="D1268" s="14" t="s">
        <v>1260</v>
      </c>
      <c r="E1268" s="14">
        <v>0.23181559999999998</v>
      </c>
      <c r="F1268" s="14">
        <v>0</v>
      </c>
      <c r="G1268" s="14">
        <v>0.23181559999999998</v>
      </c>
      <c r="H1268" s="16">
        <v>19.909004499999998</v>
      </c>
      <c r="I1268" s="16">
        <v>18.5064058</v>
      </c>
      <c r="J1268" s="3" t="s">
        <v>5011</v>
      </c>
      <c r="K1268" s="16">
        <v>275.07338327210005</v>
      </c>
      <c r="L1268" s="16">
        <v>41.807210900000001</v>
      </c>
      <c r="M1268" s="16">
        <f t="shared" si="38"/>
        <v>2.0999146843329108</v>
      </c>
    </row>
    <row r="1269" spans="1:13" x14ac:dyDescent="0.25">
      <c r="A1269" s="2">
        <f t="shared" si="39"/>
        <v>1264</v>
      </c>
      <c r="B1269" s="2">
        <v>73000</v>
      </c>
      <c r="C1269" s="2" t="s">
        <v>3775</v>
      </c>
      <c r="D1269" s="14" t="s">
        <v>1261</v>
      </c>
      <c r="E1269" s="14">
        <v>0.73835839999999997</v>
      </c>
      <c r="F1269" s="14">
        <v>0</v>
      </c>
      <c r="G1269" s="14">
        <v>0.73835839999999997</v>
      </c>
      <c r="H1269" s="16">
        <v>72.931364700000003</v>
      </c>
      <c r="I1269" s="16">
        <v>71.2626147</v>
      </c>
      <c r="J1269" s="3" t="s">
        <v>5011</v>
      </c>
      <c r="K1269" s="16">
        <v>875.84003996479987</v>
      </c>
      <c r="L1269" s="16">
        <v>132.88474109999999</v>
      </c>
      <c r="M1269" s="16">
        <f t="shared" si="38"/>
        <v>1.82205202996839</v>
      </c>
    </row>
    <row r="1270" spans="1:13" x14ac:dyDescent="0.25">
      <c r="A1270" s="2">
        <f t="shared" si="39"/>
        <v>1265</v>
      </c>
      <c r="B1270" s="2">
        <v>73130</v>
      </c>
      <c r="C1270" s="2" t="s">
        <v>3776</v>
      </c>
      <c r="D1270" s="14" t="s">
        <v>1262</v>
      </c>
      <c r="E1270" s="14">
        <v>0.6521728</v>
      </c>
      <c r="F1270" s="14">
        <v>0</v>
      </c>
      <c r="G1270" s="14">
        <v>0.6521728</v>
      </c>
      <c r="H1270" s="16">
        <v>190.54047270000001</v>
      </c>
      <c r="I1270" s="16">
        <v>190.5400123</v>
      </c>
      <c r="J1270" s="3" t="s">
        <v>5011</v>
      </c>
      <c r="K1270" s="16">
        <v>959.18247449269984</v>
      </c>
      <c r="L1270" s="16">
        <v>237.74915570000002</v>
      </c>
      <c r="M1270" s="16">
        <f t="shared" si="38"/>
        <v>1.2477619706251522</v>
      </c>
    </row>
    <row r="1271" spans="1:13" x14ac:dyDescent="0.25">
      <c r="A1271" s="2">
        <f t="shared" si="39"/>
        <v>1266</v>
      </c>
      <c r="B1271" s="2">
        <v>73211</v>
      </c>
      <c r="C1271" s="2" t="s">
        <v>3777</v>
      </c>
      <c r="D1271" s="14" t="s">
        <v>1263</v>
      </c>
      <c r="E1271" s="14">
        <v>0.31009239999999999</v>
      </c>
      <c r="F1271" s="14">
        <v>0</v>
      </c>
      <c r="G1271" s="14">
        <v>0.31009239999999999</v>
      </c>
      <c r="H1271" s="16">
        <v>74.626565099999993</v>
      </c>
      <c r="I1271" s="16">
        <v>50.769350199999998</v>
      </c>
      <c r="J1271" s="3" t="s">
        <v>5011</v>
      </c>
      <c r="K1271" s="16">
        <v>486.34321851679999</v>
      </c>
      <c r="L1271" s="16">
        <v>76.436223299999995</v>
      </c>
      <c r="M1271" s="16">
        <f t="shared" si="38"/>
        <v>1.0242495175488118</v>
      </c>
    </row>
    <row r="1272" spans="1:13" x14ac:dyDescent="0.25">
      <c r="A1272" s="2">
        <f t="shared" si="39"/>
        <v>1267</v>
      </c>
      <c r="B1272" s="2">
        <v>73268</v>
      </c>
      <c r="C1272" s="2" t="s">
        <v>3778</v>
      </c>
      <c r="D1272" s="14" t="s">
        <v>1264</v>
      </c>
      <c r="E1272" s="14">
        <v>4.5277918000000001</v>
      </c>
      <c r="F1272" s="14">
        <v>0</v>
      </c>
      <c r="G1272" s="14">
        <v>4.5277918000000001</v>
      </c>
      <c r="H1272" s="16">
        <v>715.06210499999997</v>
      </c>
      <c r="I1272" s="16">
        <v>590.03170169999999</v>
      </c>
      <c r="J1272" s="3" t="s">
        <v>5011</v>
      </c>
      <c r="K1272" s="16">
        <v>4615.7642379133995</v>
      </c>
      <c r="L1272" s="16">
        <v>968.58089500000006</v>
      </c>
      <c r="M1272" s="16">
        <f t="shared" si="38"/>
        <v>1.354540938790205</v>
      </c>
    </row>
    <row r="1273" spans="1:13" x14ac:dyDescent="0.25">
      <c r="A1273" s="2">
        <f t="shared" si="39"/>
        <v>1268</v>
      </c>
      <c r="B1273" s="2">
        <v>73585</v>
      </c>
      <c r="C1273" s="2" t="s">
        <v>3779</v>
      </c>
      <c r="D1273" s="14" t="s">
        <v>1265</v>
      </c>
      <c r="E1273" s="14">
        <v>0</v>
      </c>
      <c r="F1273" s="14">
        <v>0</v>
      </c>
      <c r="G1273" s="14">
        <v>0</v>
      </c>
      <c r="H1273" s="16">
        <v>0</v>
      </c>
      <c r="I1273" s="16">
        <v>0</v>
      </c>
      <c r="J1273" s="3" t="s">
        <v>5011</v>
      </c>
      <c r="K1273" s="16">
        <v>0</v>
      </c>
      <c r="L1273" s="16">
        <v>0</v>
      </c>
      <c r="M1273" s="16">
        <v>0</v>
      </c>
    </row>
    <row r="1274" spans="1:13" x14ac:dyDescent="0.25">
      <c r="A1274" s="2">
        <f t="shared" si="39"/>
        <v>1269</v>
      </c>
      <c r="B1274" s="2">
        <v>73621</v>
      </c>
      <c r="C1274" s="2" t="s">
        <v>3780</v>
      </c>
      <c r="D1274" s="14" t="s">
        <v>1266</v>
      </c>
      <c r="E1274" s="14">
        <v>2.02772</v>
      </c>
      <c r="F1274" s="14">
        <v>0</v>
      </c>
      <c r="G1274" s="14">
        <v>2.02772</v>
      </c>
      <c r="H1274" s="16">
        <v>191.2971028</v>
      </c>
      <c r="I1274" s="16">
        <v>127.33998780000002</v>
      </c>
      <c r="J1274" s="3" t="s">
        <v>5011</v>
      </c>
      <c r="K1274" s="16">
        <v>1863.0657822330993</v>
      </c>
      <c r="L1274" s="16">
        <v>272.42481420000001</v>
      </c>
      <c r="M1274" s="16">
        <f t="shared" si="38"/>
        <v>1.4240927343516465</v>
      </c>
    </row>
    <row r="1275" spans="1:13" x14ac:dyDescent="0.25">
      <c r="A1275" s="2">
        <f t="shared" si="39"/>
        <v>1270</v>
      </c>
      <c r="B1275" s="2">
        <v>73912</v>
      </c>
      <c r="C1275" s="2" t="s">
        <v>3781</v>
      </c>
      <c r="D1275" s="14" t="s">
        <v>1267</v>
      </c>
      <c r="E1275" s="14">
        <v>2.6724513999999999</v>
      </c>
      <c r="F1275" s="14">
        <v>0</v>
      </c>
      <c r="G1275" s="14">
        <v>2.6724513999999999</v>
      </c>
      <c r="H1275" s="16">
        <v>182.1779702</v>
      </c>
      <c r="I1275" s="16">
        <v>149.4413074</v>
      </c>
      <c r="J1275" s="3" t="s">
        <v>5011</v>
      </c>
      <c r="K1275" s="16">
        <v>2539.6109933009993</v>
      </c>
      <c r="L1275" s="16">
        <v>356.01126880000004</v>
      </c>
      <c r="M1275" s="16">
        <f t="shared" si="38"/>
        <v>1.9541949468926514</v>
      </c>
    </row>
    <row r="1276" spans="1:13" x14ac:dyDescent="0.25">
      <c r="A1276" s="2">
        <f t="shared" si="39"/>
        <v>1271</v>
      </c>
      <c r="B1276" s="2">
        <v>73966</v>
      </c>
      <c r="C1276" s="2" t="s">
        <v>3782</v>
      </c>
      <c r="D1276" s="14" t="s">
        <v>1268</v>
      </c>
      <c r="E1276" s="14">
        <v>0</v>
      </c>
      <c r="F1276" s="14">
        <v>0</v>
      </c>
      <c r="G1276" s="14">
        <v>0</v>
      </c>
      <c r="H1276" s="16">
        <v>0</v>
      </c>
      <c r="I1276" s="16">
        <v>0</v>
      </c>
      <c r="J1276" s="3" t="s">
        <v>5011</v>
      </c>
      <c r="K1276" s="16">
        <v>0</v>
      </c>
      <c r="L1276" s="16">
        <v>0</v>
      </c>
      <c r="M1276" s="16">
        <v>0</v>
      </c>
    </row>
    <row r="1277" spans="1:13" x14ac:dyDescent="0.25">
      <c r="A1277" s="2">
        <f t="shared" si="39"/>
        <v>1272</v>
      </c>
      <c r="B1277" s="2">
        <v>74061</v>
      </c>
      <c r="C1277" s="2" t="s">
        <v>3783</v>
      </c>
      <c r="D1277" s="14" t="s">
        <v>1269</v>
      </c>
      <c r="E1277" s="14">
        <v>1.0330078</v>
      </c>
      <c r="F1277" s="14">
        <v>0</v>
      </c>
      <c r="G1277" s="14">
        <v>1.0330078</v>
      </c>
      <c r="H1277" s="16">
        <v>54.877255999999996</v>
      </c>
      <c r="I1277" s="16">
        <v>34.1220705</v>
      </c>
      <c r="J1277" s="3" t="s">
        <v>5011</v>
      </c>
      <c r="K1277" s="16">
        <v>1033.9251109873999</v>
      </c>
      <c r="L1277" s="16">
        <v>120.9173725</v>
      </c>
      <c r="M1277" s="16">
        <f t="shared" si="38"/>
        <v>2.203415063245874</v>
      </c>
    </row>
    <row r="1278" spans="1:13" x14ac:dyDescent="0.25">
      <c r="A1278" s="2">
        <f t="shared" si="39"/>
        <v>1273</v>
      </c>
      <c r="B1278" s="2">
        <v>74207</v>
      </c>
      <c r="C1278" s="2" t="s">
        <v>3784</v>
      </c>
      <c r="D1278" s="14" t="s">
        <v>1270</v>
      </c>
      <c r="E1278" s="14">
        <v>0</v>
      </c>
      <c r="F1278" s="14">
        <v>0</v>
      </c>
      <c r="G1278" s="14">
        <v>0</v>
      </c>
      <c r="H1278" s="16">
        <v>0</v>
      </c>
      <c r="I1278" s="16">
        <v>0</v>
      </c>
      <c r="J1278" s="3" t="s">
        <v>5011</v>
      </c>
      <c r="K1278" s="16">
        <v>0</v>
      </c>
      <c r="L1278" s="16">
        <v>0</v>
      </c>
      <c r="M1278" s="16">
        <v>0</v>
      </c>
    </row>
    <row r="1279" spans="1:13" x14ac:dyDescent="0.25">
      <c r="A1279" s="2">
        <f t="shared" si="39"/>
        <v>1274</v>
      </c>
      <c r="B1279" s="2">
        <v>74224</v>
      </c>
      <c r="C1279" s="2" t="s">
        <v>3785</v>
      </c>
      <c r="D1279" s="14" t="s">
        <v>1271</v>
      </c>
      <c r="E1279" s="14">
        <v>0</v>
      </c>
      <c r="F1279" s="14">
        <v>0</v>
      </c>
      <c r="G1279" s="14">
        <v>0</v>
      </c>
      <c r="H1279" s="16">
        <v>0</v>
      </c>
      <c r="I1279" s="16">
        <v>0</v>
      </c>
      <c r="J1279" s="3" t="s">
        <v>5011</v>
      </c>
      <c r="K1279" s="16">
        <v>0</v>
      </c>
      <c r="L1279" s="16">
        <v>0</v>
      </c>
      <c r="M1279" s="16">
        <v>0</v>
      </c>
    </row>
    <row r="1280" spans="1:13" x14ac:dyDescent="0.25">
      <c r="A1280" s="2">
        <f t="shared" si="39"/>
        <v>1275</v>
      </c>
      <c r="B1280" s="2">
        <v>74263</v>
      </c>
      <c r="C1280" s="2" t="s">
        <v>3786</v>
      </c>
      <c r="D1280" s="14" t="s">
        <v>1272</v>
      </c>
      <c r="E1280" s="14">
        <v>0</v>
      </c>
      <c r="F1280" s="14">
        <v>0</v>
      </c>
      <c r="G1280" s="14">
        <v>0</v>
      </c>
      <c r="H1280" s="16">
        <v>0</v>
      </c>
      <c r="I1280" s="16">
        <v>0</v>
      </c>
      <c r="J1280" s="3" t="s">
        <v>5011</v>
      </c>
      <c r="K1280" s="16">
        <v>0</v>
      </c>
      <c r="L1280" s="16">
        <v>0</v>
      </c>
      <c r="M1280" s="16">
        <v>0</v>
      </c>
    </row>
    <row r="1281" spans="1:13" x14ac:dyDescent="0.25">
      <c r="A1281" s="2">
        <f t="shared" si="39"/>
        <v>1276</v>
      </c>
      <c r="B1281" s="2">
        <v>74695</v>
      </c>
      <c r="C1281" s="2" t="s">
        <v>3787</v>
      </c>
      <c r="D1281" s="14" t="s">
        <v>1273</v>
      </c>
      <c r="E1281" s="14">
        <v>1.0498809</v>
      </c>
      <c r="F1281" s="14">
        <v>0</v>
      </c>
      <c r="G1281" s="14">
        <v>1.0498809</v>
      </c>
      <c r="H1281" s="16">
        <v>88.486799399999995</v>
      </c>
      <c r="I1281" s="16">
        <v>38.285445599999996</v>
      </c>
      <c r="J1281" s="3" t="s">
        <v>5011</v>
      </c>
      <c r="K1281" s="16">
        <v>1084.2309410884002</v>
      </c>
      <c r="L1281" s="16">
        <v>121.6739724</v>
      </c>
      <c r="M1281" s="16">
        <f t="shared" si="38"/>
        <v>1.3750522476237286</v>
      </c>
    </row>
    <row r="1282" spans="1:13" x14ac:dyDescent="0.25">
      <c r="A1282" s="2">
        <f t="shared" si="39"/>
        <v>1277</v>
      </c>
      <c r="B1282" s="2">
        <v>74723</v>
      </c>
      <c r="C1282" s="2" t="s">
        <v>3788</v>
      </c>
      <c r="D1282" s="14" t="s">
        <v>1274</v>
      </c>
      <c r="E1282" s="14">
        <v>18.584195600000001</v>
      </c>
      <c r="F1282" s="14">
        <v>0</v>
      </c>
      <c r="G1282" s="14">
        <v>18.584195600000001</v>
      </c>
      <c r="H1282" s="16">
        <v>3882.3914380000001</v>
      </c>
      <c r="I1282" s="16">
        <v>2589.5253577000003</v>
      </c>
      <c r="J1282" s="3" t="s">
        <v>5011</v>
      </c>
      <c r="K1282" s="16">
        <v>22995.821849561195</v>
      </c>
      <c r="L1282" s="16">
        <v>4077.9061047000005</v>
      </c>
      <c r="M1282" s="16">
        <f t="shared" si="38"/>
        <v>1.0503593390368486</v>
      </c>
    </row>
    <row r="1283" spans="1:13" x14ac:dyDescent="0.25">
      <c r="A1283" s="2">
        <f t="shared" si="39"/>
        <v>1278</v>
      </c>
      <c r="B1283" s="2">
        <v>74941</v>
      </c>
      <c r="C1283" s="2" t="s">
        <v>3789</v>
      </c>
      <c r="D1283" s="14" t="s">
        <v>1275</v>
      </c>
      <c r="E1283" s="14">
        <v>2.7399E-3</v>
      </c>
      <c r="F1283" s="14">
        <v>0</v>
      </c>
      <c r="G1283" s="14">
        <v>2.7399E-3</v>
      </c>
      <c r="H1283" s="16">
        <v>0.21998900000000002</v>
      </c>
      <c r="I1283" s="16">
        <v>-0.8015857999999999</v>
      </c>
      <c r="J1283" s="3" t="s">
        <v>5011</v>
      </c>
      <c r="K1283" s="16">
        <v>11.578122542200001</v>
      </c>
      <c r="L1283" s="16">
        <v>0.44609230000000005</v>
      </c>
      <c r="M1283" s="16">
        <f t="shared" si="38"/>
        <v>2.0277936624103932</v>
      </c>
    </row>
    <row r="1284" spans="1:13" x14ac:dyDescent="0.25">
      <c r="A1284" s="2">
        <f t="shared" si="39"/>
        <v>1279</v>
      </c>
      <c r="B1284" s="2">
        <v>75154</v>
      </c>
      <c r="C1284" s="2" t="s">
        <v>3790</v>
      </c>
      <c r="D1284" s="14" t="s">
        <v>1276</v>
      </c>
      <c r="E1284" s="14">
        <v>9.2089000000000008E-3</v>
      </c>
      <c r="F1284" s="14">
        <v>0</v>
      </c>
      <c r="G1284" s="14">
        <v>9.2089000000000008E-3</v>
      </c>
      <c r="H1284" s="16">
        <v>0.10999450000000001</v>
      </c>
      <c r="I1284" s="16">
        <v>-12.814258200000001</v>
      </c>
      <c r="J1284" s="3" t="s">
        <v>5011</v>
      </c>
      <c r="K1284" s="16">
        <v>59.500468501699999</v>
      </c>
      <c r="L1284" s="16">
        <v>8.7587162999999997</v>
      </c>
      <c r="M1284" s="16">
        <f t="shared" si="38"/>
        <v>79.628675070117126</v>
      </c>
    </row>
    <row r="1285" spans="1:13" x14ac:dyDescent="0.25">
      <c r="A1285" s="2">
        <f t="shared" si="39"/>
        <v>1280</v>
      </c>
      <c r="B1285" s="2">
        <v>75176</v>
      </c>
      <c r="C1285" s="2" t="s">
        <v>3791</v>
      </c>
      <c r="D1285" s="14" t="s">
        <v>1277</v>
      </c>
      <c r="E1285" s="14">
        <v>4.2717324999999997</v>
      </c>
      <c r="F1285" s="14">
        <v>0</v>
      </c>
      <c r="G1285" s="14">
        <v>4.2717324999999997</v>
      </c>
      <c r="H1285" s="16">
        <v>204.59482170000001</v>
      </c>
      <c r="I1285" s="16">
        <v>196.3006153</v>
      </c>
      <c r="J1285" s="3" t="s">
        <v>5011</v>
      </c>
      <c r="K1285" s="16">
        <v>3650.0194882505998</v>
      </c>
      <c r="L1285" s="16">
        <v>495.5231258</v>
      </c>
      <c r="M1285" s="16">
        <f t="shared" si="38"/>
        <v>2.4219729594456298</v>
      </c>
    </row>
    <row r="1286" spans="1:13" x14ac:dyDescent="0.25">
      <c r="A1286" s="2">
        <f t="shared" si="39"/>
        <v>1281</v>
      </c>
      <c r="B1286" s="2">
        <v>75223</v>
      </c>
      <c r="C1286" s="2" t="s">
        <v>3792</v>
      </c>
      <c r="D1286" s="14" t="s">
        <v>1278</v>
      </c>
      <c r="E1286" s="14">
        <v>2.1438832999999997</v>
      </c>
      <c r="F1286" s="14">
        <v>0</v>
      </c>
      <c r="G1286" s="14">
        <v>2.1438832999999997</v>
      </c>
      <c r="H1286" s="16">
        <v>69.7497647</v>
      </c>
      <c r="I1286" s="16">
        <v>38.803911799999995</v>
      </c>
      <c r="J1286" s="3" t="s">
        <v>5011</v>
      </c>
      <c r="K1286" s="16">
        <v>1635.8132811302003</v>
      </c>
      <c r="L1286" s="16">
        <v>196.67022839999998</v>
      </c>
      <c r="M1286" s="16">
        <f t="shared" si="38"/>
        <v>2.8196543636512077</v>
      </c>
    </row>
    <row r="1287" spans="1:13" x14ac:dyDescent="0.25">
      <c r="A1287" s="2">
        <f t="shared" si="39"/>
        <v>1282</v>
      </c>
      <c r="B1287" s="2">
        <v>75319</v>
      </c>
      <c r="C1287" s="2" t="s">
        <v>3793</v>
      </c>
      <c r="D1287" s="14" t="s">
        <v>1279</v>
      </c>
      <c r="E1287" s="14">
        <v>0</v>
      </c>
      <c r="F1287" s="14">
        <v>0</v>
      </c>
      <c r="G1287" s="14">
        <v>0</v>
      </c>
      <c r="H1287" s="16">
        <v>0</v>
      </c>
      <c r="I1287" s="16">
        <v>0</v>
      </c>
      <c r="J1287" s="3" t="s">
        <v>5011</v>
      </c>
      <c r="K1287" s="16">
        <v>0</v>
      </c>
      <c r="L1287" s="16">
        <v>0</v>
      </c>
      <c r="M1287" s="16">
        <v>0</v>
      </c>
    </row>
    <row r="1288" spans="1:13" x14ac:dyDescent="0.25">
      <c r="A1288" s="2">
        <f t="shared" ref="A1288:A1351" si="40">A1287+1</f>
        <v>1283</v>
      </c>
      <c r="B1288" s="2">
        <v>75320</v>
      </c>
      <c r="C1288" s="2" t="s">
        <v>3794</v>
      </c>
      <c r="D1288" s="14" t="s">
        <v>1280</v>
      </c>
      <c r="E1288" s="14">
        <v>10.039140400000001</v>
      </c>
      <c r="F1288" s="14">
        <v>0</v>
      </c>
      <c r="G1288" s="14">
        <v>10.039140400000001</v>
      </c>
      <c r="H1288" s="16">
        <v>931.96770599999991</v>
      </c>
      <c r="I1288" s="16">
        <v>641.49591190000001</v>
      </c>
      <c r="J1288" s="3" t="s">
        <v>5011</v>
      </c>
      <c r="K1288" s="16">
        <v>10469.955915468301</v>
      </c>
      <c r="L1288" s="16">
        <v>855.16950220000001</v>
      </c>
      <c r="M1288" s="16">
        <f t="shared" ref="M1287:M1350" si="41">L1288/H1288</f>
        <v>0.91759563844801306</v>
      </c>
    </row>
    <row r="1289" spans="1:13" x14ac:dyDescent="0.25">
      <c r="A1289" s="2">
        <f t="shared" si="40"/>
        <v>1284</v>
      </c>
      <c r="B1289" s="2">
        <v>75404</v>
      </c>
      <c r="C1289" s="2" t="s">
        <v>3795</v>
      </c>
      <c r="D1289" s="14" t="s">
        <v>1281</v>
      </c>
      <c r="E1289" s="14">
        <v>0</v>
      </c>
      <c r="F1289" s="14">
        <v>0</v>
      </c>
      <c r="G1289" s="14">
        <v>0</v>
      </c>
      <c r="H1289" s="16">
        <v>0</v>
      </c>
      <c r="I1289" s="16">
        <v>0</v>
      </c>
      <c r="J1289" s="3" t="s">
        <v>5011</v>
      </c>
      <c r="K1289" s="16">
        <v>0</v>
      </c>
      <c r="L1289" s="16">
        <v>0</v>
      </c>
      <c r="M1289" s="16">
        <v>0</v>
      </c>
    </row>
    <row r="1290" spans="1:13" x14ac:dyDescent="0.25">
      <c r="A1290" s="2">
        <f t="shared" si="40"/>
        <v>1285</v>
      </c>
      <c r="B1290" s="2">
        <v>75674</v>
      </c>
      <c r="C1290" s="2" t="s">
        <v>3796</v>
      </c>
      <c r="D1290" s="14" t="s">
        <v>1282</v>
      </c>
      <c r="E1290" s="14">
        <v>0</v>
      </c>
      <c r="F1290" s="14">
        <v>0</v>
      </c>
      <c r="G1290" s="14">
        <v>0</v>
      </c>
      <c r="H1290" s="16">
        <v>0</v>
      </c>
      <c r="I1290" s="16">
        <v>0</v>
      </c>
      <c r="J1290" s="3" t="s">
        <v>5011</v>
      </c>
      <c r="K1290" s="16">
        <v>0</v>
      </c>
      <c r="L1290" s="16">
        <v>0</v>
      </c>
      <c r="M1290" s="16">
        <v>0</v>
      </c>
    </row>
    <row r="1291" spans="1:13" x14ac:dyDescent="0.25">
      <c r="A1291" s="2">
        <f t="shared" si="40"/>
        <v>1286</v>
      </c>
      <c r="B1291" s="2">
        <v>75678</v>
      </c>
      <c r="C1291" s="2" t="s">
        <v>3797</v>
      </c>
      <c r="D1291" s="14" t="s">
        <v>1283</v>
      </c>
      <c r="E1291" s="14">
        <v>0.10671860000000001</v>
      </c>
      <c r="F1291" s="14">
        <v>0</v>
      </c>
      <c r="G1291" s="14">
        <v>0.10671860000000001</v>
      </c>
      <c r="H1291" s="16">
        <v>4.9997499999999997</v>
      </c>
      <c r="I1291" s="16">
        <v>4.9997499999999997</v>
      </c>
      <c r="J1291" s="3" t="s">
        <v>5011</v>
      </c>
      <c r="K1291" s="16">
        <v>190.82685160139999</v>
      </c>
      <c r="L1291" s="16">
        <v>38.1507158</v>
      </c>
      <c r="M1291" s="16">
        <f t="shared" si="41"/>
        <v>7.6305246862343123</v>
      </c>
    </row>
    <row r="1292" spans="1:13" x14ac:dyDescent="0.25">
      <c r="A1292" s="2">
        <f t="shared" si="40"/>
        <v>1287</v>
      </c>
      <c r="B1292" s="2">
        <v>75718</v>
      </c>
      <c r="C1292" s="2" t="s">
        <v>3798</v>
      </c>
      <c r="D1292" s="14" t="s">
        <v>1284</v>
      </c>
      <c r="E1292" s="14">
        <v>5.10766E-2</v>
      </c>
      <c r="F1292" s="14">
        <v>0</v>
      </c>
      <c r="G1292" s="14">
        <v>5.10766E-2</v>
      </c>
      <c r="H1292" s="16">
        <v>27.5436233</v>
      </c>
      <c r="I1292" s="16">
        <v>26.743623299999999</v>
      </c>
      <c r="J1292" s="3" t="s">
        <v>5011</v>
      </c>
      <c r="K1292" s="16">
        <v>94.278447693499999</v>
      </c>
      <c r="L1292" s="16">
        <v>32.967893799999999</v>
      </c>
      <c r="M1292" s="16">
        <f t="shared" si="41"/>
        <v>1.1969338035493682</v>
      </c>
    </row>
    <row r="1293" spans="1:13" x14ac:dyDescent="0.25">
      <c r="A1293" s="2">
        <f t="shared" si="40"/>
        <v>1288</v>
      </c>
      <c r="B1293" s="2">
        <v>75882</v>
      </c>
      <c r="C1293" s="2" t="s">
        <v>3799</v>
      </c>
      <c r="D1293" s="14" t="s">
        <v>1285</v>
      </c>
      <c r="E1293" s="14">
        <v>0.56210099999999996</v>
      </c>
      <c r="F1293" s="14">
        <v>0</v>
      </c>
      <c r="G1293" s="14">
        <v>0.56210099999999996</v>
      </c>
      <c r="H1293" s="16">
        <v>68.6166628</v>
      </c>
      <c r="I1293" s="16">
        <v>38.932997400000005</v>
      </c>
      <c r="J1293" s="3" t="s">
        <v>5011</v>
      </c>
      <c r="K1293" s="16">
        <v>1180.3124721229001</v>
      </c>
      <c r="L1293" s="16">
        <v>122.61417630000001</v>
      </c>
      <c r="M1293" s="16">
        <f t="shared" si="41"/>
        <v>1.7869446180644042</v>
      </c>
    </row>
    <row r="1294" spans="1:13" x14ac:dyDescent="0.25">
      <c r="A1294" s="2">
        <f t="shared" si="40"/>
        <v>1289</v>
      </c>
      <c r="B1294" s="2">
        <v>75889</v>
      </c>
      <c r="C1294" s="2" t="s">
        <v>3800</v>
      </c>
      <c r="D1294" s="14" t="s">
        <v>1286</v>
      </c>
      <c r="E1294" s="14">
        <v>0</v>
      </c>
      <c r="F1294" s="14">
        <v>0</v>
      </c>
      <c r="G1294" s="14">
        <v>0</v>
      </c>
      <c r="H1294" s="16">
        <v>0</v>
      </c>
      <c r="I1294" s="16">
        <v>0</v>
      </c>
      <c r="J1294" s="3" t="s">
        <v>5011</v>
      </c>
      <c r="K1294" s="16">
        <v>0</v>
      </c>
      <c r="L1294" s="16">
        <v>0</v>
      </c>
      <c r="M1294" s="16">
        <v>0</v>
      </c>
    </row>
    <row r="1295" spans="1:13" x14ac:dyDescent="0.25">
      <c r="A1295" s="2">
        <f t="shared" si="40"/>
        <v>1290</v>
      </c>
      <c r="B1295" s="2">
        <v>75896</v>
      </c>
      <c r="C1295" s="2" t="s">
        <v>3801</v>
      </c>
      <c r="D1295" s="14" t="s">
        <v>1287</v>
      </c>
      <c r="E1295" s="14">
        <v>0.46287160000000005</v>
      </c>
      <c r="F1295" s="14">
        <v>0</v>
      </c>
      <c r="G1295" s="14">
        <v>0.46287160000000005</v>
      </c>
      <c r="H1295" s="16">
        <v>63.978224299999994</v>
      </c>
      <c r="I1295" s="16">
        <v>55.997045699999994</v>
      </c>
      <c r="J1295" s="3" t="s">
        <v>5011</v>
      </c>
      <c r="K1295" s="16">
        <v>615.07511085429996</v>
      </c>
      <c r="L1295" s="16">
        <v>98.630320600000005</v>
      </c>
      <c r="M1295" s="16">
        <f t="shared" si="41"/>
        <v>1.5416232894728843</v>
      </c>
    </row>
    <row r="1296" spans="1:13" x14ac:dyDescent="0.25">
      <c r="A1296" s="2">
        <f t="shared" si="40"/>
        <v>1291</v>
      </c>
      <c r="B1296" s="2">
        <v>76017</v>
      </c>
      <c r="C1296" s="2" t="s">
        <v>3802</v>
      </c>
      <c r="D1296" s="14" t="s">
        <v>1288</v>
      </c>
      <c r="E1296" s="14">
        <v>0</v>
      </c>
      <c r="F1296" s="14">
        <v>0</v>
      </c>
      <c r="G1296" s="14">
        <v>0</v>
      </c>
      <c r="H1296" s="16">
        <v>0</v>
      </c>
      <c r="I1296" s="16">
        <v>0</v>
      </c>
      <c r="J1296" s="3" t="s">
        <v>5011</v>
      </c>
      <c r="K1296" s="16">
        <v>0</v>
      </c>
      <c r="L1296" s="16">
        <v>0</v>
      </c>
      <c r="M1296" s="16">
        <v>0</v>
      </c>
    </row>
    <row r="1297" spans="1:13" x14ac:dyDescent="0.25">
      <c r="A1297" s="2">
        <f t="shared" si="40"/>
        <v>1292</v>
      </c>
      <c r="B1297" s="2">
        <v>76019</v>
      </c>
      <c r="C1297" s="2" t="s">
        <v>3803</v>
      </c>
      <c r="D1297" s="14" t="s">
        <v>1289</v>
      </c>
      <c r="E1297" s="14">
        <v>7.7189599999999997E-2</v>
      </c>
      <c r="F1297" s="14">
        <v>0</v>
      </c>
      <c r="G1297" s="14">
        <v>7.7189599999999997E-2</v>
      </c>
      <c r="H1297" s="16">
        <v>71.696415000000002</v>
      </c>
      <c r="I1297" s="16">
        <v>57.696415000000002</v>
      </c>
      <c r="J1297" s="3" t="s">
        <v>5011</v>
      </c>
      <c r="K1297" s="16">
        <v>158.17007083369998</v>
      </c>
      <c r="L1297" s="16">
        <v>63.275214500000004</v>
      </c>
      <c r="M1297" s="16">
        <f t="shared" si="41"/>
        <v>0.88254363206305364</v>
      </c>
    </row>
    <row r="1298" spans="1:13" x14ac:dyDescent="0.25">
      <c r="A1298" s="2">
        <f t="shared" si="40"/>
        <v>1293</v>
      </c>
      <c r="B1298" s="2">
        <v>76024</v>
      </c>
      <c r="C1298" s="2" t="s">
        <v>3804</v>
      </c>
      <c r="D1298" s="14" t="s">
        <v>1290</v>
      </c>
      <c r="E1298" s="14">
        <v>0</v>
      </c>
      <c r="F1298" s="14">
        <v>0</v>
      </c>
      <c r="G1298" s="14">
        <v>0</v>
      </c>
      <c r="H1298" s="16">
        <v>0</v>
      </c>
      <c r="I1298" s="16">
        <v>0</v>
      </c>
      <c r="J1298" s="3" t="s">
        <v>5011</v>
      </c>
      <c r="K1298" s="16">
        <v>0</v>
      </c>
      <c r="L1298" s="16">
        <v>0</v>
      </c>
      <c r="M1298" s="16">
        <v>0</v>
      </c>
    </row>
    <row r="1299" spans="1:13" x14ac:dyDescent="0.25">
      <c r="A1299" s="2">
        <f t="shared" si="40"/>
        <v>1294</v>
      </c>
      <c r="B1299" s="2">
        <v>76035</v>
      </c>
      <c r="C1299" s="2" t="s">
        <v>3805</v>
      </c>
      <c r="D1299" s="14" t="s">
        <v>1291</v>
      </c>
      <c r="E1299" s="14">
        <v>0</v>
      </c>
      <c r="F1299" s="14">
        <v>0</v>
      </c>
      <c r="G1299" s="14">
        <v>0</v>
      </c>
      <c r="H1299" s="16">
        <v>0</v>
      </c>
      <c r="I1299" s="16">
        <v>0</v>
      </c>
      <c r="J1299" s="3" t="s">
        <v>5011</v>
      </c>
      <c r="K1299" s="16">
        <v>22.264354104100001</v>
      </c>
      <c r="L1299" s="16">
        <v>2.1893967999999999</v>
      </c>
      <c r="M1299" s="16">
        <v>0</v>
      </c>
    </row>
    <row r="1300" spans="1:13" x14ac:dyDescent="0.25">
      <c r="A1300" s="2">
        <f t="shared" si="40"/>
        <v>1295</v>
      </c>
      <c r="B1300" s="2">
        <v>76037</v>
      </c>
      <c r="C1300" s="2" t="s">
        <v>3806</v>
      </c>
      <c r="D1300" s="14" t="s">
        <v>1292</v>
      </c>
      <c r="E1300" s="14">
        <v>40.838011300000005</v>
      </c>
      <c r="F1300" s="14">
        <v>0</v>
      </c>
      <c r="G1300" s="14">
        <v>40.838011300000005</v>
      </c>
      <c r="H1300" s="16">
        <v>2570.7773000000002</v>
      </c>
      <c r="I1300" s="16">
        <v>1738.7698734999999</v>
      </c>
      <c r="J1300" s="3" t="s">
        <v>5011</v>
      </c>
      <c r="K1300" s="16">
        <v>35894.118075737504</v>
      </c>
      <c r="L1300" s="16">
        <v>4836.5330835000004</v>
      </c>
      <c r="M1300" s="16">
        <f t="shared" si="41"/>
        <v>1.8813504707311677</v>
      </c>
    </row>
    <row r="1301" spans="1:13" x14ac:dyDescent="0.25">
      <c r="A1301" s="2">
        <f t="shared" si="40"/>
        <v>1296</v>
      </c>
      <c r="B1301" s="2">
        <v>76065</v>
      </c>
      <c r="C1301" s="2" t="s">
        <v>3807</v>
      </c>
      <c r="D1301" s="14" t="s">
        <v>1293</v>
      </c>
      <c r="E1301" s="14">
        <v>0.15508720000000001</v>
      </c>
      <c r="F1301" s="14">
        <v>0</v>
      </c>
      <c r="G1301" s="14">
        <v>0.15508720000000001</v>
      </c>
      <c r="H1301" s="16">
        <v>0</v>
      </c>
      <c r="I1301" s="16">
        <v>0</v>
      </c>
      <c r="J1301" s="3" t="s">
        <v>5011</v>
      </c>
      <c r="K1301" s="16">
        <v>162.71207906659998</v>
      </c>
      <c r="L1301" s="16">
        <v>16.6772776</v>
      </c>
      <c r="M1301" s="16">
        <v>0</v>
      </c>
    </row>
    <row r="1302" spans="1:13" x14ac:dyDescent="0.25">
      <c r="A1302" s="2">
        <f t="shared" si="40"/>
        <v>1297</v>
      </c>
      <c r="B1302" s="2">
        <v>76122</v>
      </c>
      <c r="C1302" s="2" t="s">
        <v>3808</v>
      </c>
      <c r="D1302" s="14" t="s">
        <v>1294</v>
      </c>
      <c r="E1302" s="14">
        <v>1.0048700000000001E-2</v>
      </c>
      <c r="F1302" s="14">
        <v>0</v>
      </c>
      <c r="G1302" s="14">
        <v>1.0048700000000001E-2</v>
      </c>
      <c r="H1302" s="16">
        <v>0.83149110000000004</v>
      </c>
      <c r="I1302" s="16">
        <v>-9.5916999999999975E-2</v>
      </c>
      <c r="J1302" s="3" t="s">
        <v>5011</v>
      </c>
      <c r="K1302" s="16">
        <v>12.2787002671</v>
      </c>
      <c r="L1302" s="16">
        <v>1.1046196000000001</v>
      </c>
      <c r="M1302" s="16">
        <f t="shared" si="41"/>
        <v>1.3284803649732391</v>
      </c>
    </row>
    <row r="1303" spans="1:13" x14ac:dyDescent="0.25">
      <c r="A1303" s="2">
        <f t="shared" si="40"/>
        <v>1298</v>
      </c>
      <c r="B1303" s="2">
        <v>76123</v>
      </c>
      <c r="C1303" s="2" t="s">
        <v>3809</v>
      </c>
      <c r="D1303" s="14" t="s">
        <v>1295</v>
      </c>
      <c r="E1303" s="14">
        <v>0.96386699999999981</v>
      </c>
      <c r="F1303" s="14">
        <v>0</v>
      </c>
      <c r="G1303" s="14">
        <v>0.96386699999999981</v>
      </c>
      <c r="H1303" s="16">
        <v>122.12877349999999</v>
      </c>
      <c r="I1303" s="16">
        <v>100.0930034</v>
      </c>
      <c r="J1303" s="3" t="s">
        <v>5011</v>
      </c>
      <c r="K1303" s="16">
        <v>1202.9525667763</v>
      </c>
      <c r="L1303" s="16">
        <v>188.95742199999998</v>
      </c>
      <c r="M1303" s="16">
        <f t="shared" si="41"/>
        <v>1.5471982284338588</v>
      </c>
    </row>
    <row r="1304" spans="1:13" x14ac:dyDescent="0.25">
      <c r="A1304" s="2">
        <f t="shared" si="40"/>
        <v>1299</v>
      </c>
      <c r="B1304" s="2">
        <v>76165</v>
      </c>
      <c r="C1304" s="2" t="s">
        <v>3810</v>
      </c>
      <c r="D1304" s="14" t="s">
        <v>1296</v>
      </c>
      <c r="E1304" s="14">
        <v>0</v>
      </c>
      <c r="F1304" s="14">
        <v>0</v>
      </c>
      <c r="G1304" s="14">
        <v>0</v>
      </c>
      <c r="H1304" s="16">
        <v>0</v>
      </c>
      <c r="I1304" s="16">
        <v>0</v>
      </c>
      <c r="J1304" s="3" t="s">
        <v>5011</v>
      </c>
      <c r="K1304" s="16">
        <v>0</v>
      </c>
      <c r="L1304" s="16">
        <v>0</v>
      </c>
      <c r="M1304" s="16">
        <v>0</v>
      </c>
    </row>
    <row r="1305" spans="1:13" x14ac:dyDescent="0.25">
      <c r="A1305" s="2">
        <f t="shared" si="40"/>
        <v>1300</v>
      </c>
      <c r="B1305" s="2">
        <v>76506</v>
      </c>
      <c r="C1305" s="2" t="s">
        <v>3811</v>
      </c>
      <c r="D1305" s="14" t="s">
        <v>1297</v>
      </c>
      <c r="E1305" s="14">
        <v>0</v>
      </c>
      <c r="F1305" s="14">
        <v>0</v>
      </c>
      <c r="G1305" s="14">
        <v>0</v>
      </c>
      <c r="H1305" s="16">
        <v>0</v>
      </c>
      <c r="I1305" s="16">
        <v>0</v>
      </c>
      <c r="J1305" s="3" t="s">
        <v>5011</v>
      </c>
      <c r="K1305" s="16">
        <v>0</v>
      </c>
      <c r="L1305" s="16">
        <v>0</v>
      </c>
      <c r="M1305" s="16">
        <v>0</v>
      </c>
    </row>
    <row r="1306" spans="1:13" x14ac:dyDescent="0.25">
      <c r="A1306" s="2">
        <f t="shared" si="40"/>
        <v>1301</v>
      </c>
      <c r="B1306" s="2">
        <v>76586</v>
      </c>
      <c r="C1306" s="2" t="s">
        <v>3812</v>
      </c>
      <c r="D1306" s="14" t="s">
        <v>1298</v>
      </c>
      <c r="E1306" s="14">
        <v>5.3213999999999996E-3</v>
      </c>
      <c r="F1306" s="14">
        <v>0</v>
      </c>
      <c r="G1306" s="14">
        <v>5.3213999999999996E-3</v>
      </c>
      <c r="H1306" s="16">
        <v>0.2099895</v>
      </c>
      <c r="I1306" s="16">
        <v>-2.3414022000000001</v>
      </c>
      <c r="J1306" s="3" t="s">
        <v>5011</v>
      </c>
      <c r="K1306" s="16">
        <v>1.9410087311999999</v>
      </c>
      <c r="L1306" s="16">
        <v>0.2151969</v>
      </c>
      <c r="M1306" s="16">
        <f t="shared" si="41"/>
        <v>1.0247983827762817</v>
      </c>
    </row>
    <row r="1307" spans="1:13" x14ac:dyDescent="0.25">
      <c r="A1307" s="2">
        <f t="shared" si="40"/>
        <v>1302</v>
      </c>
      <c r="B1307" s="2">
        <v>76658</v>
      </c>
      <c r="C1307" s="2" t="s">
        <v>3813</v>
      </c>
      <c r="D1307" s="14" t="s">
        <v>1299</v>
      </c>
      <c r="E1307" s="14">
        <v>0.57928609999999991</v>
      </c>
      <c r="F1307" s="14">
        <v>0</v>
      </c>
      <c r="G1307" s="14">
        <v>0.57928609999999991</v>
      </c>
      <c r="H1307" s="16">
        <v>25.779082299999999</v>
      </c>
      <c r="I1307" s="16">
        <v>18.206484400000001</v>
      </c>
      <c r="J1307" s="3" t="s">
        <v>5011</v>
      </c>
      <c r="K1307" s="16">
        <v>547.61748023790005</v>
      </c>
      <c r="L1307" s="16">
        <v>66.387430699999996</v>
      </c>
      <c r="M1307" s="16">
        <f t="shared" si="41"/>
        <v>2.5752441428064334</v>
      </c>
    </row>
    <row r="1308" spans="1:13" x14ac:dyDescent="0.25">
      <c r="A1308" s="2">
        <f t="shared" si="40"/>
        <v>1303</v>
      </c>
      <c r="B1308" s="2">
        <v>76843</v>
      </c>
      <c r="C1308" s="2" t="s">
        <v>3814</v>
      </c>
      <c r="D1308" s="14" t="s">
        <v>1300</v>
      </c>
      <c r="E1308" s="14">
        <v>18.743315099999997</v>
      </c>
      <c r="F1308" s="14">
        <v>0</v>
      </c>
      <c r="G1308" s="14">
        <v>18.743315099999997</v>
      </c>
      <c r="H1308" s="16">
        <v>79.214695300000002</v>
      </c>
      <c r="I1308" s="16">
        <v>11.303584300000006</v>
      </c>
      <c r="J1308" s="3" t="s">
        <v>5011</v>
      </c>
      <c r="K1308" s="16">
        <v>14888.159919904896</v>
      </c>
      <c r="L1308" s="16">
        <v>1547.9548198</v>
      </c>
      <c r="M1308" s="16">
        <f t="shared" si="41"/>
        <v>19.541258272062052</v>
      </c>
    </row>
    <row r="1309" spans="1:13" x14ac:dyDescent="0.25">
      <c r="A1309" s="2">
        <f t="shared" si="40"/>
        <v>1304</v>
      </c>
      <c r="B1309" s="2">
        <v>76950</v>
      </c>
      <c r="C1309" s="2" t="s">
        <v>3815</v>
      </c>
      <c r="D1309" s="14" t="s">
        <v>1301</v>
      </c>
      <c r="E1309" s="14">
        <v>9.16294E-2</v>
      </c>
      <c r="F1309" s="14">
        <v>0</v>
      </c>
      <c r="G1309" s="14">
        <v>9.16294E-2</v>
      </c>
      <c r="H1309" s="16">
        <v>6.6496674999999996</v>
      </c>
      <c r="I1309" s="16">
        <v>6.6496674999999996</v>
      </c>
      <c r="J1309" s="3" t="s">
        <v>5011</v>
      </c>
      <c r="K1309" s="16">
        <v>128.19599245309999</v>
      </c>
      <c r="L1309" s="16">
        <v>17.007425399999999</v>
      </c>
      <c r="M1309" s="16">
        <f t="shared" si="41"/>
        <v>2.5576354607204044</v>
      </c>
    </row>
    <row r="1310" spans="1:13" x14ac:dyDescent="0.25">
      <c r="A1310" s="2">
        <f t="shared" si="40"/>
        <v>1305</v>
      </c>
      <c r="B1310" s="2">
        <v>77037</v>
      </c>
      <c r="C1310" s="2" t="s">
        <v>3816</v>
      </c>
      <c r="D1310" s="14" t="s">
        <v>1302</v>
      </c>
      <c r="E1310" s="14">
        <v>9.084071100000001</v>
      </c>
      <c r="F1310" s="14">
        <v>0</v>
      </c>
      <c r="G1310" s="14">
        <v>9.084071100000001</v>
      </c>
      <c r="H1310" s="16">
        <v>596.26675020000005</v>
      </c>
      <c r="I1310" s="16">
        <v>488.23906060000002</v>
      </c>
      <c r="J1310" s="3" t="s">
        <v>5011</v>
      </c>
      <c r="K1310" s="16">
        <v>8538.8627219742011</v>
      </c>
      <c r="L1310" s="16">
        <v>1174.3218079000001</v>
      </c>
      <c r="M1310" s="16">
        <f t="shared" si="41"/>
        <v>1.9694571389501569</v>
      </c>
    </row>
    <row r="1311" spans="1:13" x14ac:dyDescent="0.25">
      <c r="A1311" s="2">
        <f t="shared" si="40"/>
        <v>1306</v>
      </c>
      <c r="B1311" s="2">
        <v>77115</v>
      </c>
      <c r="C1311" s="2" t="s">
        <v>3817</v>
      </c>
      <c r="D1311" s="14" t="s">
        <v>1303</v>
      </c>
      <c r="E1311" s="14">
        <v>0</v>
      </c>
      <c r="F1311" s="14">
        <v>0</v>
      </c>
      <c r="G1311" s="14">
        <v>0</v>
      </c>
      <c r="H1311" s="16">
        <v>0</v>
      </c>
      <c r="I1311" s="16">
        <v>0</v>
      </c>
      <c r="J1311" s="3" t="s">
        <v>5011</v>
      </c>
      <c r="K1311" s="16">
        <v>0</v>
      </c>
      <c r="L1311" s="16">
        <v>0</v>
      </c>
      <c r="M1311" s="16">
        <v>0</v>
      </c>
    </row>
    <row r="1312" spans="1:13" x14ac:dyDescent="0.25">
      <c r="A1312" s="2">
        <f t="shared" si="40"/>
        <v>1307</v>
      </c>
      <c r="B1312" s="2">
        <v>77152</v>
      </c>
      <c r="C1312" s="2" t="s">
        <v>3818</v>
      </c>
      <c r="D1312" s="14" t="s">
        <v>1304</v>
      </c>
      <c r="E1312" s="14">
        <v>2.0618199999999996E-2</v>
      </c>
      <c r="F1312" s="14">
        <v>0</v>
      </c>
      <c r="G1312" s="14">
        <v>2.0618199999999996E-2</v>
      </c>
      <c r="H1312" s="16">
        <v>17.999099999999999</v>
      </c>
      <c r="I1312" s="16">
        <v>17.819098199999999</v>
      </c>
      <c r="J1312" s="3" t="s">
        <v>5011</v>
      </c>
      <c r="K1312" s="16">
        <v>61.422288750499995</v>
      </c>
      <c r="L1312" s="16">
        <v>19.908716399999999</v>
      </c>
      <c r="M1312" s="16">
        <f t="shared" si="41"/>
        <v>1.1060951047552379</v>
      </c>
    </row>
    <row r="1313" spans="1:13" x14ac:dyDescent="0.25">
      <c r="A1313" s="2">
        <f t="shared" si="40"/>
        <v>1308</v>
      </c>
      <c r="B1313" s="2">
        <v>77214</v>
      </c>
      <c r="C1313" s="2" t="s">
        <v>3819</v>
      </c>
      <c r="D1313" s="14" t="s">
        <v>1305</v>
      </c>
      <c r="E1313" s="14">
        <v>7.7439899999999992E-2</v>
      </c>
      <c r="F1313" s="14">
        <v>0</v>
      </c>
      <c r="G1313" s="14">
        <v>7.7439899999999992E-2</v>
      </c>
      <c r="H1313" s="16">
        <v>9.9995000000000001E-2</v>
      </c>
      <c r="I1313" s="16">
        <v>-28.1108555</v>
      </c>
      <c r="J1313" s="3" t="s">
        <v>5011</v>
      </c>
      <c r="K1313" s="16">
        <v>31.010588136800003</v>
      </c>
      <c r="L1313" s="16">
        <v>2.4076304999999998</v>
      </c>
      <c r="M1313" s="16">
        <f t="shared" si="41"/>
        <v>24.077508875443769</v>
      </c>
    </row>
    <row r="1314" spans="1:13" x14ac:dyDescent="0.25">
      <c r="A1314" s="2">
        <f t="shared" si="40"/>
        <v>1309</v>
      </c>
      <c r="B1314" s="2">
        <v>77321</v>
      </c>
      <c r="C1314" s="2" t="s">
        <v>3820</v>
      </c>
      <c r="D1314" s="14" t="s">
        <v>1306</v>
      </c>
      <c r="E1314" s="14">
        <v>0</v>
      </c>
      <c r="F1314" s="14">
        <v>0</v>
      </c>
      <c r="G1314" s="14">
        <v>0</v>
      </c>
      <c r="H1314" s="16">
        <v>0</v>
      </c>
      <c r="I1314" s="16">
        <v>0</v>
      </c>
      <c r="J1314" s="3" t="s">
        <v>5011</v>
      </c>
      <c r="K1314" s="16">
        <v>0</v>
      </c>
      <c r="L1314" s="16">
        <v>0</v>
      </c>
      <c r="M1314" s="16">
        <v>0</v>
      </c>
    </row>
    <row r="1315" spans="1:13" x14ac:dyDescent="0.25">
      <c r="A1315" s="2">
        <f t="shared" si="40"/>
        <v>1310</v>
      </c>
      <c r="B1315" s="2">
        <v>77356</v>
      </c>
      <c r="C1315" s="2" t="s">
        <v>3821</v>
      </c>
      <c r="D1315" s="14" t="s">
        <v>1307</v>
      </c>
      <c r="E1315" s="14">
        <v>1.3933950999999998</v>
      </c>
      <c r="F1315" s="14">
        <v>0</v>
      </c>
      <c r="G1315" s="14">
        <v>1.3933950999999998</v>
      </c>
      <c r="H1315" s="16">
        <v>195.26726879999998</v>
      </c>
      <c r="I1315" s="16">
        <v>160.16370739999999</v>
      </c>
      <c r="J1315" s="3" t="s">
        <v>5011</v>
      </c>
      <c r="K1315" s="16">
        <v>1560.2590632097003</v>
      </c>
      <c r="L1315" s="16">
        <v>278.92030540000002</v>
      </c>
      <c r="M1315" s="16">
        <f t="shared" si="41"/>
        <v>1.4284027585067551</v>
      </c>
    </row>
    <row r="1316" spans="1:13" x14ac:dyDescent="0.25">
      <c r="A1316" s="2">
        <f t="shared" si="40"/>
        <v>1311</v>
      </c>
      <c r="B1316" s="2">
        <v>77369</v>
      </c>
      <c r="C1316" s="2" t="s">
        <v>3822</v>
      </c>
      <c r="D1316" s="14" t="s">
        <v>1308</v>
      </c>
      <c r="E1316" s="14">
        <v>0.1748721</v>
      </c>
      <c r="F1316" s="14">
        <v>0</v>
      </c>
      <c r="G1316" s="14">
        <v>0.1748721</v>
      </c>
      <c r="H1316" s="16">
        <v>24.073797000000003</v>
      </c>
      <c r="I1316" s="16">
        <v>20.226293800000001</v>
      </c>
      <c r="J1316" s="3" t="s">
        <v>5011</v>
      </c>
      <c r="K1316" s="16">
        <v>163.34291322759998</v>
      </c>
      <c r="L1316" s="16">
        <v>28.0825171</v>
      </c>
      <c r="M1316" s="16">
        <f t="shared" si="41"/>
        <v>1.1665179821861917</v>
      </c>
    </row>
    <row r="1317" spans="1:13" x14ac:dyDescent="0.25">
      <c r="A1317" s="2">
        <f t="shared" si="40"/>
        <v>1312</v>
      </c>
      <c r="B1317" s="2">
        <v>77382</v>
      </c>
      <c r="C1317" s="2" t="s">
        <v>3823</v>
      </c>
      <c r="D1317" s="14" t="s">
        <v>1309</v>
      </c>
      <c r="E1317" s="14">
        <v>1.4823E-3</v>
      </c>
      <c r="F1317" s="14">
        <v>0</v>
      </c>
      <c r="G1317" s="14">
        <v>1.4823E-3</v>
      </c>
      <c r="H1317" s="16">
        <v>0.85995699999999997</v>
      </c>
      <c r="I1317" s="16">
        <v>0.85995699999999997</v>
      </c>
      <c r="J1317" s="3" t="s">
        <v>5011</v>
      </c>
      <c r="K1317" s="16">
        <v>15.018746109100002</v>
      </c>
      <c r="L1317" s="16">
        <v>2.2873204999999999</v>
      </c>
      <c r="M1317" s="16">
        <f t="shared" si="41"/>
        <v>2.65980799039952</v>
      </c>
    </row>
    <row r="1318" spans="1:13" x14ac:dyDescent="0.25">
      <c r="A1318" s="2">
        <f t="shared" si="40"/>
        <v>1313</v>
      </c>
      <c r="B1318" s="2">
        <v>77393</v>
      </c>
      <c r="C1318" s="2" t="s">
        <v>3824</v>
      </c>
      <c r="D1318" s="14" t="s">
        <v>1310</v>
      </c>
      <c r="E1318" s="14">
        <v>3.0638800000000001E-2</v>
      </c>
      <c r="F1318" s="14">
        <v>0</v>
      </c>
      <c r="G1318" s="14">
        <v>3.0638800000000001E-2</v>
      </c>
      <c r="H1318" s="16">
        <v>0</v>
      </c>
      <c r="I1318" s="16">
        <v>-0.1630665</v>
      </c>
      <c r="J1318" s="3" t="s">
        <v>5011</v>
      </c>
      <c r="K1318" s="16">
        <v>31.9297194201</v>
      </c>
      <c r="L1318" s="16">
        <v>3.2403317999999999</v>
      </c>
      <c r="M1318" s="16">
        <v>0</v>
      </c>
    </row>
    <row r="1319" spans="1:13" x14ac:dyDescent="0.25">
      <c r="A1319" s="2">
        <f t="shared" si="40"/>
        <v>1314</v>
      </c>
      <c r="B1319" s="2">
        <v>77404</v>
      </c>
      <c r="C1319" s="2" t="s">
        <v>3825</v>
      </c>
      <c r="D1319" s="14" t="s">
        <v>1311</v>
      </c>
      <c r="E1319" s="14">
        <v>82.125492700000009</v>
      </c>
      <c r="F1319" s="14">
        <v>0</v>
      </c>
      <c r="G1319" s="14">
        <v>82.125492700000009</v>
      </c>
      <c r="H1319" s="16">
        <v>12209.0215494</v>
      </c>
      <c r="I1319" s="16">
        <v>9640.3674850999996</v>
      </c>
      <c r="J1319" s="3" t="s">
        <v>5011</v>
      </c>
      <c r="K1319" s="16">
        <v>84533.56414549888</v>
      </c>
      <c r="L1319" s="16">
        <v>15027.750087</v>
      </c>
      <c r="M1319" s="16">
        <f t="shared" si="41"/>
        <v>1.2308725991018112</v>
      </c>
    </row>
    <row r="1320" spans="1:13" x14ac:dyDescent="0.25">
      <c r="A1320" s="2">
        <f t="shared" si="40"/>
        <v>1315</v>
      </c>
      <c r="B1320" s="2">
        <v>77440</v>
      </c>
      <c r="C1320" s="2" t="s">
        <v>3826</v>
      </c>
      <c r="D1320" s="14" t="s">
        <v>1312</v>
      </c>
      <c r="E1320" s="14">
        <v>9.4990625999999985</v>
      </c>
      <c r="F1320" s="14">
        <v>0</v>
      </c>
      <c r="G1320" s="14">
        <v>9.4990625999999985</v>
      </c>
      <c r="H1320" s="16">
        <v>158.68284310000001</v>
      </c>
      <c r="I1320" s="16">
        <v>76.396368800000005</v>
      </c>
      <c r="J1320" s="3" t="s">
        <v>5011</v>
      </c>
      <c r="K1320" s="16">
        <v>8579.3714655059994</v>
      </c>
      <c r="L1320" s="16">
        <v>924.34859799999992</v>
      </c>
      <c r="M1320" s="16">
        <f t="shared" si="41"/>
        <v>5.8251325722560097</v>
      </c>
    </row>
    <row r="1321" spans="1:13" x14ac:dyDescent="0.25">
      <c r="A1321" s="2">
        <f t="shared" si="40"/>
        <v>1316</v>
      </c>
      <c r="B1321" s="2">
        <v>77441</v>
      </c>
      <c r="C1321" s="2" t="s">
        <v>3827</v>
      </c>
      <c r="D1321" s="14" t="s">
        <v>1313</v>
      </c>
      <c r="E1321" s="14">
        <v>1.9190538000000001</v>
      </c>
      <c r="F1321" s="14">
        <v>0</v>
      </c>
      <c r="G1321" s="14">
        <v>1.9190538000000001</v>
      </c>
      <c r="H1321" s="16">
        <v>422.83798200000001</v>
      </c>
      <c r="I1321" s="16">
        <v>396.8255461</v>
      </c>
      <c r="J1321" s="3" t="s">
        <v>5011</v>
      </c>
      <c r="K1321" s="16">
        <v>2475.7996660313984</v>
      </c>
      <c r="L1321" s="16">
        <v>526.37970780000001</v>
      </c>
      <c r="M1321" s="16">
        <f t="shared" si="41"/>
        <v>1.2448732852953592</v>
      </c>
    </row>
    <row r="1322" spans="1:13" x14ac:dyDescent="0.25">
      <c r="A1322" s="2">
        <f t="shared" si="40"/>
        <v>1317</v>
      </c>
      <c r="B1322" s="2">
        <v>77444</v>
      </c>
      <c r="C1322" s="2" t="s">
        <v>3828</v>
      </c>
      <c r="D1322" s="14" t="s">
        <v>1314</v>
      </c>
      <c r="E1322" s="14">
        <v>12.235406300000001</v>
      </c>
      <c r="F1322" s="14">
        <v>0</v>
      </c>
      <c r="G1322" s="14">
        <v>12.235406300000001</v>
      </c>
      <c r="H1322" s="16">
        <v>1925.1971912000001</v>
      </c>
      <c r="I1322" s="16">
        <v>1723.4898269</v>
      </c>
      <c r="J1322" s="3" t="s">
        <v>5011</v>
      </c>
      <c r="K1322" s="16">
        <v>14536.985208815895</v>
      </c>
      <c r="L1322" s="16">
        <v>2635.2359901</v>
      </c>
      <c r="M1322" s="16">
        <f t="shared" si="41"/>
        <v>1.3688135439556837</v>
      </c>
    </row>
    <row r="1323" spans="1:13" x14ac:dyDescent="0.25">
      <c r="A1323" s="2">
        <f t="shared" si="40"/>
        <v>1318</v>
      </c>
      <c r="B1323" s="2">
        <v>77509</v>
      </c>
      <c r="C1323" s="2" t="s">
        <v>3829</v>
      </c>
      <c r="D1323" s="14" t="s">
        <v>1315</v>
      </c>
      <c r="E1323" s="14">
        <v>0</v>
      </c>
      <c r="F1323" s="14">
        <v>0</v>
      </c>
      <c r="G1323" s="14">
        <v>0</v>
      </c>
      <c r="H1323" s="16">
        <v>0</v>
      </c>
      <c r="I1323" s="16">
        <v>0</v>
      </c>
      <c r="J1323" s="3" t="s">
        <v>5011</v>
      </c>
      <c r="K1323" s="16">
        <v>0</v>
      </c>
      <c r="L1323" s="16">
        <v>0</v>
      </c>
      <c r="M1323" s="16">
        <v>0</v>
      </c>
    </row>
    <row r="1324" spans="1:13" x14ac:dyDescent="0.25">
      <c r="A1324" s="2">
        <f t="shared" si="40"/>
        <v>1319</v>
      </c>
      <c r="B1324" s="2">
        <v>77558</v>
      </c>
      <c r="C1324" s="2" t="s">
        <v>3830</v>
      </c>
      <c r="D1324" s="14" t="s">
        <v>1316</v>
      </c>
      <c r="E1324" s="14">
        <v>16.344281700000003</v>
      </c>
      <c r="F1324" s="14">
        <v>0</v>
      </c>
      <c r="G1324" s="14">
        <v>16.344281700000003</v>
      </c>
      <c r="H1324" s="16">
        <v>1316.0502196</v>
      </c>
      <c r="I1324" s="16">
        <v>853.33618269999999</v>
      </c>
      <c r="J1324" s="3" t="s">
        <v>5011</v>
      </c>
      <c r="K1324" s="16">
        <v>14405.598020682597</v>
      </c>
      <c r="L1324" s="16">
        <v>1837.3408519</v>
      </c>
      <c r="M1324" s="16">
        <f t="shared" si="41"/>
        <v>1.3961023861676349</v>
      </c>
    </row>
    <row r="1325" spans="1:13" x14ac:dyDescent="0.25">
      <c r="A1325" s="2">
        <f t="shared" si="40"/>
        <v>1320</v>
      </c>
      <c r="B1325" s="2">
        <v>77864</v>
      </c>
      <c r="C1325" s="2" t="s">
        <v>3831</v>
      </c>
      <c r="D1325" s="14" t="s">
        <v>1317</v>
      </c>
      <c r="E1325" s="14">
        <v>0</v>
      </c>
      <c r="F1325" s="14">
        <v>0</v>
      </c>
      <c r="G1325" s="14">
        <v>0</v>
      </c>
      <c r="H1325" s="16">
        <v>0.2049898</v>
      </c>
      <c r="I1325" s="16">
        <v>0.2049898</v>
      </c>
      <c r="J1325" s="3" t="s">
        <v>5011</v>
      </c>
      <c r="K1325" s="16">
        <v>23.044448339599999</v>
      </c>
      <c r="L1325" s="16">
        <v>2.3766041000000002</v>
      </c>
      <c r="M1325" s="16">
        <f t="shared" si="41"/>
        <v>11.593767592338741</v>
      </c>
    </row>
    <row r="1326" spans="1:13" x14ac:dyDescent="0.25">
      <c r="A1326" s="2">
        <f t="shared" si="40"/>
        <v>1321</v>
      </c>
      <c r="B1326" s="2">
        <v>77875</v>
      </c>
      <c r="C1326" s="2" t="s">
        <v>3832</v>
      </c>
      <c r="D1326" s="14" t="s">
        <v>1318</v>
      </c>
      <c r="E1326" s="14">
        <v>3.1923283999999996</v>
      </c>
      <c r="F1326" s="14">
        <v>0</v>
      </c>
      <c r="G1326" s="14">
        <v>3.1923283999999996</v>
      </c>
      <c r="H1326" s="16">
        <v>396.05208820000001</v>
      </c>
      <c r="I1326" s="16">
        <v>342.45836960000003</v>
      </c>
      <c r="J1326" s="3" t="s">
        <v>5011</v>
      </c>
      <c r="K1326" s="16">
        <v>3594.3130671577001</v>
      </c>
      <c r="L1326" s="16">
        <v>576.36404600000003</v>
      </c>
      <c r="M1326" s="16">
        <f t="shared" si="41"/>
        <v>1.4552733419977459</v>
      </c>
    </row>
    <row r="1327" spans="1:13" x14ac:dyDescent="0.25">
      <c r="A1327" s="2">
        <f t="shared" si="40"/>
        <v>1322</v>
      </c>
      <c r="B1327" s="2">
        <v>77877</v>
      </c>
      <c r="C1327" s="2" t="s">
        <v>3833</v>
      </c>
      <c r="D1327" s="14" t="s">
        <v>1319</v>
      </c>
      <c r="E1327" s="14">
        <v>5.7354000000000007E-3</v>
      </c>
      <c r="F1327" s="14">
        <v>0</v>
      </c>
      <c r="G1327" s="14">
        <v>5.7354000000000007E-3</v>
      </c>
      <c r="H1327" s="16">
        <v>9.0295488000000006</v>
      </c>
      <c r="I1327" s="16">
        <v>9.0295488000000006</v>
      </c>
      <c r="J1327" s="3" t="s">
        <v>5011</v>
      </c>
      <c r="K1327" s="16">
        <v>16.117825650100002</v>
      </c>
      <c r="L1327" s="16">
        <v>9.3681256000000008</v>
      </c>
      <c r="M1327" s="16">
        <f t="shared" si="41"/>
        <v>1.0374965358180466</v>
      </c>
    </row>
    <row r="1328" spans="1:13" x14ac:dyDescent="0.25">
      <c r="A1328" s="2">
        <f t="shared" si="40"/>
        <v>1323</v>
      </c>
      <c r="B1328" s="2">
        <v>77890</v>
      </c>
      <c r="C1328" s="2" t="s">
        <v>3834</v>
      </c>
      <c r="D1328" s="14" t="s">
        <v>1320</v>
      </c>
      <c r="E1328" s="14">
        <v>0</v>
      </c>
      <c r="F1328" s="14">
        <v>0</v>
      </c>
      <c r="G1328" s="14">
        <v>0</v>
      </c>
      <c r="H1328" s="16">
        <v>0</v>
      </c>
      <c r="I1328" s="16">
        <v>0</v>
      </c>
      <c r="J1328" s="3" t="s">
        <v>5011</v>
      </c>
      <c r="K1328" s="16">
        <v>0</v>
      </c>
      <c r="L1328" s="16">
        <v>0</v>
      </c>
      <c r="M1328" s="16">
        <v>0</v>
      </c>
    </row>
    <row r="1329" spans="1:13" x14ac:dyDescent="0.25">
      <c r="A1329" s="2">
        <f t="shared" si="40"/>
        <v>1324</v>
      </c>
      <c r="B1329" s="2">
        <v>77926</v>
      </c>
      <c r="C1329" s="2" t="s">
        <v>3835</v>
      </c>
      <c r="D1329" s="14" t="s">
        <v>1321</v>
      </c>
      <c r="E1329" s="14">
        <v>5.3872E-3</v>
      </c>
      <c r="F1329" s="14">
        <v>0</v>
      </c>
      <c r="G1329" s="14">
        <v>5.3872E-3</v>
      </c>
      <c r="H1329" s="16">
        <v>0.499975</v>
      </c>
      <c r="I1329" s="16">
        <v>0.499975</v>
      </c>
      <c r="J1329" s="3" t="s">
        <v>5011</v>
      </c>
      <c r="K1329" s="16">
        <v>7.2081985494999996</v>
      </c>
      <c r="L1329" s="16">
        <v>0.76408429999999994</v>
      </c>
      <c r="M1329" s="16">
        <f t="shared" si="41"/>
        <v>1.5282450122506124</v>
      </c>
    </row>
    <row r="1330" spans="1:13" x14ac:dyDescent="0.25">
      <c r="A1330" s="2">
        <f t="shared" si="40"/>
        <v>1325</v>
      </c>
      <c r="B1330" s="2">
        <v>78038</v>
      </c>
      <c r="C1330" s="2" t="s">
        <v>3836</v>
      </c>
      <c r="D1330" s="14" t="s">
        <v>1322</v>
      </c>
      <c r="E1330" s="14">
        <v>0</v>
      </c>
      <c r="F1330" s="14">
        <v>0</v>
      </c>
      <c r="G1330" s="14">
        <v>0</v>
      </c>
      <c r="H1330" s="16">
        <v>1.9998999999999999E-2</v>
      </c>
      <c r="I1330" s="16">
        <v>1.9998999999999999E-2</v>
      </c>
      <c r="J1330" s="3" t="s">
        <v>5011</v>
      </c>
      <c r="K1330" s="16">
        <v>8.4810588482</v>
      </c>
      <c r="L1330" s="16">
        <v>0.89995690000000006</v>
      </c>
      <c r="M1330" s="16">
        <f t="shared" si="41"/>
        <v>45.000095004750243</v>
      </c>
    </row>
    <row r="1331" spans="1:13" x14ac:dyDescent="0.25">
      <c r="A1331" s="2">
        <f t="shared" si="40"/>
        <v>1326</v>
      </c>
      <c r="B1331" s="2">
        <v>78041</v>
      </c>
      <c r="C1331" s="2" t="s">
        <v>3837</v>
      </c>
      <c r="D1331" s="14" t="s">
        <v>1323</v>
      </c>
      <c r="E1331" s="14">
        <v>0.18178759999999999</v>
      </c>
      <c r="F1331" s="14">
        <v>0</v>
      </c>
      <c r="G1331" s="14">
        <v>0.18178759999999999</v>
      </c>
      <c r="H1331" s="16">
        <v>60.8269637</v>
      </c>
      <c r="I1331" s="16">
        <v>60.8269637</v>
      </c>
      <c r="J1331" s="3" t="s">
        <v>5011</v>
      </c>
      <c r="K1331" s="16">
        <v>378.69517414030008</v>
      </c>
      <c r="L1331" s="16">
        <v>80.503462999999996</v>
      </c>
      <c r="M1331" s="16">
        <f t="shared" si="41"/>
        <v>1.3234831742883788</v>
      </c>
    </row>
    <row r="1332" spans="1:13" x14ac:dyDescent="0.25">
      <c r="A1332" s="2">
        <f t="shared" si="40"/>
        <v>1327</v>
      </c>
      <c r="B1332" s="2">
        <v>78126</v>
      </c>
      <c r="C1332" s="2" t="s">
        <v>3838</v>
      </c>
      <c r="D1332" s="14" t="s">
        <v>1324</v>
      </c>
      <c r="E1332" s="14">
        <v>0.28132380000000001</v>
      </c>
      <c r="F1332" s="14">
        <v>0</v>
      </c>
      <c r="G1332" s="14">
        <v>0.28132380000000001</v>
      </c>
      <c r="H1332" s="16">
        <v>37.278136000000003</v>
      </c>
      <c r="I1332" s="16">
        <v>19.753784300000003</v>
      </c>
      <c r="J1332" s="3" t="s">
        <v>5011</v>
      </c>
      <c r="K1332" s="16">
        <v>521.34461432709998</v>
      </c>
      <c r="L1332" s="16">
        <v>65.987085800000003</v>
      </c>
      <c r="M1332" s="16">
        <f t="shared" si="41"/>
        <v>1.770128361568293</v>
      </c>
    </row>
    <row r="1333" spans="1:13" x14ac:dyDescent="0.25">
      <c r="A1333" s="2">
        <f t="shared" si="40"/>
        <v>1328</v>
      </c>
      <c r="B1333" s="2">
        <v>78432</v>
      </c>
      <c r="C1333" s="2" t="s">
        <v>3839</v>
      </c>
      <c r="D1333" s="14" t="s">
        <v>1325</v>
      </c>
      <c r="E1333" s="14">
        <v>0</v>
      </c>
      <c r="F1333" s="14">
        <v>0</v>
      </c>
      <c r="G1333" s="14">
        <v>0</v>
      </c>
      <c r="H1333" s="16">
        <v>0</v>
      </c>
      <c r="I1333" s="16">
        <v>0</v>
      </c>
      <c r="J1333" s="3" t="s">
        <v>5011</v>
      </c>
      <c r="K1333" s="16">
        <v>0</v>
      </c>
      <c r="L1333" s="16">
        <v>0</v>
      </c>
      <c r="M1333" s="16">
        <v>0</v>
      </c>
    </row>
    <row r="1334" spans="1:13" x14ac:dyDescent="0.25">
      <c r="A1334" s="2">
        <f t="shared" si="40"/>
        <v>1329</v>
      </c>
      <c r="B1334" s="2">
        <v>78491</v>
      </c>
      <c r="C1334" s="2" t="s">
        <v>3840</v>
      </c>
      <c r="D1334" s="14" t="s">
        <v>1326</v>
      </c>
      <c r="E1334" s="14">
        <v>0</v>
      </c>
      <c r="F1334" s="14">
        <v>0</v>
      </c>
      <c r="G1334" s="14">
        <v>0</v>
      </c>
      <c r="H1334" s="16">
        <v>0</v>
      </c>
      <c r="I1334" s="16">
        <v>0</v>
      </c>
      <c r="J1334" s="3" t="s">
        <v>5011</v>
      </c>
      <c r="K1334" s="16">
        <v>0</v>
      </c>
      <c r="L1334" s="16">
        <v>0</v>
      </c>
      <c r="M1334" s="16">
        <v>0</v>
      </c>
    </row>
    <row r="1335" spans="1:13" x14ac:dyDescent="0.25">
      <c r="A1335" s="2">
        <f t="shared" si="40"/>
        <v>1330</v>
      </c>
      <c r="B1335" s="2">
        <v>78494</v>
      </c>
      <c r="C1335" s="2" t="s">
        <v>3841</v>
      </c>
      <c r="D1335" s="14" t="s">
        <v>1327</v>
      </c>
      <c r="E1335" s="14">
        <v>0</v>
      </c>
      <c r="F1335" s="14">
        <v>0</v>
      </c>
      <c r="G1335" s="14">
        <v>0</v>
      </c>
      <c r="H1335" s="16">
        <v>0</v>
      </c>
      <c r="I1335" s="16">
        <v>0</v>
      </c>
      <c r="J1335" s="3" t="s">
        <v>5011</v>
      </c>
      <c r="K1335" s="16">
        <v>0</v>
      </c>
      <c r="L1335" s="16">
        <v>0</v>
      </c>
      <c r="M1335" s="16">
        <v>0</v>
      </c>
    </row>
    <row r="1336" spans="1:13" x14ac:dyDescent="0.25">
      <c r="A1336" s="2">
        <f t="shared" si="40"/>
        <v>1331</v>
      </c>
      <c r="B1336" s="2">
        <v>78740</v>
      </c>
      <c r="C1336" s="2" t="s">
        <v>3842</v>
      </c>
      <c r="D1336" s="14" t="s">
        <v>1328</v>
      </c>
      <c r="E1336" s="14">
        <v>1.2902112000000001</v>
      </c>
      <c r="F1336" s="14">
        <v>0</v>
      </c>
      <c r="G1336" s="14">
        <v>1.2902112000000001</v>
      </c>
      <c r="H1336" s="16">
        <v>378.72403119999996</v>
      </c>
      <c r="I1336" s="16">
        <v>168.99161089999996</v>
      </c>
      <c r="J1336" s="3" t="s">
        <v>5011</v>
      </c>
      <c r="K1336" s="16">
        <v>1631.3423537179001</v>
      </c>
      <c r="L1336" s="16">
        <v>306.21043040000001</v>
      </c>
      <c r="M1336" s="16">
        <f t="shared" si="41"/>
        <v>0.80853182046505434</v>
      </c>
    </row>
    <row r="1337" spans="1:13" x14ac:dyDescent="0.25">
      <c r="A1337" s="2">
        <f t="shared" si="40"/>
        <v>1332</v>
      </c>
      <c r="B1337" s="2">
        <v>78896</v>
      </c>
      <c r="C1337" s="2" t="s">
        <v>3843</v>
      </c>
      <c r="D1337" s="14" t="s">
        <v>1329</v>
      </c>
      <c r="E1337" s="14">
        <v>0</v>
      </c>
      <c r="F1337" s="14">
        <v>0</v>
      </c>
      <c r="G1337" s="14">
        <v>0</v>
      </c>
      <c r="H1337" s="16">
        <v>0</v>
      </c>
      <c r="I1337" s="16">
        <v>0</v>
      </c>
      <c r="J1337" s="3" t="s">
        <v>5011</v>
      </c>
      <c r="K1337" s="16">
        <v>0</v>
      </c>
      <c r="L1337" s="16">
        <v>0</v>
      </c>
      <c r="M1337" s="16">
        <v>0</v>
      </c>
    </row>
    <row r="1338" spans="1:13" x14ac:dyDescent="0.25">
      <c r="A1338" s="2">
        <f t="shared" si="40"/>
        <v>1333</v>
      </c>
      <c r="B1338" s="2">
        <v>78908</v>
      </c>
      <c r="C1338" s="2" t="s">
        <v>3844</v>
      </c>
      <c r="D1338" s="14" t="s">
        <v>1330</v>
      </c>
      <c r="E1338" s="14">
        <v>8.0930847999999997</v>
      </c>
      <c r="F1338" s="14">
        <v>0</v>
      </c>
      <c r="G1338" s="14">
        <v>8.0930847999999997</v>
      </c>
      <c r="H1338" s="16">
        <v>771.10167780000006</v>
      </c>
      <c r="I1338" s="16">
        <v>630.95723629999998</v>
      </c>
      <c r="J1338" s="3" t="s">
        <v>5011</v>
      </c>
      <c r="K1338" s="16">
        <v>10627.333818052193</v>
      </c>
      <c r="L1338" s="16">
        <v>1497.1011324999999</v>
      </c>
      <c r="M1338" s="16">
        <f t="shared" si="41"/>
        <v>1.9415093697776933</v>
      </c>
    </row>
    <row r="1339" spans="1:13" x14ac:dyDescent="0.25">
      <c r="A1339" s="2">
        <f t="shared" si="40"/>
        <v>1334</v>
      </c>
      <c r="B1339" s="2">
        <v>78933</v>
      </c>
      <c r="C1339" s="2" t="s">
        <v>3845</v>
      </c>
      <c r="D1339" s="14" t="s">
        <v>1331</v>
      </c>
      <c r="E1339" s="14">
        <v>0</v>
      </c>
      <c r="F1339" s="14">
        <v>0</v>
      </c>
      <c r="G1339" s="14">
        <v>0</v>
      </c>
      <c r="H1339" s="16">
        <v>0</v>
      </c>
      <c r="I1339" s="16">
        <v>0</v>
      </c>
      <c r="J1339" s="3" t="s">
        <v>5011</v>
      </c>
      <c r="K1339" s="16">
        <v>0</v>
      </c>
      <c r="L1339" s="16">
        <v>0</v>
      </c>
      <c r="M1339" s="16">
        <v>0</v>
      </c>
    </row>
    <row r="1340" spans="1:13" x14ac:dyDescent="0.25">
      <c r="A1340" s="2">
        <f t="shared" si="40"/>
        <v>1335</v>
      </c>
      <c r="B1340" s="2">
        <v>78978</v>
      </c>
      <c r="C1340" s="2" t="s">
        <v>3846</v>
      </c>
      <c r="D1340" s="14" t="s">
        <v>1332</v>
      </c>
      <c r="E1340" s="14">
        <v>0.57660549999999999</v>
      </c>
      <c r="F1340" s="14">
        <v>0</v>
      </c>
      <c r="G1340" s="14">
        <v>0.57660549999999999</v>
      </c>
      <c r="H1340" s="16">
        <v>0.35998199999999997</v>
      </c>
      <c r="I1340" s="16">
        <v>0.35998199999999997</v>
      </c>
      <c r="J1340" s="3" t="s">
        <v>5011</v>
      </c>
      <c r="K1340" s="16">
        <v>500.58994372389998</v>
      </c>
      <c r="L1340" s="16">
        <v>51.159583699999999</v>
      </c>
      <c r="M1340" s="16">
        <f t="shared" si="41"/>
        <v>142.117060575251</v>
      </c>
    </row>
    <row r="1341" spans="1:13" x14ac:dyDescent="0.25">
      <c r="A1341" s="2">
        <f t="shared" si="40"/>
        <v>1336</v>
      </c>
      <c r="B1341" s="2">
        <v>78984</v>
      </c>
      <c r="C1341" s="2" t="s">
        <v>3847</v>
      </c>
      <c r="D1341" s="14" t="s">
        <v>1333</v>
      </c>
      <c r="E1341" s="14">
        <v>0</v>
      </c>
      <c r="F1341" s="14">
        <v>0</v>
      </c>
      <c r="G1341" s="14">
        <v>0</v>
      </c>
      <c r="H1341" s="16">
        <v>0</v>
      </c>
      <c r="I1341" s="16">
        <v>0</v>
      </c>
      <c r="J1341" s="3" t="s">
        <v>5011</v>
      </c>
      <c r="K1341" s="16">
        <v>0</v>
      </c>
      <c r="L1341" s="16">
        <v>0</v>
      </c>
      <c r="M1341" s="16">
        <v>0</v>
      </c>
    </row>
    <row r="1342" spans="1:13" x14ac:dyDescent="0.25">
      <c r="A1342" s="2">
        <f t="shared" si="40"/>
        <v>1337</v>
      </c>
      <c r="B1342" s="2">
        <v>79003</v>
      </c>
      <c r="C1342" s="2" t="s">
        <v>3848</v>
      </c>
      <c r="D1342" s="14" t="s">
        <v>1334</v>
      </c>
      <c r="E1342" s="14">
        <v>0.68808010000000008</v>
      </c>
      <c r="F1342" s="14">
        <v>0</v>
      </c>
      <c r="G1342" s="14">
        <v>0.68808010000000008</v>
      </c>
      <c r="H1342" s="16">
        <v>51.180439499999999</v>
      </c>
      <c r="I1342" s="16">
        <v>46.433845099999999</v>
      </c>
      <c r="J1342" s="3" t="s">
        <v>5011</v>
      </c>
      <c r="K1342" s="16">
        <v>776.84452057040005</v>
      </c>
      <c r="L1342" s="16">
        <v>105.0176713</v>
      </c>
      <c r="M1342" s="16">
        <f t="shared" si="41"/>
        <v>2.0519103064755826</v>
      </c>
    </row>
    <row r="1343" spans="1:13" x14ac:dyDescent="0.25">
      <c r="A1343" s="2">
        <f t="shared" si="40"/>
        <v>1338</v>
      </c>
      <c r="B1343" s="2">
        <v>79036</v>
      </c>
      <c r="C1343" s="2" t="s">
        <v>3849</v>
      </c>
      <c r="D1343" s="14" t="s">
        <v>1335</v>
      </c>
      <c r="E1343" s="14">
        <v>0</v>
      </c>
      <c r="F1343" s="14">
        <v>0</v>
      </c>
      <c r="G1343" s="14">
        <v>0</v>
      </c>
      <c r="H1343" s="16">
        <v>0</v>
      </c>
      <c r="I1343" s="16">
        <v>0</v>
      </c>
      <c r="J1343" s="3" t="s">
        <v>5011</v>
      </c>
      <c r="K1343" s="16">
        <v>0</v>
      </c>
      <c r="L1343" s="16">
        <v>0</v>
      </c>
      <c r="M1343" s="16">
        <v>0</v>
      </c>
    </row>
    <row r="1344" spans="1:13" x14ac:dyDescent="0.25">
      <c r="A1344" s="2">
        <f t="shared" si="40"/>
        <v>1339</v>
      </c>
      <c r="B1344" s="2">
        <v>79049</v>
      </c>
      <c r="C1344" s="2" t="s">
        <v>3850</v>
      </c>
      <c r="D1344" s="14" t="s">
        <v>1336</v>
      </c>
      <c r="E1344" s="14">
        <v>0.29008030000000001</v>
      </c>
      <c r="F1344" s="14">
        <v>0</v>
      </c>
      <c r="G1344" s="14">
        <v>0.29008030000000001</v>
      </c>
      <c r="H1344" s="16">
        <v>41.973641399999998</v>
      </c>
      <c r="I1344" s="16">
        <v>20.220349999999996</v>
      </c>
      <c r="J1344" s="3" t="s">
        <v>5011</v>
      </c>
      <c r="K1344" s="16">
        <v>326.05641632450005</v>
      </c>
      <c r="L1344" s="16">
        <v>53.060428399999999</v>
      </c>
      <c r="M1344" s="16">
        <f t="shared" si="41"/>
        <v>1.2641368875848833</v>
      </c>
    </row>
    <row r="1345" spans="1:13" x14ac:dyDescent="0.25">
      <c r="A1345" s="2">
        <f t="shared" si="40"/>
        <v>1340</v>
      </c>
      <c r="B1345" s="2">
        <v>79099</v>
      </c>
      <c r="C1345" s="2" t="s">
        <v>3851</v>
      </c>
      <c r="D1345" s="14" t="s">
        <v>1337</v>
      </c>
      <c r="E1345" s="14">
        <v>3.7731923000000003</v>
      </c>
      <c r="F1345" s="14">
        <v>0</v>
      </c>
      <c r="G1345" s="14">
        <v>3.7731923000000003</v>
      </c>
      <c r="H1345" s="16">
        <v>486.00329590000001</v>
      </c>
      <c r="I1345" s="16">
        <v>474.31819160000003</v>
      </c>
      <c r="J1345" s="3" t="s">
        <v>5011</v>
      </c>
      <c r="K1345" s="16">
        <v>3635.5101415679005</v>
      </c>
      <c r="L1345" s="16">
        <v>662.11685590000002</v>
      </c>
      <c r="M1345" s="16">
        <f t="shared" si="41"/>
        <v>1.3623711227592932</v>
      </c>
    </row>
    <row r="1346" spans="1:13" x14ac:dyDescent="0.25">
      <c r="A1346" s="2">
        <f t="shared" si="40"/>
        <v>1341</v>
      </c>
      <c r="B1346" s="2">
        <v>79196</v>
      </c>
      <c r="C1346" s="2" t="s">
        <v>3852</v>
      </c>
      <c r="D1346" s="14" t="s">
        <v>1338</v>
      </c>
      <c r="E1346" s="14">
        <v>29.764634999999991</v>
      </c>
      <c r="F1346" s="14">
        <v>0</v>
      </c>
      <c r="G1346" s="14">
        <v>29.764634999999991</v>
      </c>
      <c r="H1346" s="16">
        <v>4953.1673042000002</v>
      </c>
      <c r="I1346" s="16">
        <v>1992.4491224999999</v>
      </c>
      <c r="J1346" s="3" t="s">
        <v>5011</v>
      </c>
      <c r="K1346" s="16">
        <v>42134.706440380804</v>
      </c>
      <c r="L1346" s="16">
        <v>4832.6827014999999</v>
      </c>
      <c r="M1346" s="16">
        <f t="shared" si="41"/>
        <v>0.97567524064898103</v>
      </c>
    </row>
    <row r="1347" spans="1:13" x14ac:dyDescent="0.25">
      <c r="A1347" s="2">
        <f t="shared" si="40"/>
        <v>1342</v>
      </c>
      <c r="B1347" s="2">
        <v>79317</v>
      </c>
      <c r="C1347" s="2" t="s">
        <v>3853</v>
      </c>
      <c r="D1347" s="14" t="s">
        <v>1339</v>
      </c>
      <c r="E1347" s="14">
        <v>0</v>
      </c>
      <c r="F1347" s="14">
        <v>0</v>
      </c>
      <c r="G1347" s="14">
        <v>0</v>
      </c>
      <c r="H1347" s="16">
        <v>1.2749364000000001</v>
      </c>
      <c r="I1347" s="16">
        <v>1.2749364000000001</v>
      </c>
      <c r="J1347" s="3" t="s">
        <v>5011</v>
      </c>
      <c r="K1347" s="16">
        <v>1.5663501599</v>
      </c>
      <c r="L1347" s="16">
        <v>1.2311452000000001</v>
      </c>
      <c r="M1347" s="16">
        <f t="shared" si="41"/>
        <v>0.9656522474375977</v>
      </c>
    </row>
    <row r="1348" spans="1:13" x14ac:dyDescent="0.25">
      <c r="A1348" s="2">
        <f t="shared" si="40"/>
        <v>1343</v>
      </c>
      <c r="B1348" s="2">
        <v>79329</v>
      </c>
      <c r="C1348" s="2" t="s">
        <v>3854</v>
      </c>
      <c r="D1348" s="14" t="s">
        <v>1340</v>
      </c>
      <c r="E1348" s="14">
        <v>0.22299550000000004</v>
      </c>
      <c r="F1348" s="14">
        <v>0</v>
      </c>
      <c r="G1348" s="14">
        <v>0.22299550000000004</v>
      </c>
      <c r="H1348" s="16">
        <v>0</v>
      </c>
      <c r="I1348" s="16">
        <v>0</v>
      </c>
      <c r="J1348" s="3" t="s">
        <v>5011</v>
      </c>
      <c r="K1348" s="16">
        <v>199.3826068564</v>
      </c>
      <c r="L1348" s="16">
        <v>19.8981505</v>
      </c>
      <c r="M1348" s="16">
        <v>0</v>
      </c>
    </row>
    <row r="1349" spans="1:13" x14ac:dyDescent="0.25">
      <c r="A1349" s="2">
        <f t="shared" si="40"/>
        <v>1344</v>
      </c>
      <c r="B1349" s="2">
        <v>79638</v>
      </c>
      <c r="C1349" s="2" t="s">
        <v>3855</v>
      </c>
      <c r="D1349" s="14" t="s">
        <v>1341</v>
      </c>
      <c r="E1349" s="14">
        <v>2.5623490999999996</v>
      </c>
      <c r="F1349" s="14">
        <v>0</v>
      </c>
      <c r="G1349" s="14">
        <v>2.5623490999999996</v>
      </c>
      <c r="H1349" s="16">
        <v>37.896849199999998</v>
      </c>
      <c r="I1349" s="16">
        <v>22.027026600000003</v>
      </c>
      <c r="J1349" s="3" t="s">
        <v>5011</v>
      </c>
      <c r="K1349" s="16">
        <v>1528.5508404252</v>
      </c>
      <c r="L1349" s="16">
        <v>171.22370000000001</v>
      </c>
      <c r="M1349" s="16">
        <f t="shared" si="41"/>
        <v>4.5181513401383251</v>
      </c>
    </row>
    <row r="1350" spans="1:13" x14ac:dyDescent="0.25">
      <c r="A1350" s="2">
        <f t="shared" si="40"/>
        <v>1345</v>
      </c>
      <c r="B1350" s="2">
        <v>79664</v>
      </c>
      <c r="C1350" s="2" t="s">
        <v>3856</v>
      </c>
      <c r="D1350" s="14" t="s">
        <v>1342</v>
      </c>
      <c r="E1350" s="14">
        <v>0</v>
      </c>
      <c r="F1350" s="14">
        <v>0</v>
      </c>
      <c r="G1350" s="14">
        <v>0</v>
      </c>
      <c r="H1350" s="16">
        <v>0</v>
      </c>
      <c r="I1350" s="16">
        <v>0</v>
      </c>
      <c r="J1350" s="3" t="s">
        <v>5011</v>
      </c>
      <c r="K1350" s="16">
        <v>0</v>
      </c>
      <c r="L1350" s="16">
        <v>0</v>
      </c>
      <c r="M1350" s="16">
        <v>0</v>
      </c>
    </row>
    <row r="1351" spans="1:13" x14ac:dyDescent="0.25">
      <c r="A1351" s="2">
        <f t="shared" si="40"/>
        <v>1346</v>
      </c>
      <c r="B1351" s="2">
        <v>79799</v>
      </c>
      <c r="C1351" s="2" t="s">
        <v>3857</v>
      </c>
      <c r="D1351" s="14" t="s">
        <v>1343</v>
      </c>
      <c r="E1351" s="14">
        <v>1.3081561000000002</v>
      </c>
      <c r="F1351" s="14">
        <v>0</v>
      </c>
      <c r="G1351" s="14">
        <v>1.3081561000000002</v>
      </c>
      <c r="H1351" s="16">
        <v>38.400642300000001</v>
      </c>
      <c r="I1351" s="16">
        <v>-1.5289841000000015</v>
      </c>
      <c r="J1351" s="3" t="s">
        <v>5011</v>
      </c>
      <c r="K1351" s="16">
        <v>1600.2530723204998</v>
      </c>
      <c r="L1351" s="16">
        <v>159.6361168</v>
      </c>
      <c r="M1351" s="16">
        <f t="shared" ref="M1351:M1414" si="42">L1351/H1351</f>
        <v>4.157121007322317</v>
      </c>
    </row>
    <row r="1352" spans="1:13" x14ac:dyDescent="0.25">
      <c r="A1352" s="2">
        <f t="shared" ref="A1352:A1415" si="43">A1351+1</f>
        <v>1347</v>
      </c>
      <c r="B1352" s="2">
        <v>79846</v>
      </c>
      <c r="C1352" s="2" t="s">
        <v>3858</v>
      </c>
      <c r="D1352" s="14" t="s">
        <v>1344</v>
      </c>
      <c r="E1352" s="14">
        <v>12.431874300000002</v>
      </c>
      <c r="F1352" s="14">
        <v>0</v>
      </c>
      <c r="G1352" s="14">
        <v>12.431874300000002</v>
      </c>
      <c r="H1352" s="16">
        <v>563.70515499999999</v>
      </c>
      <c r="I1352" s="16">
        <v>278.7466182</v>
      </c>
      <c r="J1352" s="3" t="s">
        <v>5011</v>
      </c>
      <c r="K1352" s="16">
        <v>11171.763133707496</v>
      </c>
      <c r="L1352" s="16">
        <v>1338.1339250000001</v>
      </c>
      <c r="M1352" s="16">
        <f t="shared" si="42"/>
        <v>2.3738188539361507</v>
      </c>
    </row>
    <row r="1353" spans="1:13" x14ac:dyDescent="0.25">
      <c r="A1353" s="2">
        <f t="shared" si="43"/>
        <v>1348</v>
      </c>
      <c r="B1353" s="2">
        <v>80121</v>
      </c>
      <c r="C1353" s="2" t="s">
        <v>3859</v>
      </c>
      <c r="D1353" s="14" t="s">
        <v>1345</v>
      </c>
      <c r="E1353" s="14">
        <v>7.6518700000000009E-2</v>
      </c>
      <c r="F1353" s="14">
        <v>0</v>
      </c>
      <c r="G1353" s="14">
        <v>7.6518700000000009E-2</v>
      </c>
      <c r="H1353" s="16">
        <v>9.7495124999999998</v>
      </c>
      <c r="I1353" s="16">
        <v>9.7495124999999998</v>
      </c>
      <c r="J1353" s="3" t="s">
        <v>5011</v>
      </c>
      <c r="K1353" s="16">
        <v>97.768682869999992</v>
      </c>
      <c r="L1353" s="16">
        <v>16.7264664</v>
      </c>
      <c r="M1353" s="16">
        <f t="shared" si="42"/>
        <v>1.7156207964244365</v>
      </c>
    </row>
    <row r="1354" spans="1:13" x14ac:dyDescent="0.25">
      <c r="A1354" s="2">
        <f t="shared" si="43"/>
        <v>1349</v>
      </c>
      <c r="B1354" s="2">
        <v>80125</v>
      </c>
      <c r="C1354" s="2" t="s">
        <v>3860</v>
      </c>
      <c r="D1354" s="14" t="s">
        <v>1346</v>
      </c>
      <c r="E1354" s="14">
        <v>12.828907299999999</v>
      </c>
      <c r="F1354" s="14">
        <v>0</v>
      </c>
      <c r="G1354" s="14">
        <v>12.828907299999999</v>
      </c>
      <c r="H1354" s="16">
        <v>2326.6605180000001</v>
      </c>
      <c r="I1354" s="16">
        <v>1419.4969982</v>
      </c>
      <c r="J1354" s="3" t="s">
        <v>5011</v>
      </c>
      <c r="K1354" s="16">
        <v>15247.326862293197</v>
      </c>
      <c r="L1354" s="16">
        <v>2803.408465</v>
      </c>
      <c r="M1354" s="16">
        <f t="shared" si="42"/>
        <v>1.2049065359177595</v>
      </c>
    </row>
    <row r="1355" spans="1:13" x14ac:dyDescent="0.25">
      <c r="A1355" s="2">
        <f t="shared" si="43"/>
        <v>1350</v>
      </c>
      <c r="B1355" s="2">
        <v>80131</v>
      </c>
      <c r="C1355" s="2" t="s">
        <v>3861</v>
      </c>
      <c r="D1355" s="14" t="s">
        <v>1347</v>
      </c>
      <c r="E1355" s="14">
        <v>7.0497243000000003</v>
      </c>
      <c r="F1355" s="14">
        <v>0</v>
      </c>
      <c r="G1355" s="14">
        <v>7.0497243000000003</v>
      </c>
      <c r="H1355" s="16">
        <v>518.02887320000002</v>
      </c>
      <c r="I1355" s="16">
        <v>280.69879359999999</v>
      </c>
      <c r="J1355" s="3" t="s">
        <v>5011</v>
      </c>
      <c r="K1355" s="16">
        <v>7052.5715570726015</v>
      </c>
      <c r="L1355" s="16">
        <v>873.18200819999993</v>
      </c>
      <c r="M1355" s="16">
        <f t="shared" si="42"/>
        <v>1.685585598358883</v>
      </c>
    </row>
    <row r="1356" spans="1:13" x14ac:dyDescent="0.25">
      <c r="A1356" s="2">
        <f t="shared" si="43"/>
        <v>1351</v>
      </c>
      <c r="B1356" s="2">
        <v>80331</v>
      </c>
      <c r="C1356" s="2" t="s">
        <v>3862</v>
      </c>
      <c r="D1356" s="14" t="s">
        <v>1348</v>
      </c>
      <c r="E1356" s="14">
        <v>2.218E-4</v>
      </c>
      <c r="F1356" s="14">
        <v>0</v>
      </c>
      <c r="G1356" s="14">
        <v>2.218E-4</v>
      </c>
      <c r="H1356" s="16">
        <v>34.488275699999996</v>
      </c>
      <c r="I1356" s="16">
        <v>33.988245299999996</v>
      </c>
      <c r="J1356" s="3" t="s">
        <v>5011</v>
      </c>
      <c r="K1356" s="16">
        <v>10.0914935389</v>
      </c>
      <c r="L1356" s="16">
        <v>34.094036000000003</v>
      </c>
      <c r="M1356" s="16">
        <f t="shared" si="42"/>
        <v>0.98856887762585377</v>
      </c>
    </row>
    <row r="1357" spans="1:13" x14ac:dyDescent="0.25">
      <c r="A1357" s="2">
        <f t="shared" si="43"/>
        <v>1352</v>
      </c>
      <c r="B1357" s="2">
        <v>80510</v>
      </c>
      <c r="C1357" s="2" t="s">
        <v>3863</v>
      </c>
      <c r="D1357" s="14" t="s">
        <v>1349</v>
      </c>
      <c r="E1357" s="14">
        <v>0.81120049999999999</v>
      </c>
      <c r="F1357" s="14">
        <v>0</v>
      </c>
      <c r="G1357" s="14">
        <v>0.81120049999999999</v>
      </c>
      <c r="H1357" s="16">
        <v>117.31125519999999</v>
      </c>
      <c r="I1357" s="16">
        <v>97.289612300000002</v>
      </c>
      <c r="J1357" s="3" t="s">
        <v>5011</v>
      </c>
      <c r="K1357" s="16">
        <v>974.04737869910025</v>
      </c>
      <c r="L1357" s="16">
        <v>170.53820379999999</v>
      </c>
      <c r="M1357" s="16">
        <f t="shared" si="42"/>
        <v>1.4537241418929086</v>
      </c>
    </row>
    <row r="1358" spans="1:13" x14ac:dyDescent="0.25">
      <c r="A1358" s="2">
        <f t="shared" si="43"/>
        <v>1353</v>
      </c>
      <c r="B1358" s="2">
        <v>80592</v>
      </c>
      <c r="C1358" s="2" t="s">
        <v>3864</v>
      </c>
      <c r="D1358" s="14" t="s">
        <v>1350</v>
      </c>
      <c r="E1358" s="14">
        <v>0.10566590000000001</v>
      </c>
      <c r="F1358" s="14">
        <v>0</v>
      </c>
      <c r="G1358" s="14">
        <v>0.10566590000000001</v>
      </c>
      <c r="H1358" s="16">
        <v>0.58997050000000006</v>
      </c>
      <c r="I1358" s="16">
        <v>0.55224039999999996</v>
      </c>
      <c r="J1358" s="3" t="s">
        <v>5011</v>
      </c>
      <c r="K1358" s="16">
        <v>82.07715356540001</v>
      </c>
      <c r="L1358" s="16">
        <v>8.9359452000000008</v>
      </c>
      <c r="M1358" s="16">
        <f t="shared" si="42"/>
        <v>15.146427151866067</v>
      </c>
    </row>
    <row r="1359" spans="1:13" x14ac:dyDescent="0.25">
      <c r="A1359" s="2">
        <f t="shared" si="43"/>
        <v>1354</v>
      </c>
      <c r="B1359" s="2">
        <v>80655</v>
      </c>
      <c r="C1359" s="2" t="s">
        <v>3865</v>
      </c>
      <c r="D1359" s="14" t="s">
        <v>1351</v>
      </c>
      <c r="E1359" s="14">
        <v>0</v>
      </c>
      <c r="F1359" s="14">
        <v>0</v>
      </c>
      <c r="G1359" s="14">
        <v>0</v>
      </c>
      <c r="H1359" s="16">
        <v>0</v>
      </c>
      <c r="I1359" s="16">
        <v>0</v>
      </c>
      <c r="J1359" s="3" t="s">
        <v>5011</v>
      </c>
      <c r="K1359" s="16">
        <v>0</v>
      </c>
      <c r="L1359" s="16">
        <v>0</v>
      </c>
      <c r="M1359" s="16">
        <v>0</v>
      </c>
    </row>
    <row r="1360" spans="1:13" x14ac:dyDescent="0.25">
      <c r="A1360" s="2">
        <f t="shared" si="43"/>
        <v>1355</v>
      </c>
      <c r="B1360" s="2">
        <v>80711</v>
      </c>
      <c r="C1360" s="2" t="s">
        <v>3866</v>
      </c>
      <c r="D1360" s="14" t="s">
        <v>1352</v>
      </c>
      <c r="E1360" s="14">
        <v>0</v>
      </c>
      <c r="F1360" s="14">
        <v>0</v>
      </c>
      <c r="G1360" s="14">
        <v>0</v>
      </c>
      <c r="H1360" s="16">
        <v>0</v>
      </c>
      <c r="I1360" s="16">
        <v>0</v>
      </c>
      <c r="J1360" s="3" t="s">
        <v>5011</v>
      </c>
      <c r="K1360" s="16">
        <v>0</v>
      </c>
      <c r="L1360" s="16">
        <v>0</v>
      </c>
      <c r="M1360" s="16">
        <v>0</v>
      </c>
    </row>
    <row r="1361" spans="1:13" x14ac:dyDescent="0.25">
      <c r="A1361" s="2">
        <f t="shared" si="43"/>
        <v>1356</v>
      </c>
      <c r="B1361" s="2">
        <v>80742</v>
      </c>
      <c r="C1361" s="2" t="s">
        <v>3867</v>
      </c>
      <c r="D1361" s="14" t="s">
        <v>1353</v>
      </c>
      <c r="E1361" s="14">
        <v>0</v>
      </c>
      <c r="F1361" s="14">
        <v>0</v>
      </c>
      <c r="G1361" s="14">
        <v>0</v>
      </c>
      <c r="H1361" s="16">
        <v>0</v>
      </c>
      <c r="I1361" s="16">
        <v>0</v>
      </c>
      <c r="J1361" s="3" t="s">
        <v>5011</v>
      </c>
      <c r="K1361" s="16">
        <v>0</v>
      </c>
      <c r="L1361" s="16">
        <v>0</v>
      </c>
      <c r="M1361" s="16">
        <v>0</v>
      </c>
    </row>
    <row r="1362" spans="1:13" x14ac:dyDescent="0.25">
      <c r="A1362" s="2">
        <f t="shared" si="43"/>
        <v>1357</v>
      </c>
      <c r="B1362" s="2">
        <v>80789</v>
      </c>
      <c r="C1362" s="2" t="s">
        <v>3868</v>
      </c>
      <c r="D1362" s="14" t="s">
        <v>1354</v>
      </c>
      <c r="E1362" s="14">
        <v>6.3952596999999995</v>
      </c>
      <c r="F1362" s="14">
        <v>0</v>
      </c>
      <c r="G1362" s="14">
        <v>6.3952596999999995</v>
      </c>
      <c r="H1362" s="16">
        <v>1038.2574262000001</v>
      </c>
      <c r="I1362" s="16">
        <v>806.56226060000006</v>
      </c>
      <c r="J1362" s="3" t="s">
        <v>5011</v>
      </c>
      <c r="K1362" s="16">
        <v>7758.6226884561011</v>
      </c>
      <c r="L1362" s="16">
        <v>1262.809816</v>
      </c>
      <c r="M1362" s="16">
        <f t="shared" si="42"/>
        <v>1.2162781446426605</v>
      </c>
    </row>
    <row r="1363" spans="1:13" x14ac:dyDescent="0.25">
      <c r="A1363" s="2">
        <f t="shared" si="43"/>
        <v>1358</v>
      </c>
      <c r="B1363" s="2">
        <v>80863</v>
      </c>
      <c r="C1363" s="2" t="s">
        <v>3869</v>
      </c>
      <c r="D1363" s="14" t="s">
        <v>1355</v>
      </c>
      <c r="E1363" s="14">
        <v>0</v>
      </c>
      <c r="F1363" s="14">
        <v>0</v>
      </c>
      <c r="G1363" s="14">
        <v>0</v>
      </c>
      <c r="H1363" s="16">
        <v>0</v>
      </c>
      <c r="I1363" s="16">
        <v>0</v>
      </c>
      <c r="J1363" s="3" t="s">
        <v>5011</v>
      </c>
      <c r="K1363" s="16">
        <v>0</v>
      </c>
      <c r="L1363" s="16">
        <v>0</v>
      </c>
      <c r="M1363" s="16">
        <v>0</v>
      </c>
    </row>
    <row r="1364" spans="1:13" x14ac:dyDescent="0.25">
      <c r="A1364" s="2">
        <f t="shared" si="43"/>
        <v>1359</v>
      </c>
      <c r="B1364" s="2">
        <v>80943</v>
      </c>
      <c r="C1364" s="2" t="s">
        <v>3870</v>
      </c>
      <c r="D1364" s="14" t="s">
        <v>1356</v>
      </c>
      <c r="E1364" s="14">
        <v>10.827983299999998</v>
      </c>
      <c r="F1364" s="14">
        <v>0</v>
      </c>
      <c r="G1364" s="14">
        <v>10.827983299999998</v>
      </c>
      <c r="H1364" s="16">
        <v>774.02718970000001</v>
      </c>
      <c r="I1364" s="16">
        <v>485.46370980000006</v>
      </c>
      <c r="J1364" s="3" t="s">
        <v>5011</v>
      </c>
      <c r="K1364" s="16">
        <v>10793.4071048886</v>
      </c>
      <c r="L1364" s="16">
        <v>1420.7427218999999</v>
      </c>
      <c r="M1364" s="16">
        <f t="shared" si="42"/>
        <v>1.8355204323644703</v>
      </c>
    </row>
    <row r="1365" spans="1:13" x14ac:dyDescent="0.25">
      <c r="A1365" s="2">
        <f t="shared" si="43"/>
        <v>1360</v>
      </c>
      <c r="B1365" s="2">
        <v>81000</v>
      </c>
      <c r="C1365" s="2" t="s">
        <v>3871</v>
      </c>
      <c r="D1365" s="14" t="s">
        <v>1357</v>
      </c>
      <c r="E1365" s="14">
        <v>0.22253520000000004</v>
      </c>
      <c r="F1365" s="14">
        <v>0</v>
      </c>
      <c r="G1365" s="14">
        <v>0.22253520000000004</v>
      </c>
      <c r="H1365" s="16">
        <v>49.855172899999999</v>
      </c>
      <c r="I1365" s="16">
        <v>42.351755999999995</v>
      </c>
      <c r="J1365" s="3" t="s">
        <v>5011</v>
      </c>
      <c r="K1365" s="16">
        <v>366.20635341209999</v>
      </c>
      <c r="L1365" s="16">
        <v>56.376142000000002</v>
      </c>
      <c r="M1365" s="16">
        <f t="shared" si="42"/>
        <v>1.1307982446090363</v>
      </c>
    </row>
    <row r="1366" spans="1:13" x14ac:dyDescent="0.25">
      <c r="A1366" s="2">
        <f t="shared" si="43"/>
        <v>1361</v>
      </c>
      <c r="B1366" s="2">
        <v>81023</v>
      </c>
      <c r="C1366" s="2" t="s">
        <v>3872</v>
      </c>
      <c r="D1366" s="14" t="s">
        <v>1358</v>
      </c>
      <c r="E1366" s="14">
        <v>0.77165649999999997</v>
      </c>
      <c r="F1366" s="14">
        <v>0</v>
      </c>
      <c r="G1366" s="14">
        <v>0.77165649999999997</v>
      </c>
      <c r="H1366" s="16">
        <v>20.1539924</v>
      </c>
      <c r="I1366" s="16">
        <v>15.808992399999999</v>
      </c>
      <c r="J1366" s="3" t="s">
        <v>5011</v>
      </c>
      <c r="K1366" s="16">
        <v>707.2850646823</v>
      </c>
      <c r="L1366" s="16">
        <v>82.386522099999993</v>
      </c>
      <c r="M1366" s="16">
        <f t="shared" si="42"/>
        <v>4.0878512041117965</v>
      </c>
    </row>
    <row r="1367" spans="1:13" x14ac:dyDescent="0.25">
      <c r="A1367" s="2">
        <f t="shared" si="43"/>
        <v>1362</v>
      </c>
      <c r="B1367" s="2">
        <v>81042</v>
      </c>
      <c r="C1367" s="2" t="s">
        <v>3873</v>
      </c>
      <c r="D1367" s="14" t="s">
        <v>1359</v>
      </c>
      <c r="E1367" s="14">
        <v>2.0139500000000001E-2</v>
      </c>
      <c r="F1367" s="14">
        <v>0</v>
      </c>
      <c r="G1367" s="14">
        <v>2.0139500000000001E-2</v>
      </c>
      <c r="H1367" s="16">
        <v>3.0101705000000001</v>
      </c>
      <c r="I1367" s="16">
        <v>1.9998444999999998</v>
      </c>
      <c r="J1367" s="3" t="s">
        <v>5011</v>
      </c>
      <c r="K1367" s="16">
        <v>18.884922613400001</v>
      </c>
      <c r="L1367" s="16">
        <v>0</v>
      </c>
      <c r="M1367" s="16">
        <f t="shared" si="42"/>
        <v>0</v>
      </c>
    </row>
    <row r="1368" spans="1:13" x14ac:dyDescent="0.25">
      <c r="A1368" s="2">
        <f t="shared" si="43"/>
        <v>1363</v>
      </c>
      <c r="B1368" s="2">
        <v>81064</v>
      </c>
      <c r="C1368" s="2" t="s">
        <v>3874</v>
      </c>
      <c r="D1368" s="14" t="s">
        <v>1360</v>
      </c>
      <c r="E1368" s="14">
        <v>0</v>
      </c>
      <c r="F1368" s="14">
        <v>0</v>
      </c>
      <c r="G1368" s="14">
        <v>0</v>
      </c>
      <c r="H1368" s="16">
        <v>0</v>
      </c>
      <c r="I1368" s="16">
        <v>0</v>
      </c>
      <c r="J1368" s="3" t="s">
        <v>5011</v>
      </c>
      <c r="K1368" s="16">
        <v>0</v>
      </c>
      <c r="L1368" s="16">
        <v>0</v>
      </c>
      <c r="M1368" s="16">
        <v>0</v>
      </c>
    </row>
    <row r="1369" spans="1:13" x14ac:dyDescent="0.25">
      <c r="A1369" s="2">
        <f t="shared" si="43"/>
        <v>1364</v>
      </c>
      <c r="B1369" s="2">
        <v>81103</v>
      </c>
      <c r="C1369" s="2" t="s">
        <v>3875</v>
      </c>
      <c r="D1369" s="14" t="s">
        <v>1361</v>
      </c>
      <c r="E1369" s="14">
        <v>12.926128200000001</v>
      </c>
      <c r="F1369" s="14">
        <v>0</v>
      </c>
      <c r="G1369" s="14">
        <v>12.926128200000001</v>
      </c>
      <c r="H1369" s="16">
        <v>652.42814629999998</v>
      </c>
      <c r="I1369" s="16">
        <v>490.01145030000004</v>
      </c>
      <c r="J1369" s="3" t="s">
        <v>5011</v>
      </c>
      <c r="K1369" s="16">
        <v>12527.569948986198</v>
      </c>
      <c r="L1369" s="16">
        <v>1652.6227125999999</v>
      </c>
      <c r="M1369" s="16">
        <f t="shared" si="42"/>
        <v>2.5330340543586694</v>
      </c>
    </row>
    <row r="1370" spans="1:13" x14ac:dyDescent="0.25">
      <c r="A1370" s="2">
        <f t="shared" si="43"/>
        <v>1365</v>
      </c>
      <c r="B1370" s="2">
        <v>81194</v>
      </c>
      <c r="C1370" s="2" t="s">
        <v>3876</v>
      </c>
      <c r="D1370" s="14" t="s">
        <v>1362</v>
      </c>
      <c r="E1370" s="14">
        <v>0</v>
      </c>
      <c r="F1370" s="14">
        <v>0</v>
      </c>
      <c r="G1370" s="14">
        <v>0</v>
      </c>
      <c r="H1370" s="16">
        <v>0</v>
      </c>
      <c r="I1370" s="16">
        <v>0</v>
      </c>
      <c r="J1370" s="3" t="s">
        <v>5011</v>
      </c>
      <c r="K1370" s="16">
        <v>0</v>
      </c>
      <c r="L1370" s="16">
        <v>0</v>
      </c>
      <c r="M1370" s="16">
        <v>0</v>
      </c>
    </row>
    <row r="1371" spans="1:13" x14ac:dyDescent="0.25">
      <c r="A1371" s="2">
        <f t="shared" si="43"/>
        <v>1366</v>
      </c>
      <c r="B1371" s="2">
        <v>81310</v>
      </c>
      <c r="C1371" s="2" t="s">
        <v>3877</v>
      </c>
      <c r="D1371" s="14" t="s">
        <v>1363</v>
      </c>
      <c r="E1371" s="14">
        <v>16.922900400000003</v>
      </c>
      <c r="F1371" s="14">
        <v>0</v>
      </c>
      <c r="G1371" s="14">
        <v>16.922900400000003</v>
      </c>
      <c r="H1371" s="16">
        <v>193.5503262</v>
      </c>
      <c r="I1371" s="16">
        <v>180.54230570000001</v>
      </c>
      <c r="J1371" s="3" t="s">
        <v>5011</v>
      </c>
      <c r="K1371" s="16">
        <v>12259.113288861296</v>
      </c>
      <c r="L1371" s="16">
        <v>1383.0726877000002</v>
      </c>
      <c r="M1371" s="16">
        <f t="shared" si="42"/>
        <v>7.1458039614505191</v>
      </c>
    </row>
    <row r="1372" spans="1:13" x14ac:dyDescent="0.25">
      <c r="A1372" s="2">
        <f t="shared" si="43"/>
        <v>1367</v>
      </c>
      <c r="B1372" s="2">
        <v>81334</v>
      </c>
      <c r="C1372" s="2" t="s">
        <v>3878</v>
      </c>
      <c r="D1372" s="14" t="s">
        <v>1364</v>
      </c>
      <c r="E1372" s="14">
        <v>0</v>
      </c>
      <c r="F1372" s="14">
        <v>0</v>
      </c>
      <c r="G1372" s="14">
        <v>0</v>
      </c>
      <c r="H1372" s="16">
        <v>0</v>
      </c>
      <c r="I1372" s="16">
        <v>0</v>
      </c>
      <c r="J1372" s="3" t="s">
        <v>5011</v>
      </c>
      <c r="K1372" s="16">
        <v>0</v>
      </c>
      <c r="L1372" s="16">
        <v>0</v>
      </c>
      <c r="M1372" s="16">
        <v>0</v>
      </c>
    </row>
    <row r="1373" spans="1:13" x14ac:dyDescent="0.25">
      <c r="A1373" s="2">
        <f t="shared" si="43"/>
        <v>1368</v>
      </c>
      <c r="B1373" s="2">
        <v>81389</v>
      </c>
      <c r="C1373" s="2" t="s">
        <v>3879</v>
      </c>
      <c r="D1373" s="14" t="s">
        <v>1365</v>
      </c>
      <c r="E1373" s="14">
        <v>0.64250400000000008</v>
      </c>
      <c r="F1373" s="14">
        <v>0</v>
      </c>
      <c r="G1373" s="14">
        <v>0.64250400000000008</v>
      </c>
      <c r="H1373" s="16">
        <v>181.31947829999999</v>
      </c>
      <c r="I1373" s="16">
        <v>152.0159395</v>
      </c>
      <c r="J1373" s="3" t="s">
        <v>5011</v>
      </c>
      <c r="K1373" s="16">
        <v>1124.3392304714002</v>
      </c>
      <c r="L1373" s="16">
        <v>208.29794230000002</v>
      </c>
      <c r="M1373" s="16">
        <f t="shared" si="42"/>
        <v>1.1487896626051568</v>
      </c>
    </row>
    <row r="1374" spans="1:13" x14ac:dyDescent="0.25">
      <c r="A1374" s="2">
        <f t="shared" si="43"/>
        <v>1369</v>
      </c>
      <c r="B1374" s="2">
        <v>81404</v>
      </c>
      <c r="C1374" s="2" t="s">
        <v>3880</v>
      </c>
      <c r="D1374" s="14" t="s">
        <v>1366</v>
      </c>
      <c r="E1374" s="14">
        <v>8.3528899999999989E-2</v>
      </c>
      <c r="F1374" s="14">
        <v>0</v>
      </c>
      <c r="G1374" s="14">
        <v>8.3528899999999989E-2</v>
      </c>
      <c r="H1374" s="16">
        <v>10.032348900000001</v>
      </c>
      <c r="I1374" s="16">
        <v>9.8996715999999996</v>
      </c>
      <c r="J1374" s="3" t="s">
        <v>5011</v>
      </c>
      <c r="K1374" s="16">
        <v>102.29388416480001</v>
      </c>
      <c r="L1374" s="16">
        <v>14.2630292</v>
      </c>
      <c r="M1374" s="16">
        <f t="shared" si="42"/>
        <v>1.4217038643861359</v>
      </c>
    </row>
    <row r="1375" spans="1:13" x14ac:dyDescent="0.25">
      <c r="A1375" s="2">
        <f t="shared" si="43"/>
        <v>1370</v>
      </c>
      <c r="B1375" s="2">
        <v>81449</v>
      </c>
      <c r="C1375" s="2" t="s">
        <v>3881</v>
      </c>
      <c r="D1375" s="14" t="s">
        <v>1367</v>
      </c>
      <c r="E1375" s="14">
        <v>0.17156060000000001</v>
      </c>
      <c r="F1375" s="14">
        <v>0</v>
      </c>
      <c r="G1375" s="14">
        <v>0.17156060000000001</v>
      </c>
      <c r="H1375" s="16">
        <v>134.67462990000001</v>
      </c>
      <c r="I1375" s="16">
        <v>42.2504499</v>
      </c>
      <c r="J1375" s="3" t="s">
        <v>5011</v>
      </c>
      <c r="K1375" s="16">
        <v>844.13747249629989</v>
      </c>
      <c r="L1375" s="16">
        <v>159.0997941</v>
      </c>
      <c r="M1375" s="16">
        <f t="shared" si="42"/>
        <v>1.1813642570849194</v>
      </c>
    </row>
    <row r="1376" spans="1:13" x14ac:dyDescent="0.25">
      <c r="A1376" s="2">
        <f t="shared" si="43"/>
        <v>1371</v>
      </c>
      <c r="B1376" s="2">
        <v>81496</v>
      </c>
      <c r="C1376" s="2" t="s">
        <v>3882</v>
      </c>
      <c r="D1376" s="14" t="s">
        <v>1368</v>
      </c>
      <c r="E1376" s="14">
        <v>1.8288834</v>
      </c>
      <c r="F1376" s="14">
        <v>0</v>
      </c>
      <c r="G1376" s="14">
        <v>1.8288834</v>
      </c>
      <c r="H1376" s="16">
        <v>325.31525199999999</v>
      </c>
      <c r="I1376" s="16">
        <v>261.94461640000003</v>
      </c>
      <c r="J1376" s="3" t="s">
        <v>5011</v>
      </c>
      <c r="K1376" s="16">
        <v>2280.6717369618996</v>
      </c>
      <c r="L1376" s="16">
        <v>389.44958759999997</v>
      </c>
      <c r="M1376" s="16">
        <f t="shared" si="42"/>
        <v>1.1971451851879358</v>
      </c>
    </row>
    <row r="1377" spans="1:13" x14ac:dyDescent="0.25">
      <c r="A1377" s="2">
        <f t="shared" si="43"/>
        <v>1372</v>
      </c>
      <c r="B1377" s="2">
        <v>81505</v>
      </c>
      <c r="C1377" s="2" t="s">
        <v>3883</v>
      </c>
      <c r="D1377" s="14" t="s">
        <v>1369</v>
      </c>
      <c r="E1377" s="14">
        <v>0</v>
      </c>
      <c r="F1377" s="14">
        <v>0</v>
      </c>
      <c r="G1377" s="14">
        <v>0</v>
      </c>
      <c r="H1377" s="16">
        <v>0</v>
      </c>
      <c r="I1377" s="16">
        <v>0</v>
      </c>
      <c r="J1377" s="3" t="s">
        <v>5011</v>
      </c>
      <c r="K1377" s="16">
        <v>0</v>
      </c>
      <c r="L1377" s="16">
        <v>0</v>
      </c>
      <c r="M1377" s="16">
        <v>0</v>
      </c>
    </row>
    <row r="1378" spans="1:13" x14ac:dyDescent="0.25">
      <c r="A1378" s="2">
        <f t="shared" si="43"/>
        <v>1373</v>
      </c>
      <c r="B1378" s="2">
        <v>81507</v>
      </c>
      <c r="C1378" s="2" t="s">
        <v>3884</v>
      </c>
      <c r="D1378" s="14" t="s">
        <v>1370</v>
      </c>
      <c r="E1378" s="14">
        <v>0</v>
      </c>
      <c r="F1378" s="14">
        <v>0</v>
      </c>
      <c r="G1378" s="14">
        <v>0</v>
      </c>
      <c r="H1378" s="16">
        <v>0</v>
      </c>
      <c r="I1378" s="16">
        <v>0</v>
      </c>
      <c r="J1378" s="3" t="s">
        <v>5011</v>
      </c>
      <c r="K1378" s="16">
        <v>0</v>
      </c>
      <c r="L1378" s="16">
        <v>0</v>
      </c>
      <c r="M1378" s="16">
        <v>0</v>
      </c>
    </row>
    <row r="1379" spans="1:13" x14ac:dyDescent="0.25">
      <c r="A1379" s="2">
        <f t="shared" si="43"/>
        <v>1374</v>
      </c>
      <c r="B1379" s="2">
        <v>81632</v>
      </c>
      <c r="C1379" s="2" t="s">
        <v>3885</v>
      </c>
      <c r="D1379" s="14" t="s">
        <v>1371</v>
      </c>
      <c r="E1379" s="14">
        <v>0</v>
      </c>
      <c r="F1379" s="14">
        <v>0</v>
      </c>
      <c r="G1379" s="14">
        <v>0</v>
      </c>
      <c r="H1379" s="16">
        <v>0</v>
      </c>
      <c r="I1379" s="16">
        <v>0</v>
      </c>
      <c r="J1379" s="3" t="s">
        <v>5011</v>
      </c>
      <c r="K1379" s="16">
        <v>0</v>
      </c>
      <c r="L1379" s="16">
        <v>0</v>
      </c>
      <c r="M1379" s="16">
        <v>0</v>
      </c>
    </row>
    <row r="1380" spans="1:13" x14ac:dyDescent="0.25">
      <c r="A1380" s="2">
        <f t="shared" si="43"/>
        <v>1375</v>
      </c>
      <c r="B1380" s="2">
        <v>81646</v>
      </c>
      <c r="C1380" s="2" t="s">
        <v>3886</v>
      </c>
      <c r="D1380" s="14" t="s">
        <v>1372</v>
      </c>
      <c r="E1380" s="14">
        <v>1.6202876999999996</v>
      </c>
      <c r="F1380" s="14">
        <v>0</v>
      </c>
      <c r="G1380" s="14">
        <v>1.6202876999999996</v>
      </c>
      <c r="H1380" s="16">
        <v>107.2746374</v>
      </c>
      <c r="I1380" s="16">
        <v>84.379978900000012</v>
      </c>
      <c r="J1380" s="3" t="s">
        <v>5011</v>
      </c>
      <c r="K1380" s="16">
        <v>1472.8759246179002</v>
      </c>
      <c r="L1380" s="16">
        <v>204.18603620000002</v>
      </c>
      <c r="M1380" s="16">
        <f t="shared" si="42"/>
        <v>1.9033952586447989</v>
      </c>
    </row>
    <row r="1381" spans="1:13" x14ac:dyDescent="0.25">
      <c r="A1381" s="2">
        <f t="shared" si="43"/>
        <v>1376</v>
      </c>
      <c r="B1381" s="2">
        <v>81655</v>
      </c>
      <c r="C1381" s="2" t="s">
        <v>3887</v>
      </c>
      <c r="D1381" s="14" t="s">
        <v>1373</v>
      </c>
      <c r="E1381" s="14">
        <v>2.6912472999999997</v>
      </c>
      <c r="F1381" s="14">
        <v>0</v>
      </c>
      <c r="G1381" s="14">
        <v>2.6912472999999997</v>
      </c>
      <c r="H1381" s="16">
        <v>731.94886329999997</v>
      </c>
      <c r="I1381" s="16">
        <v>723.60037420000003</v>
      </c>
      <c r="J1381" s="3" t="s">
        <v>5011</v>
      </c>
      <c r="K1381" s="16">
        <v>4435.5588477708006</v>
      </c>
      <c r="L1381" s="16">
        <v>913.49574859999996</v>
      </c>
      <c r="M1381" s="16">
        <f t="shared" si="42"/>
        <v>1.2480321978799089</v>
      </c>
    </row>
    <row r="1382" spans="1:13" x14ac:dyDescent="0.25">
      <c r="A1382" s="2">
        <f t="shared" si="43"/>
        <v>1377</v>
      </c>
      <c r="B1382" s="2">
        <v>81656</v>
      </c>
      <c r="C1382" s="2" t="s">
        <v>3888</v>
      </c>
      <c r="D1382" s="14" t="s">
        <v>1374</v>
      </c>
      <c r="E1382" s="14">
        <v>0</v>
      </c>
      <c r="F1382" s="14">
        <v>0</v>
      </c>
      <c r="G1382" s="14">
        <v>0</v>
      </c>
      <c r="H1382" s="16">
        <v>0</v>
      </c>
      <c r="I1382" s="16">
        <v>0</v>
      </c>
      <c r="J1382" s="3" t="s">
        <v>5011</v>
      </c>
      <c r="K1382" s="16">
        <v>0</v>
      </c>
      <c r="L1382" s="16">
        <v>0</v>
      </c>
      <c r="M1382" s="16">
        <v>0</v>
      </c>
    </row>
    <row r="1383" spans="1:13" x14ac:dyDescent="0.25">
      <c r="A1383" s="2">
        <f t="shared" si="43"/>
        <v>1378</v>
      </c>
      <c r="B1383" s="2">
        <v>81768</v>
      </c>
      <c r="C1383" s="2" t="s">
        <v>3889</v>
      </c>
      <c r="D1383" s="14" t="s">
        <v>1375</v>
      </c>
      <c r="E1383" s="14">
        <v>45.836006899999994</v>
      </c>
      <c r="F1383" s="14">
        <v>0</v>
      </c>
      <c r="G1383" s="14">
        <v>45.836006899999994</v>
      </c>
      <c r="H1383" s="16">
        <v>1922.6848957</v>
      </c>
      <c r="I1383" s="16">
        <v>1124.5221394999999</v>
      </c>
      <c r="J1383" s="3" t="s">
        <v>5011</v>
      </c>
      <c r="K1383" s="16">
        <v>40005.301605373985</v>
      </c>
      <c r="L1383" s="16">
        <v>4691.8948041000003</v>
      </c>
      <c r="M1383" s="16">
        <f t="shared" si="42"/>
        <v>2.4402827601096861</v>
      </c>
    </row>
    <row r="1384" spans="1:13" x14ac:dyDescent="0.25">
      <c r="A1384" s="2">
        <f t="shared" si="43"/>
        <v>1379</v>
      </c>
      <c r="B1384" s="2">
        <v>81793</v>
      </c>
      <c r="C1384" s="2" t="s">
        <v>3890</v>
      </c>
      <c r="D1384" s="14" t="s">
        <v>1376</v>
      </c>
      <c r="E1384" s="14">
        <v>0</v>
      </c>
      <c r="F1384" s="14">
        <v>0</v>
      </c>
      <c r="G1384" s="14">
        <v>0</v>
      </c>
      <c r="H1384" s="16">
        <v>0</v>
      </c>
      <c r="I1384" s="16">
        <v>0</v>
      </c>
      <c r="J1384" s="3" t="s">
        <v>5011</v>
      </c>
      <c r="K1384" s="16">
        <v>0</v>
      </c>
      <c r="L1384" s="16">
        <v>0</v>
      </c>
      <c r="M1384" s="16">
        <v>0</v>
      </c>
    </row>
    <row r="1385" spans="1:13" x14ac:dyDescent="0.25">
      <c r="A1385" s="2">
        <f t="shared" si="43"/>
        <v>1380</v>
      </c>
      <c r="B1385" s="2">
        <v>81815</v>
      </c>
      <c r="C1385" s="2" t="s">
        <v>3891</v>
      </c>
      <c r="D1385" s="14" t="s">
        <v>1377</v>
      </c>
      <c r="E1385" s="14">
        <v>0</v>
      </c>
      <c r="F1385" s="14">
        <v>0</v>
      </c>
      <c r="G1385" s="14">
        <v>0</v>
      </c>
      <c r="H1385" s="16">
        <v>0</v>
      </c>
      <c r="I1385" s="16">
        <v>0</v>
      </c>
      <c r="J1385" s="3" t="s">
        <v>5011</v>
      </c>
      <c r="K1385" s="16">
        <v>0</v>
      </c>
      <c r="L1385" s="16">
        <v>0</v>
      </c>
      <c r="M1385" s="16">
        <v>0</v>
      </c>
    </row>
    <row r="1386" spans="1:13" x14ac:dyDescent="0.25">
      <c r="A1386" s="2">
        <f t="shared" si="43"/>
        <v>1381</v>
      </c>
      <c r="B1386" s="2">
        <v>81826</v>
      </c>
      <c r="C1386" s="2" t="s">
        <v>3892</v>
      </c>
      <c r="D1386" s="14" t="s">
        <v>1378</v>
      </c>
      <c r="E1386" s="14">
        <v>0</v>
      </c>
      <c r="F1386" s="14">
        <v>0</v>
      </c>
      <c r="G1386" s="14">
        <v>0</v>
      </c>
      <c r="H1386" s="16">
        <v>0</v>
      </c>
      <c r="I1386" s="16">
        <v>0</v>
      </c>
      <c r="J1386" s="3" t="s">
        <v>5011</v>
      </c>
      <c r="K1386" s="16">
        <v>0</v>
      </c>
      <c r="L1386" s="16">
        <v>0</v>
      </c>
      <c r="M1386" s="16">
        <v>0</v>
      </c>
    </row>
    <row r="1387" spans="1:13" x14ac:dyDescent="0.25">
      <c r="A1387" s="2">
        <f t="shared" si="43"/>
        <v>1382</v>
      </c>
      <c r="B1387" s="2">
        <v>81828</v>
      </c>
      <c r="C1387" s="2" t="s">
        <v>3893</v>
      </c>
      <c r="D1387" s="14" t="s">
        <v>1379</v>
      </c>
      <c r="E1387" s="14">
        <v>9.7370000000000009E-4</v>
      </c>
      <c r="F1387" s="14">
        <v>0</v>
      </c>
      <c r="G1387" s="14">
        <v>9.7370000000000009E-4</v>
      </c>
      <c r="H1387" s="16">
        <v>7.2996350000000003</v>
      </c>
      <c r="I1387" s="16">
        <v>7.2996350000000003</v>
      </c>
      <c r="J1387" s="3" t="s">
        <v>5011</v>
      </c>
      <c r="K1387" s="16">
        <v>10.618522088700001</v>
      </c>
      <c r="L1387" s="16">
        <v>7.3838820999999992</v>
      </c>
      <c r="M1387" s="16">
        <f t="shared" si="42"/>
        <v>1.0115412756939215</v>
      </c>
    </row>
    <row r="1388" spans="1:13" x14ac:dyDescent="0.25">
      <c r="A1388" s="2">
        <f t="shared" si="43"/>
        <v>1383</v>
      </c>
      <c r="B1388" s="2">
        <v>81916</v>
      </c>
      <c r="C1388" s="2" t="s">
        <v>3894</v>
      </c>
      <c r="D1388" s="14" t="s">
        <v>1380</v>
      </c>
      <c r="E1388" s="14">
        <v>6.9731000000000003E-3</v>
      </c>
      <c r="F1388" s="14">
        <v>0</v>
      </c>
      <c r="G1388" s="14">
        <v>6.9731000000000003E-3</v>
      </c>
      <c r="H1388" s="16">
        <v>4.0097994999999997</v>
      </c>
      <c r="I1388" s="16">
        <v>4.0097994999999997</v>
      </c>
      <c r="J1388" s="3" t="s">
        <v>5011</v>
      </c>
      <c r="K1388" s="16">
        <v>44.214314217800009</v>
      </c>
      <c r="L1388" s="16">
        <v>7.2544653000000006</v>
      </c>
      <c r="M1388" s="16">
        <f t="shared" si="42"/>
        <v>1.8091840502249554</v>
      </c>
    </row>
    <row r="1389" spans="1:13" x14ac:dyDescent="0.25">
      <c r="A1389" s="2">
        <f t="shared" si="43"/>
        <v>1384</v>
      </c>
      <c r="B1389" s="2">
        <v>81955</v>
      </c>
      <c r="C1389" s="2" t="s">
        <v>3895</v>
      </c>
      <c r="D1389" s="14" t="s">
        <v>1381</v>
      </c>
      <c r="E1389" s="14">
        <v>0.38418600000000008</v>
      </c>
      <c r="F1389" s="14">
        <v>0</v>
      </c>
      <c r="G1389" s="14">
        <v>0.38418600000000008</v>
      </c>
      <c r="H1389" s="16">
        <v>36.547535099999997</v>
      </c>
      <c r="I1389" s="16">
        <v>28.122965599999997</v>
      </c>
      <c r="J1389" s="3" t="s">
        <v>5011</v>
      </c>
      <c r="K1389" s="16">
        <v>443.29097004620007</v>
      </c>
      <c r="L1389" s="16">
        <v>67.886046300000004</v>
      </c>
      <c r="M1389" s="16">
        <f t="shared" si="42"/>
        <v>1.8574726343172732</v>
      </c>
    </row>
    <row r="1390" spans="1:13" x14ac:dyDescent="0.25">
      <c r="A1390" s="2">
        <f t="shared" si="43"/>
        <v>1385</v>
      </c>
      <c r="B1390" s="2">
        <v>81987</v>
      </c>
      <c r="C1390" s="2" t="s">
        <v>3896</v>
      </c>
      <c r="D1390" s="14" t="s">
        <v>1382</v>
      </c>
      <c r="E1390" s="14">
        <v>0</v>
      </c>
      <c r="F1390" s="14">
        <v>0</v>
      </c>
      <c r="G1390" s="14">
        <v>0</v>
      </c>
      <c r="H1390" s="16">
        <v>0</v>
      </c>
      <c r="I1390" s="16">
        <v>0</v>
      </c>
      <c r="J1390" s="3" t="s">
        <v>5011</v>
      </c>
      <c r="K1390" s="16">
        <v>0</v>
      </c>
      <c r="L1390" s="16">
        <v>0</v>
      </c>
      <c r="M1390" s="16">
        <v>0</v>
      </c>
    </row>
    <row r="1391" spans="1:13" x14ac:dyDescent="0.25">
      <c r="A1391" s="2">
        <f t="shared" si="43"/>
        <v>1386</v>
      </c>
      <c r="B1391" s="2">
        <v>82130</v>
      </c>
      <c r="C1391" s="2" t="s">
        <v>3897</v>
      </c>
      <c r="D1391" s="14" t="s">
        <v>1383</v>
      </c>
      <c r="E1391" s="14">
        <v>3.6282433000000003</v>
      </c>
      <c r="F1391" s="14">
        <v>0</v>
      </c>
      <c r="G1391" s="14">
        <v>3.6282433000000003</v>
      </c>
      <c r="H1391" s="16">
        <v>824.93791980000003</v>
      </c>
      <c r="I1391" s="16">
        <v>608.57868740000015</v>
      </c>
      <c r="J1391" s="3" t="s">
        <v>5011</v>
      </c>
      <c r="K1391" s="16">
        <v>4910.8087534979986</v>
      </c>
      <c r="L1391" s="16">
        <v>849.86906840000006</v>
      </c>
      <c r="M1391" s="16">
        <f t="shared" si="42"/>
        <v>1.0302218482162202</v>
      </c>
    </row>
    <row r="1392" spans="1:13" x14ac:dyDescent="0.25">
      <c r="A1392" s="2">
        <f t="shared" si="43"/>
        <v>1387</v>
      </c>
      <c r="B1392" s="2">
        <v>82161</v>
      </c>
      <c r="C1392" s="2" t="s">
        <v>3898</v>
      </c>
      <c r="D1392" s="14" t="s">
        <v>1384</v>
      </c>
      <c r="E1392" s="14">
        <v>0.19470720000000002</v>
      </c>
      <c r="F1392" s="14">
        <v>0</v>
      </c>
      <c r="G1392" s="14">
        <v>0.19470720000000002</v>
      </c>
      <c r="H1392" s="16">
        <v>20.198993600000001</v>
      </c>
      <c r="I1392" s="16">
        <v>16.268584500000003</v>
      </c>
      <c r="J1392" s="3" t="s">
        <v>5011</v>
      </c>
      <c r="K1392" s="16">
        <v>254.90384742209994</v>
      </c>
      <c r="L1392" s="16">
        <v>37.329529300000004</v>
      </c>
      <c r="M1392" s="16">
        <f t="shared" si="42"/>
        <v>1.8480885750664331</v>
      </c>
    </row>
    <row r="1393" spans="1:13" x14ac:dyDescent="0.25">
      <c r="A1393" s="2">
        <f t="shared" si="43"/>
        <v>1388</v>
      </c>
      <c r="B1393" s="2">
        <v>82172</v>
      </c>
      <c r="C1393" s="2" t="s">
        <v>3899</v>
      </c>
      <c r="D1393" s="14" t="s">
        <v>1385</v>
      </c>
      <c r="E1393" s="14">
        <v>0.21578559999999997</v>
      </c>
      <c r="F1393" s="14">
        <v>0</v>
      </c>
      <c r="G1393" s="14">
        <v>0.21578559999999997</v>
      </c>
      <c r="H1393" s="16">
        <v>79.979070300000004</v>
      </c>
      <c r="I1393" s="16">
        <v>70.7552862</v>
      </c>
      <c r="J1393" s="3" t="s">
        <v>5011</v>
      </c>
      <c r="K1393" s="16">
        <v>352.10409082190006</v>
      </c>
      <c r="L1393" s="16">
        <v>85.617716400000006</v>
      </c>
      <c r="M1393" s="16">
        <f t="shared" si="42"/>
        <v>1.0705015209460369</v>
      </c>
    </row>
    <row r="1394" spans="1:13" x14ac:dyDescent="0.25">
      <c r="A1394" s="2">
        <f t="shared" si="43"/>
        <v>1389</v>
      </c>
      <c r="B1394" s="2">
        <v>82174</v>
      </c>
      <c r="C1394" s="2" t="s">
        <v>3900</v>
      </c>
      <c r="D1394" s="14" t="s">
        <v>1386</v>
      </c>
      <c r="E1394" s="14">
        <v>1.4453673</v>
      </c>
      <c r="F1394" s="14">
        <v>0</v>
      </c>
      <c r="G1394" s="14">
        <v>1.4453673</v>
      </c>
      <c r="H1394" s="16">
        <v>64.601907300000008</v>
      </c>
      <c r="I1394" s="16">
        <v>33.559658300000002</v>
      </c>
      <c r="J1394" s="3" t="s">
        <v>5011</v>
      </c>
      <c r="K1394" s="16">
        <v>1197.2797789418003</v>
      </c>
      <c r="L1394" s="16">
        <v>151.7956763</v>
      </c>
      <c r="M1394" s="16">
        <f t="shared" si="42"/>
        <v>2.3497088962882677</v>
      </c>
    </row>
    <row r="1395" spans="1:13" x14ac:dyDescent="0.25">
      <c r="A1395" s="2">
        <f t="shared" si="43"/>
        <v>1390</v>
      </c>
      <c r="B1395" s="2">
        <v>82228</v>
      </c>
      <c r="C1395" s="2" t="s">
        <v>3901</v>
      </c>
      <c r="D1395" s="14" t="s">
        <v>1387</v>
      </c>
      <c r="E1395" s="14">
        <v>0</v>
      </c>
      <c r="F1395" s="14">
        <v>0</v>
      </c>
      <c r="G1395" s="14">
        <v>0</v>
      </c>
      <c r="H1395" s="16">
        <v>0</v>
      </c>
      <c r="I1395" s="16">
        <v>0</v>
      </c>
      <c r="J1395" s="3" t="s">
        <v>5011</v>
      </c>
      <c r="K1395" s="16">
        <v>0</v>
      </c>
      <c r="L1395" s="16">
        <v>0</v>
      </c>
      <c r="M1395" s="16">
        <v>0</v>
      </c>
    </row>
    <row r="1396" spans="1:13" x14ac:dyDescent="0.25">
      <c r="A1396" s="2">
        <f t="shared" si="43"/>
        <v>1391</v>
      </c>
      <c r="B1396" s="2">
        <v>82242</v>
      </c>
      <c r="C1396" s="2" t="s">
        <v>3902</v>
      </c>
      <c r="D1396" s="14" t="s">
        <v>1388</v>
      </c>
      <c r="E1396" s="14">
        <v>0.36825729999999995</v>
      </c>
      <c r="F1396" s="14">
        <v>0</v>
      </c>
      <c r="G1396" s="14">
        <v>0.36825729999999995</v>
      </c>
      <c r="H1396" s="16">
        <v>127.59030039999999</v>
      </c>
      <c r="I1396" s="16">
        <v>124.89024989999999</v>
      </c>
      <c r="J1396" s="3" t="s">
        <v>5011</v>
      </c>
      <c r="K1396" s="16">
        <v>916.6603875239</v>
      </c>
      <c r="L1396" s="16">
        <v>143.49920800000001</v>
      </c>
      <c r="M1396" s="16">
        <f t="shared" si="42"/>
        <v>1.1246874374472435</v>
      </c>
    </row>
    <row r="1397" spans="1:13" x14ac:dyDescent="0.25">
      <c r="A1397" s="2">
        <f t="shared" si="43"/>
        <v>1392</v>
      </c>
      <c r="B1397" s="2">
        <v>82357</v>
      </c>
      <c r="C1397" s="2" t="s">
        <v>3903</v>
      </c>
      <c r="D1397" s="14" t="s">
        <v>1389</v>
      </c>
      <c r="E1397" s="14">
        <v>0</v>
      </c>
      <c r="F1397" s="14">
        <v>0</v>
      </c>
      <c r="G1397" s="14">
        <v>0</v>
      </c>
      <c r="H1397" s="16">
        <v>0.38998059999999996</v>
      </c>
      <c r="I1397" s="16">
        <v>0.38998059999999996</v>
      </c>
      <c r="J1397" s="3" t="s">
        <v>5011</v>
      </c>
      <c r="K1397" s="16">
        <v>89.759609369200007</v>
      </c>
      <c r="L1397" s="16">
        <v>9.2394508000000002</v>
      </c>
      <c r="M1397" s="16">
        <f t="shared" si="42"/>
        <v>23.6920780161885</v>
      </c>
    </row>
    <row r="1398" spans="1:13" x14ac:dyDescent="0.25">
      <c r="A1398" s="2">
        <f t="shared" si="43"/>
        <v>1393</v>
      </c>
      <c r="B1398" s="2">
        <v>82408</v>
      </c>
      <c r="C1398" s="2" t="s">
        <v>3904</v>
      </c>
      <c r="D1398" s="14" t="s">
        <v>1390</v>
      </c>
      <c r="E1398" s="14">
        <v>0.16708010000000001</v>
      </c>
      <c r="F1398" s="14">
        <v>0</v>
      </c>
      <c r="G1398" s="14">
        <v>0.16708010000000001</v>
      </c>
      <c r="H1398" s="16">
        <v>71.885931100000008</v>
      </c>
      <c r="I1398" s="16">
        <v>62.900477000000002</v>
      </c>
      <c r="J1398" s="3" t="s">
        <v>5011</v>
      </c>
      <c r="K1398" s="16">
        <v>259.0297264461999</v>
      </c>
      <c r="L1398" s="16">
        <v>73.525214500000004</v>
      </c>
      <c r="M1398" s="16">
        <f t="shared" si="42"/>
        <v>1.0228039530811612</v>
      </c>
    </row>
    <row r="1399" spans="1:13" x14ac:dyDescent="0.25">
      <c r="A1399" s="2">
        <f t="shared" si="43"/>
        <v>1394</v>
      </c>
      <c r="B1399" s="2">
        <v>82440</v>
      </c>
      <c r="C1399" s="2" t="s">
        <v>3905</v>
      </c>
      <c r="D1399" s="14" t="s">
        <v>1391</v>
      </c>
      <c r="E1399" s="14">
        <v>1.1338499000000002</v>
      </c>
      <c r="F1399" s="14">
        <v>0</v>
      </c>
      <c r="G1399" s="14">
        <v>1.1338499000000002</v>
      </c>
      <c r="H1399" s="16">
        <v>138.8345333</v>
      </c>
      <c r="I1399" s="16">
        <v>126.03377699999999</v>
      </c>
      <c r="J1399" s="3" t="s">
        <v>5011</v>
      </c>
      <c r="K1399" s="16">
        <v>1126.4071890037997</v>
      </c>
      <c r="L1399" s="16">
        <v>204.97739030000002</v>
      </c>
      <c r="M1399" s="16">
        <f t="shared" si="42"/>
        <v>1.476415020296683</v>
      </c>
    </row>
    <row r="1400" spans="1:13" x14ac:dyDescent="0.25">
      <c r="A1400" s="2">
        <f t="shared" si="43"/>
        <v>1395</v>
      </c>
      <c r="B1400" s="2">
        <v>82457</v>
      </c>
      <c r="C1400" s="2" t="s">
        <v>3906</v>
      </c>
      <c r="D1400" s="14" t="s">
        <v>1392</v>
      </c>
      <c r="E1400" s="14">
        <v>0</v>
      </c>
      <c r="F1400" s="14">
        <v>0</v>
      </c>
      <c r="G1400" s="14">
        <v>0</v>
      </c>
      <c r="H1400" s="16">
        <v>0</v>
      </c>
      <c r="I1400" s="16">
        <v>0</v>
      </c>
      <c r="J1400" s="3" t="s">
        <v>5011</v>
      </c>
      <c r="K1400" s="16">
        <v>0</v>
      </c>
      <c r="L1400" s="16">
        <v>0</v>
      </c>
      <c r="M1400" s="16">
        <v>0</v>
      </c>
    </row>
    <row r="1401" spans="1:13" x14ac:dyDescent="0.25">
      <c r="A1401" s="2">
        <f t="shared" si="43"/>
        <v>1396</v>
      </c>
      <c r="B1401" s="2">
        <v>82471</v>
      </c>
      <c r="C1401" s="2" t="s">
        <v>3907</v>
      </c>
      <c r="D1401" s="14" t="s">
        <v>1393</v>
      </c>
      <c r="E1401" s="14">
        <v>0.19691040000000001</v>
      </c>
      <c r="F1401" s="14">
        <v>0</v>
      </c>
      <c r="G1401" s="14">
        <v>0.19691040000000001</v>
      </c>
      <c r="H1401" s="16">
        <v>251.2553944</v>
      </c>
      <c r="I1401" s="16">
        <v>248.33743740000003</v>
      </c>
      <c r="J1401" s="3" t="s">
        <v>5011</v>
      </c>
      <c r="K1401" s="16">
        <v>500.92309319079993</v>
      </c>
      <c r="L1401" s="16">
        <v>263.65262309999997</v>
      </c>
      <c r="M1401" s="16">
        <f t="shared" si="42"/>
        <v>1.0493411444144498</v>
      </c>
    </row>
    <row r="1402" spans="1:13" x14ac:dyDescent="0.25">
      <c r="A1402" s="2">
        <f t="shared" si="43"/>
        <v>1397</v>
      </c>
      <c r="B1402" s="2">
        <v>82528</v>
      </c>
      <c r="C1402" s="2" t="s">
        <v>3908</v>
      </c>
      <c r="D1402" s="14" t="s">
        <v>1394</v>
      </c>
      <c r="E1402" s="14">
        <v>1.0207966000000002</v>
      </c>
      <c r="F1402" s="14">
        <v>0</v>
      </c>
      <c r="G1402" s="14">
        <v>1.0207966000000002</v>
      </c>
      <c r="H1402" s="16">
        <v>232.67802219999999</v>
      </c>
      <c r="I1402" s="16">
        <v>151.57322059999998</v>
      </c>
      <c r="J1402" s="3" t="s">
        <v>5011</v>
      </c>
      <c r="K1402" s="16">
        <v>1650.5740458857997</v>
      </c>
      <c r="L1402" s="16">
        <v>242.92771739999998</v>
      </c>
      <c r="M1402" s="16">
        <f t="shared" si="42"/>
        <v>1.0440509812791421</v>
      </c>
    </row>
    <row r="1403" spans="1:13" x14ac:dyDescent="0.25">
      <c r="A1403" s="2">
        <f t="shared" si="43"/>
        <v>1398</v>
      </c>
      <c r="B1403" s="2">
        <v>82588</v>
      </c>
      <c r="C1403" s="2" t="s">
        <v>3909</v>
      </c>
      <c r="D1403" s="14" t="s">
        <v>1395</v>
      </c>
      <c r="E1403" s="14">
        <v>1.2120999999999998E-3</v>
      </c>
      <c r="F1403" s="14">
        <v>0</v>
      </c>
      <c r="G1403" s="14">
        <v>1.2120999999999998E-3</v>
      </c>
      <c r="H1403" s="16">
        <v>2.8498576</v>
      </c>
      <c r="I1403" s="16">
        <v>2.8074427000000002</v>
      </c>
      <c r="J1403" s="3" t="s">
        <v>5011</v>
      </c>
      <c r="K1403" s="16">
        <v>4.4307603773000004</v>
      </c>
      <c r="L1403" s="16">
        <v>2.9585362000000002</v>
      </c>
      <c r="M1403" s="16">
        <f t="shared" si="42"/>
        <v>1.0381347475045772</v>
      </c>
    </row>
    <row r="1404" spans="1:13" x14ac:dyDescent="0.25">
      <c r="A1404" s="2">
        <f t="shared" si="43"/>
        <v>1399</v>
      </c>
      <c r="B1404" s="2">
        <v>82601</v>
      </c>
      <c r="C1404" s="2" t="s">
        <v>3910</v>
      </c>
      <c r="D1404" s="14" t="s">
        <v>1396</v>
      </c>
      <c r="E1404" s="14">
        <v>16.2403479</v>
      </c>
      <c r="F1404" s="14">
        <v>0</v>
      </c>
      <c r="G1404" s="14">
        <v>16.2403479</v>
      </c>
      <c r="H1404" s="16">
        <v>1730.9491399999999</v>
      </c>
      <c r="I1404" s="16">
        <v>1130.4604463999999</v>
      </c>
      <c r="J1404" s="3" t="s">
        <v>5011</v>
      </c>
      <c r="K1404" s="16">
        <v>16969.2564492942</v>
      </c>
      <c r="L1404" s="16">
        <v>2068.9565634999999</v>
      </c>
      <c r="M1404" s="16">
        <f t="shared" si="42"/>
        <v>1.195272879883692</v>
      </c>
    </row>
    <row r="1405" spans="1:13" x14ac:dyDescent="0.25">
      <c r="A1405" s="2">
        <f t="shared" si="43"/>
        <v>1400</v>
      </c>
      <c r="B1405" s="2">
        <v>82735</v>
      </c>
      <c r="C1405" s="2" t="s">
        <v>3911</v>
      </c>
      <c r="D1405" s="14" t="s">
        <v>1397</v>
      </c>
      <c r="E1405" s="14">
        <v>0.6717797000000002</v>
      </c>
      <c r="F1405" s="14">
        <v>0</v>
      </c>
      <c r="G1405" s="14">
        <v>0.6717797000000002</v>
      </c>
      <c r="H1405" s="16">
        <v>105.45972869999999</v>
      </c>
      <c r="I1405" s="16">
        <v>103.68564799999999</v>
      </c>
      <c r="J1405" s="3" t="s">
        <v>5011</v>
      </c>
      <c r="K1405" s="16">
        <v>732.27764984210012</v>
      </c>
      <c r="L1405" s="16">
        <v>141.1591233</v>
      </c>
      <c r="M1405" s="16">
        <f t="shared" si="42"/>
        <v>1.338512103530568</v>
      </c>
    </row>
    <row r="1406" spans="1:13" x14ac:dyDescent="0.25">
      <c r="A1406" s="2">
        <f t="shared" si="43"/>
        <v>1401</v>
      </c>
      <c r="B1406" s="2">
        <v>82849</v>
      </c>
      <c r="C1406" s="2" t="s">
        <v>3912</v>
      </c>
      <c r="D1406" s="14" t="s">
        <v>1398</v>
      </c>
      <c r="E1406" s="14">
        <v>2.1109488000000001</v>
      </c>
      <c r="F1406" s="14">
        <v>0</v>
      </c>
      <c r="G1406" s="14">
        <v>2.1109488000000001</v>
      </c>
      <c r="H1406" s="16">
        <v>57.901036500000004</v>
      </c>
      <c r="I1406" s="16">
        <v>39.851303800000004</v>
      </c>
      <c r="J1406" s="3" t="s">
        <v>5011</v>
      </c>
      <c r="K1406" s="16">
        <v>1552.7218603623999</v>
      </c>
      <c r="L1406" s="16">
        <v>177.96913370000001</v>
      </c>
      <c r="M1406" s="16">
        <f t="shared" si="42"/>
        <v>3.0736778554905491</v>
      </c>
    </row>
    <row r="1407" spans="1:13" x14ac:dyDescent="0.25">
      <c r="A1407" s="2">
        <f t="shared" si="43"/>
        <v>1402</v>
      </c>
      <c r="B1407" s="2">
        <v>82880</v>
      </c>
      <c r="C1407" s="2" t="s">
        <v>3913</v>
      </c>
      <c r="D1407" s="14" t="s">
        <v>1399</v>
      </c>
      <c r="E1407" s="14">
        <v>2.7779416000000001</v>
      </c>
      <c r="F1407" s="14">
        <v>0</v>
      </c>
      <c r="G1407" s="14">
        <v>2.7779416000000001</v>
      </c>
      <c r="H1407" s="16">
        <v>504.67631249999999</v>
      </c>
      <c r="I1407" s="16">
        <v>391.19192369999996</v>
      </c>
      <c r="J1407" s="3" t="s">
        <v>5011</v>
      </c>
      <c r="K1407" s="16">
        <v>3536.2664739142992</v>
      </c>
      <c r="L1407" s="16">
        <v>658.52080739999997</v>
      </c>
      <c r="M1407" s="16">
        <f t="shared" si="42"/>
        <v>1.3048379547237021</v>
      </c>
    </row>
    <row r="1408" spans="1:13" x14ac:dyDescent="0.25">
      <c r="A1408" s="2">
        <f t="shared" si="43"/>
        <v>1403</v>
      </c>
      <c r="B1408" s="2">
        <v>82974</v>
      </c>
      <c r="C1408" s="2" t="s">
        <v>3914</v>
      </c>
      <c r="D1408" s="14" t="s">
        <v>1400</v>
      </c>
      <c r="E1408" s="14">
        <v>12.604778399999999</v>
      </c>
      <c r="F1408" s="14">
        <v>0</v>
      </c>
      <c r="G1408" s="14">
        <v>12.604778399999999</v>
      </c>
      <c r="H1408" s="16">
        <v>436.98587630000003</v>
      </c>
      <c r="I1408" s="16">
        <v>317.02342600000003</v>
      </c>
      <c r="J1408" s="3" t="s">
        <v>5011</v>
      </c>
      <c r="K1408" s="16">
        <v>11915.507000049001</v>
      </c>
      <c r="L1408" s="16">
        <v>1398.6197208999999</v>
      </c>
      <c r="M1408" s="16">
        <f t="shared" si="42"/>
        <v>3.2006062363897043</v>
      </c>
    </row>
    <row r="1409" spans="1:13" x14ac:dyDescent="0.25">
      <c r="A1409" s="2">
        <f t="shared" si="43"/>
        <v>1404</v>
      </c>
      <c r="B1409" s="2">
        <v>82988</v>
      </c>
      <c r="C1409" s="2" t="s">
        <v>3915</v>
      </c>
      <c r="D1409" s="14" t="s">
        <v>1401</v>
      </c>
      <c r="E1409" s="14">
        <v>2.9967365999999998</v>
      </c>
      <c r="F1409" s="14">
        <v>0</v>
      </c>
      <c r="G1409" s="14">
        <v>2.9967365999999998</v>
      </c>
      <c r="H1409" s="16">
        <v>169.83451670000002</v>
      </c>
      <c r="I1409" s="16">
        <v>131.27580690000002</v>
      </c>
      <c r="J1409" s="3" t="s">
        <v>5011</v>
      </c>
      <c r="K1409" s="16">
        <v>1691.6545143908002</v>
      </c>
      <c r="L1409" s="16">
        <v>275.8210947</v>
      </c>
      <c r="M1409" s="16">
        <f t="shared" si="42"/>
        <v>1.6240579362746228</v>
      </c>
    </row>
    <row r="1410" spans="1:13" x14ac:dyDescent="0.25">
      <c r="A1410" s="2">
        <f t="shared" si="43"/>
        <v>1405</v>
      </c>
      <c r="B1410" s="2">
        <v>82992</v>
      </c>
      <c r="C1410" s="2" t="s">
        <v>3916</v>
      </c>
      <c r="D1410" s="14" t="s">
        <v>1402</v>
      </c>
      <c r="E1410" s="14">
        <v>6.1472000000000002E-3</v>
      </c>
      <c r="F1410" s="14">
        <v>0</v>
      </c>
      <c r="G1410" s="14">
        <v>6.1472000000000002E-3</v>
      </c>
      <c r="H1410" s="16">
        <v>1.9999</v>
      </c>
      <c r="I1410" s="16">
        <v>1.9999</v>
      </c>
      <c r="J1410" s="3" t="s">
        <v>5011</v>
      </c>
      <c r="K1410" s="16">
        <v>14.8429421233</v>
      </c>
      <c r="L1410" s="16">
        <v>2.4921340999999999</v>
      </c>
      <c r="M1410" s="16">
        <f t="shared" si="42"/>
        <v>1.2461293564678233</v>
      </c>
    </row>
    <row r="1411" spans="1:13" x14ac:dyDescent="0.25">
      <c r="A1411" s="2">
        <f t="shared" si="43"/>
        <v>1406</v>
      </c>
      <c r="B1411" s="2">
        <v>83013</v>
      </c>
      <c r="C1411" s="2" t="s">
        <v>3917</v>
      </c>
      <c r="D1411" s="14" t="s">
        <v>1403</v>
      </c>
      <c r="E1411" s="14">
        <v>0.11577170000000002</v>
      </c>
      <c r="F1411" s="14">
        <v>0</v>
      </c>
      <c r="G1411" s="14">
        <v>0.11577170000000002</v>
      </c>
      <c r="H1411" s="16">
        <v>24.310291099999997</v>
      </c>
      <c r="I1411" s="16">
        <v>19.272346499999998</v>
      </c>
      <c r="J1411" s="3" t="s">
        <v>5011</v>
      </c>
      <c r="K1411" s="16">
        <v>159.62117547469995</v>
      </c>
      <c r="L1411" s="16">
        <v>30.1797486</v>
      </c>
      <c r="M1411" s="16">
        <f t="shared" si="42"/>
        <v>1.2414392109027441</v>
      </c>
    </row>
    <row r="1412" spans="1:13" x14ac:dyDescent="0.25">
      <c r="A1412" s="2">
        <f t="shared" si="43"/>
        <v>1407</v>
      </c>
      <c r="B1412" s="2">
        <v>83065</v>
      </c>
      <c r="C1412" s="2" t="s">
        <v>3918</v>
      </c>
      <c r="D1412" s="14" t="s">
        <v>1404</v>
      </c>
      <c r="E1412" s="14">
        <v>14.109585099999999</v>
      </c>
      <c r="F1412" s="14">
        <v>0</v>
      </c>
      <c r="G1412" s="14">
        <v>14.109585099999999</v>
      </c>
      <c r="H1412" s="16">
        <v>338.56307390000001</v>
      </c>
      <c r="I1412" s="16">
        <v>-590.64455999999996</v>
      </c>
      <c r="J1412" s="3" t="s">
        <v>5011</v>
      </c>
      <c r="K1412" s="16">
        <v>9038.1955979815993</v>
      </c>
      <c r="L1412" s="16">
        <v>557.47864149999998</v>
      </c>
      <c r="M1412" s="16">
        <f t="shared" si="42"/>
        <v>1.6466020203510445</v>
      </c>
    </row>
    <row r="1413" spans="1:13" x14ac:dyDescent="0.25">
      <c r="A1413" s="2">
        <f t="shared" si="43"/>
        <v>1408</v>
      </c>
      <c r="B1413" s="2">
        <v>83114</v>
      </c>
      <c r="C1413" s="2" t="s">
        <v>3919</v>
      </c>
      <c r="D1413" s="14" t="s">
        <v>1405</v>
      </c>
      <c r="E1413" s="14">
        <v>0</v>
      </c>
      <c r="F1413" s="14">
        <v>0</v>
      </c>
      <c r="G1413" s="14">
        <v>0</v>
      </c>
      <c r="H1413" s="16">
        <v>0</v>
      </c>
      <c r="I1413" s="16">
        <v>0</v>
      </c>
      <c r="J1413" s="3" t="s">
        <v>5011</v>
      </c>
      <c r="K1413" s="16">
        <v>0</v>
      </c>
      <c r="L1413" s="16">
        <v>0</v>
      </c>
      <c r="M1413" s="16">
        <v>0</v>
      </c>
    </row>
    <row r="1414" spans="1:13" x14ac:dyDescent="0.25">
      <c r="A1414" s="2">
        <f t="shared" si="43"/>
        <v>1409</v>
      </c>
      <c r="B1414" s="2">
        <v>83150</v>
      </c>
      <c r="C1414" s="2" t="s">
        <v>3920</v>
      </c>
      <c r="D1414" s="14" t="s">
        <v>1406</v>
      </c>
      <c r="E1414" s="14">
        <v>0</v>
      </c>
      <c r="F1414" s="14">
        <v>0</v>
      </c>
      <c r="G1414" s="14">
        <v>0</v>
      </c>
      <c r="H1414" s="16">
        <v>11.598030100000001</v>
      </c>
      <c r="I1414" s="16">
        <v>9.9980300999999994</v>
      </c>
      <c r="J1414" s="3" t="s">
        <v>5011</v>
      </c>
      <c r="K1414" s="16">
        <v>8.6840186032000002</v>
      </c>
      <c r="L1414" s="16">
        <v>10.0823508</v>
      </c>
      <c r="M1414" s="16">
        <f t="shared" si="42"/>
        <v>0.86931579872344011</v>
      </c>
    </row>
    <row r="1415" spans="1:13" x14ac:dyDescent="0.25">
      <c r="A1415" s="2">
        <f t="shared" si="43"/>
        <v>1410</v>
      </c>
      <c r="B1415" s="2">
        <v>83166</v>
      </c>
      <c r="C1415" s="2" t="s">
        <v>3921</v>
      </c>
      <c r="D1415" s="14" t="s">
        <v>1407</v>
      </c>
      <c r="E1415" s="14">
        <v>3.8283329999999998</v>
      </c>
      <c r="F1415" s="14">
        <v>0</v>
      </c>
      <c r="G1415" s="14">
        <v>3.8283329999999998</v>
      </c>
      <c r="H1415" s="16">
        <v>2393.0716480000001</v>
      </c>
      <c r="I1415" s="16">
        <v>1320.089156</v>
      </c>
      <c r="J1415" s="3" t="s">
        <v>5011</v>
      </c>
      <c r="K1415" s="16">
        <v>7058.3045172427992</v>
      </c>
      <c r="L1415" s="16">
        <v>1511.4926673</v>
      </c>
      <c r="M1415" s="16">
        <f t="shared" ref="M1415:M1478" si="44">L1415/H1415</f>
        <v>0.6316119571945219</v>
      </c>
    </row>
    <row r="1416" spans="1:13" x14ac:dyDescent="0.25">
      <c r="A1416" s="2">
        <f t="shared" ref="A1416:A1479" si="45">A1415+1</f>
        <v>1411</v>
      </c>
      <c r="B1416" s="2">
        <v>83202</v>
      </c>
      <c r="C1416" s="2" t="s">
        <v>3922</v>
      </c>
      <c r="D1416" s="14" t="s">
        <v>1408</v>
      </c>
      <c r="E1416" s="14">
        <v>1.5002162999999999</v>
      </c>
      <c r="F1416" s="14">
        <v>0</v>
      </c>
      <c r="G1416" s="14">
        <v>1.5002162999999999</v>
      </c>
      <c r="H1416" s="16">
        <v>14.938303500000002</v>
      </c>
      <c r="I1416" s="16">
        <v>-30.901126999999999</v>
      </c>
      <c r="J1416" s="3" t="s">
        <v>5011</v>
      </c>
      <c r="K1416" s="16">
        <v>1357.1952467122001</v>
      </c>
      <c r="L1416" s="16">
        <v>118.0610877</v>
      </c>
      <c r="M1416" s="16">
        <f t="shared" si="44"/>
        <v>7.9032460212098377</v>
      </c>
    </row>
    <row r="1417" spans="1:13" x14ac:dyDescent="0.25">
      <c r="A1417" s="2">
        <f t="shared" si="45"/>
        <v>1412</v>
      </c>
      <c r="B1417" s="2">
        <v>83313</v>
      </c>
      <c r="C1417" s="2" t="s">
        <v>3923</v>
      </c>
      <c r="D1417" s="14" t="s">
        <v>1409</v>
      </c>
      <c r="E1417" s="14">
        <v>3.5191775999999999</v>
      </c>
      <c r="F1417" s="14">
        <v>0</v>
      </c>
      <c r="G1417" s="14">
        <v>3.5191775999999999</v>
      </c>
      <c r="H1417" s="16">
        <v>642.18811329999994</v>
      </c>
      <c r="I1417" s="16">
        <v>470.94060869999998</v>
      </c>
      <c r="J1417" s="3" t="s">
        <v>5011</v>
      </c>
      <c r="K1417" s="16">
        <v>4843.7525323704012</v>
      </c>
      <c r="L1417" s="16">
        <v>839.18197400000008</v>
      </c>
      <c r="M1417" s="16">
        <f t="shared" si="44"/>
        <v>1.3067541373316791</v>
      </c>
    </row>
    <row r="1418" spans="1:13" x14ac:dyDescent="0.25">
      <c r="A1418" s="2">
        <f t="shared" si="45"/>
        <v>1413</v>
      </c>
      <c r="B1418" s="2">
        <v>83314</v>
      </c>
      <c r="C1418" s="2" t="s">
        <v>3924</v>
      </c>
      <c r="D1418" s="14" t="s">
        <v>1410</v>
      </c>
      <c r="E1418" s="14">
        <v>0</v>
      </c>
      <c r="F1418" s="14">
        <v>0</v>
      </c>
      <c r="G1418" s="14">
        <v>0</v>
      </c>
      <c r="H1418" s="16">
        <v>0</v>
      </c>
      <c r="I1418" s="16">
        <v>0</v>
      </c>
      <c r="J1418" s="3" t="s">
        <v>5011</v>
      </c>
      <c r="K1418" s="16">
        <v>0</v>
      </c>
      <c r="L1418" s="16">
        <v>0</v>
      </c>
      <c r="M1418" s="16">
        <v>0</v>
      </c>
    </row>
    <row r="1419" spans="1:13" x14ac:dyDescent="0.25">
      <c r="A1419" s="2">
        <f t="shared" si="45"/>
        <v>1414</v>
      </c>
      <c r="B1419" s="2">
        <v>83322</v>
      </c>
      <c r="C1419" s="2" t="s">
        <v>3925</v>
      </c>
      <c r="D1419" s="14" t="s">
        <v>1411</v>
      </c>
      <c r="E1419" s="14">
        <v>0</v>
      </c>
      <c r="F1419" s="14">
        <v>0</v>
      </c>
      <c r="G1419" s="14">
        <v>0</v>
      </c>
      <c r="H1419" s="16">
        <v>0</v>
      </c>
      <c r="I1419" s="16">
        <v>0</v>
      </c>
      <c r="J1419" s="3" t="s">
        <v>5011</v>
      </c>
      <c r="K1419" s="16">
        <v>0</v>
      </c>
      <c r="L1419" s="16">
        <v>0</v>
      </c>
      <c r="M1419" s="16">
        <v>0</v>
      </c>
    </row>
    <row r="1420" spans="1:13" x14ac:dyDescent="0.25">
      <c r="A1420" s="2">
        <f t="shared" si="45"/>
        <v>1415</v>
      </c>
      <c r="B1420" s="2">
        <v>83358</v>
      </c>
      <c r="C1420" s="2" t="s">
        <v>3926</v>
      </c>
      <c r="D1420" s="14" t="s">
        <v>1412</v>
      </c>
      <c r="E1420" s="14">
        <v>0</v>
      </c>
      <c r="F1420" s="14">
        <v>0</v>
      </c>
      <c r="G1420" s="14">
        <v>0</v>
      </c>
      <c r="H1420" s="16">
        <v>0</v>
      </c>
      <c r="I1420" s="16">
        <v>0</v>
      </c>
      <c r="J1420" s="3" t="s">
        <v>5011</v>
      </c>
      <c r="K1420" s="16">
        <v>0</v>
      </c>
      <c r="L1420" s="16">
        <v>0</v>
      </c>
      <c r="M1420" s="16">
        <v>0</v>
      </c>
    </row>
    <row r="1421" spans="1:13" x14ac:dyDescent="0.25">
      <c r="A1421" s="2">
        <f t="shared" si="45"/>
        <v>1416</v>
      </c>
      <c r="B1421" s="2">
        <v>83360</v>
      </c>
      <c r="C1421" s="2" t="s">
        <v>3927</v>
      </c>
      <c r="D1421" s="14" t="s">
        <v>1413</v>
      </c>
      <c r="E1421" s="14">
        <v>6.2270451000000016</v>
      </c>
      <c r="F1421" s="14">
        <v>0</v>
      </c>
      <c r="G1421" s="14">
        <v>6.2270451000000016</v>
      </c>
      <c r="H1421" s="16">
        <v>606.3616055</v>
      </c>
      <c r="I1421" s="16">
        <v>29.551281899999974</v>
      </c>
      <c r="J1421" s="3" t="s">
        <v>5011</v>
      </c>
      <c r="K1421" s="16">
        <v>6966.5863751053994</v>
      </c>
      <c r="L1421" s="16">
        <v>711.97129629999995</v>
      </c>
      <c r="M1421" s="16">
        <f t="shared" si="44"/>
        <v>1.1741694887045415</v>
      </c>
    </row>
    <row r="1422" spans="1:13" x14ac:dyDescent="0.25">
      <c r="A1422" s="2">
        <f t="shared" si="45"/>
        <v>1417</v>
      </c>
      <c r="B1422" s="2">
        <v>83393</v>
      </c>
      <c r="C1422" s="2" t="s">
        <v>3928</v>
      </c>
      <c r="D1422" s="14" t="s">
        <v>1414</v>
      </c>
      <c r="E1422" s="14">
        <v>0</v>
      </c>
      <c r="F1422" s="14">
        <v>0</v>
      </c>
      <c r="G1422" s="14">
        <v>0</v>
      </c>
      <c r="H1422" s="16">
        <v>0</v>
      </c>
      <c r="I1422" s="16">
        <v>0</v>
      </c>
      <c r="J1422" s="3" t="s">
        <v>5011</v>
      </c>
      <c r="K1422" s="16">
        <v>0</v>
      </c>
      <c r="L1422" s="16">
        <v>0</v>
      </c>
      <c r="M1422" s="16">
        <v>0</v>
      </c>
    </row>
    <row r="1423" spans="1:13" x14ac:dyDescent="0.25">
      <c r="A1423" s="2">
        <f t="shared" si="45"/>
        <v>1418</v>
      </c>
      <c r="B1423" s="2">
        <v>83419</v>
      </c>
      <c r="C1423" s="2" t="s">
        <v>3929</v>
      </c>
      <c r="D1423" s="14" t="s">
        <v>1415</v>
      </c>
      <c r="E1423" s="14">
        <v>0</v>
      </c>
      <c r="F1423" s="14">
        <v>0</v>
      </c>
      <c r="G1423" s="14">
        <v>0</v>
      </c>
      <c r="H1423" s="16">
        <v>0</v>
      </c>
      <c r="I1423" s="16">
        <v>0</v>
      </c>
      <c r="J1423" s="3" t="s">
        <v>5011</v>
      </c>
      <c r="K1423" s="16">
        <v>0</v>
      </c>
      <c r="L1423" s="16">
        <v>0</v>
      </c>
      <c r="M1423" s="16">
        <v>0</v>
      </c>
    </row>
    <row r="1424" spans="1:13" x14ac:dyDescent="0.25">
      <c r="A1424" s="2">
        <f t="shared" si="45"/>
        <v>1419</v>
      </c>
      <c r="B1424" s="2">
        <v>83420</v>
      </c>
      <c r="C1424" s="2" t="s">
        <v>3930</v>
      </c>
      <c r="D1424" s="14" t="s">
        <v>1416</v>
      </c>
      <c r="E1424" s="14">
        <v>9.3050000000000001E-4</v>
      </c>
      <c r="F1424" s="14">
        <v>0</v>
      </c>
      <c r="G1424" s="14">
        <v>9.3050000000000001E-4</v>
      </c>
      <c r="H1424" s="16">
        <v>1.3299342000000001</v>
      </c>
      <c r="I1424" s="16">
        <v>-16.687885099999999</v>
      </c>
      <c r="J1424" s="3" t="s">
        <v>5011</v>
      </c>
      <c r="K1424" s="16">
        <v>79.510947192000003</v>
      </c>
      <c r="L1424" s="16">
        <v>3.9779934000000003</v>
      </c>
      <c r="M1424" s="16">
        <f t="shared" si="44"/>
        <v>2.9911204629522272</v>
      </c>
    </row>
    <row r="1425" spans="1:13" x14ac:dyDescent="0.25">
      <c r="A1425" s="2">
        <f t="shared" si="45"/>
        <v>1420</v>
      </c>
      <c r="B1425" s="2">
        <v>83625</v>
      </c>
      <c r="C1425" s="2" t="s">
        <v>3931</v>
      </c>
      <c r="D1425" s="14" t="s">
        <v>1417</v>
      </c>
      <c r="E1425" s="14">
        <v>0</v>
      </c>
      <c r="F1425" s="14">
        <v>0</v>
      </c>
      <c r="G1425" s="14">
        <v>0</v>
      </c>
      <c r="H1425" s="16">
        <v>0</v>
      </c>
      <c r="I1425" s="16">
        <v>0</v>
      </c>
      <c r="J1425" s="3" t="s">
        <v>5011</v>
      </c>
      <c r="K1425" s="16">
        <v>0</v>
      </c>
      <c r="L1425" s="16">
        <v>0</v>
      </c>
      <c r="M1425" s="16">
        <v>0</v>
      </c>
    </row>
    <row r="1426" spans="1:13" x14ac:dyDescent="0.25">
      <c r="A1426" s="2">
        <f t="shared" si="45"/>
        <v>1421</v>
      </c>
      <c r="B1426" s="2">
        <v>83673</v>
      </c>
      <c r="C1426" s="2" t="s">
        <v>3932</v>
      </c>
      <c r="D1426" s="14" t="s">
        <v>1418</v>
      </c>
      <c r="E1426" s="14">
        <v>0.34959869999999993</v>
      </c>
      <c r="F1426" s="14">
        <v>0</v>
      </c>
      <c r="G1426" s="14">
        <v>0.34959869999999993</v>
      </c>
      <c r="H1426" s="16">
        <v>96.502991800000004</v>
      </c>
      <c r="I1426" s="16">
        <v>67.133150099999995</v>
      </c>
      <c r="J1426" s="3" t="s">
        <v>5011</v>
      </c>
      <c r="K1426" s="16">
        <v>453.09045937560001</v>
      </c>
      <c r="L1426" s="16">
        <v>103.7174352</v>
      </c>
      <c r="M1426" s="16">
        <f t="shared" si="44"/>
        <v>1.0747587537488137</v>
      </c>
    </row>
    <row r="1427" spans="1:13" x14ac:dyDescent="0.25">
      <c r="A1427" s="2">
        <f t="shared" si="45"/>
        <v>1422</v>
      </c>
      <c r="B1427" s="2">
        <v>83676</v>
      </c>
      <c r="C1427" s="2" t="s">
        <v>3933</v>
      </c>
      <c r="D1427" s="14" t="s">
        <v>1419</v>
      </c>
      <c r="E1427" s="14">
        <v>0.13107659999999999</v>
      </c>
      <c r="F1427" s="14">
        <v>0</v>
      </c>
      <c r="G1427" s="14">
        <v>0.13107659999999999</v>
      </c>
      <c r="H1427" s="16">
        <v>19.434049299999998</v>
      </c>
      <c r="I1427" s="16">
        <v>18.3134017</v>
      </c>
      <c r="J1427" s="3" t="s">
        <v>5011</v>
      </c>
      <c r="K1427" s="16">
        <v>171.77753436709997</v>
      </c>
      <c r="L1427" s="16">
        <v>30.451163999999999</v>
      </c>
      <c r="M1427" s="16">
        <f t="shared" si="44"/>
        <v>1.5668975379207257</v>
      </c>
    </row>
    <row r="1428" spans="1:13" x14ac:dyDescent="0.25">
      <c r="A1428" s="2">
        <f t="shared" si="45"/>
        <v>1423</v>
      </c>
      <c r="B1428" s="2">
        <v>83700</v>
      </c>
      <c r="C1428" s="2" t="s">
        <v>3934</v>
      </c>
      <c r="D1428" s="14" t="s">
        <v>1420</v>
      </c>
      <c r="E1428" s="14">
        <v>6.3901573999999997</v>
      </c>
      <c r="F1428" s="14">
        <v>0</v>
      </c>
      <c r="G1428" s="14">
        <v>6.3901573999999997</v>
      </c>
      <c r="H1428" s="16">
        <v>43.132844900000002</v>
      </c>
      <c r="I1428" s="16">
        <v>-50.23985119999999</v>
      </c>
      <c r="J1428" s="3" t="s">
        <v>5011</v>
      </c>
      <c r="K1428" s="16">
        <v>5162.6662832538004</v>
      </c>
      <c r="L1428" s="16">
        <v>510.75566310000005</v>
      </c>
      <c r="M1428" s="16">
        <f t="shared" si="44"/>
        <v>11.841455491381234</v>
      </c>
    </row>
    <row r="1429" spans="1:13" x14ac:dyDescent="0.25">
      <c r="A1429" s="2">
        <f t="shared" si="45"/>
        <v>1424</v>
      </c>
      <c r="B1429" s="2">
        <v>83719</v>
      </c>
      <c r="C1429" s="2" t="s">
        <v>3935</v>
      </c>
      <c r="D1429" s="14" t="s">
        <v>1421</v>
      </c>
      <c r="E1429" s="14">
        <v>5.8131689</v>
      </c>
      <c r="F1429" s="14">
        <v>0</v>
      </c>
      <c r="G1429" s="14">
        <v>5.8131689</v>
      </c>
      <c r="H1429" s="16">
        <v>256.67177600000002</v>
      </c>
      <c r="I1429" s="16">
        <v>166.42206310000003</v>
      </c>
      <c r="J1429" s="3" t="s">
        <v>5011</v>
      </c>
      <c r="K1429" s="16">
        <v>4454.8420739717003</v>
      </c>
      <c r="L1429" s="16">
        <v>505.84770649999996</v>
      </c>
      <c r="M1429" s="16">
        <f t="shared" si="44"/>
        <v>1.9707959884923223</v>
      </c>
    </row>
    <row r="1430" spans="1:13" x14ac:dyDescent="0.25">
      <c r="A1430" s="2">
        <f t="shared" si="45"/>
        <v>1425</v>
      </c>
      <c r="B1430" s="2">
        <v>83867</v>
      </c>
      <c r="C1430" s="2" t="s">
        <v>3936</v>
      </c>
      <c r="D1430" s="14" t="s">
        <v>1422</v>
      </c>
      <c r="E1430" s="14">
        <v>2.1077198999999998</v>
      </c>
      <c r="F1430" s="14">
        <v>0</v>
      </c>
      <c r="G1430" s="14">
        <v>2.1077198999999998</v>
      </c>
      <c r="H1430" s="16">
        <v>1.19994</v>
      </c>
      <c r="I1430" s="16">
        <v>-20.1359931</v>
      </c>
      <c r="J1430" s="3" t="s">
        <v>5011</v>
      </c>
      <c r="K1430" s="16">
        <v>2671.9694749913997</v>
      </c>
      <c r="L1430" s="16">
        <v>265.90211920000002</v>
      </c>
      <c r="M1430" s="16">
        <f t="shared" si="44"/>
        <v>221.59617914229045</v>
      </c>
    </row>
    <row r="1431" spans="1:13" x14ac:dyDescent="0.25">
      <c r="A1431" s="2">
        <f t="shared" si="45"/>
        <v>1426</v>
      </c>
      <c r="B1431" s="2">
        <v>83946</v>
      </c>
      <c r="C1431" s="2" t="s">
        <v>3937</v>
      </c>
      <c r="D1431" s="14" t="s">
        <v>1423</v>
      </c>
      <c r="E1431" s="14">
        <v>0.7217001999999999</v>
      </c>
      <c r="F1431" s="14">
        <v>0</v>
      </c>
      <c r="G1431" s="14">
        <v>0.7217001999999999</v>
      </c>
      <c r="H1431" s="16">
        <v>74.246287499999994</v>
      </c>
      <c r="I1431" s="16">
        <v>74.246287499999994</v>
      </c>
      <c r="J1431" s="3" t="s">
        <v>5011</v>
      </c>
      <c r="K1431" s="16">
        <v>854.57842497470006</v>
      </c>
      <c r="L1431" s="16">
        <v>123.1263713</v>
      </c>
      <c r="M1431" s="16">
        <f t="shared" si="44"/>
        <v>1.6583505444632503</v>
      </c>
    </row>
    <row r="1432" spans="1:13" x14ac:dyDescent="0.25">
      <c r="A1432" s="2">
        <f t="shared" si="45"/>
        <v>1427</v>
      </c>
      <c r="B1432" s="2">
        <v>84002</v>
      </c>
      <c r="C1432" s="2" t="s">
        <v>3938</v>
      </c>
      <c r="D1432" s="14" t="s">
        <v>1424</v>
      </c>
      <c r="E1432" s="14">
        <v>0</v>
      </c>
      <c r="F1432" s="14">
        <v>0</v>
      </c>
      <c r="G1432" s="14">
        <v>0</v>
      </c>
      <c r="H1432" s="16">
        <v>0</v>
      </c>
      <c r="I1432" s="16">
        <v>0</v>
      </c>
      <c r="J1432" s="3" t="s">
        <v>5011</v>
      </c>
      <c r="K1432" s="16">
        <v>0</v>
      </c>
      <c r="L1432" s="16">
        <v>0</v>
      </c>
      <c r="M1432" s="16">
        <v>0</v>
      </c>
    </row>
    <row r="1433" spans="1:13" x14ac:dyDescent="0.25">
      <c r="A1433" s="2">
        <f t="shared" si="45"/>
        <v>1428</v>
      </c>
      <c r="B1433" s="2">
        <v>84072</v>
      </c>
      <c r="C1433" s="2" t="s">
        <v>3939</v>
      </c>
      <c r="D1433" s="14" t="s">
        <v>1425</v>
      </c>
      <c r="E1433" s="14">
        <v>0</v>
      </c>
      <c r="F1433" s="14">
        <v>0</v>
      </c>
      <c r="G1433" s="14">
        <v>0</v>
      </c>
      <c r="H1433" s="16">
        <v>0</v>
      </c>
      <c r="I1433" s="16">
        <v>0</v>
      </c>
      <c r="J1433" s="3" t="s">
        <v>5011</v>
      </c>
      <c r="K1433" s="16">
        <v>0</v>
      </c>
      <c r="L1433" s="16">
        <v>0</v>
      </c>
      <c r="M1433" s="16">
        <v>0</v>
      </c>
    </row>
    <row r="1434" spans="1:13" x14ac:dyDescent="0.25">
      <c r="A1434" s="2">
        <f t="shared" si="45"/>
        <v>1429</v>
      </c>
      <c r="B1434" s="2">
        <v>84120</v>
      </c>
      <c r="C1434" s="2" t="s">
        <v>3940</v>
      </c>
      <c r="D1434" s="14" t="s">
        <v>1426</v>
      </c>
      <c r="E1434" s="14">
        <v>0</v>
      </c>
      <c r="F1434" s="14">
        <v>0</v>
      </c>
      <c r="G1434" s="14">
        <v>0</v>
      </c>
      <c r="H1434" s="16">
        <v>0</v>
      </c>
      <c r="I1434" s="16">
        <v>0</v>
      </c>
      <c r="J1434" s="3" t="s">
        <v>5011</v>
      </c>
      <c r="K1434" s="16">
        <v>3.9122416100000001E-2</v>
      </c>
      <c r="L1434" s="16">
        <v>0.24270689999999998</v>
      </c>
      <c r="M1434" s="16">
        <v>0</v>
      </c>
    </row>
    <row r="1435" spans="1:13" x14ac:dyDescent="0.25">
      <c r="A1435" s="2">
        <f t="shared" si="45"/>
        <v>1430</v>
      </c>
      <c r="B1435" s="2">
        <v>84169</v>
      </c>
      <c r="C1435" s="2" t="s">
        <v>3941</v>
      </c>
      <c r="D1435" s="14" t="s">
        <v>1427</v>
      </c>
      <c r="E1435" s="14">
        <v>1.6121E-2</v>
      </c>
      <c r="F1435" s="14">
        <v>0</v>
      </c>
      <c r="G1435" s="14">
        <v>1.6121E-2</v>
      </c>
      <c r="H1435" s="16">
        <v>0.99995060000000002</v>
      </c>
      <c r="I1435" s="16">
        <v>0.99995060000000002</v>
      </c>
      <c r="J1435" s="3" t="s">
        <v>5011</v>
      </c>
      <c r="K1435" s="16">
        <v>18.932440615000001</v>
      </c>
      <c r="L1435" s="16">
        <v>2.7190082000000002</v>
      </c>
      <c r="M1435" s="16">
        <f t="shared" si="44"/>
        <v>2.7191425256407666</v>
      </c>
    </row>
    <row r="1436" spans="1:13" x14ac:dyDescent="0.25">
      <c r="A1436" s="2">
        <f t="shared" si="45"/>
        <v>1431</v>
      </c>
      <c r="B1436" s="2">
        <v>84176</v>
      </c>
      <c r="C1436" s="2" t="s">
        <v>3942</v>
      </c>
      <c r="D1436" s="14" t="s">
        <v>1428</v>
      </c>
      <c r="E1436" s="14">
        <v>1.2566572999999999</v>
      </c>
      <c r="F1436" s="14">
        <v>0</v>
      </c>
      <c r="G1436" s="14">
        <v>1.2566572999999999</v>
      </c>
      <c r="H1436" s="16">
        <v>117.97499570000001</v>
      </c>
      <c r="I1436" s="16">
        <v>86.792379600000004</v>
      </c>
      <c r="J1436" s="3" t="s">
        <v>5011</v>
      </c>
      <c r="K1436" s="16">
        <v>1303.6636437705999</v>
      </c>
      <c r="L1436" s="16">
        <v>169.44050910000001</v>
      </c>
      <c r="M1436" s="16">
        <f t="shared" si="44"/>
        <v>1.4362408584516693</v>
      </c>
    </row>
    <row r="1437" spans="1:13" x14ac:dyDescent="0.25">
      <c r="A1437" s="2">
        <f t="shared" si="45"/>
        <v>1432</v>
      </c>
      <c r="B1437" s="2">
        <v>84261</v>
      </c>
      <c r="C1437" s="2" t="s">
        <v>3943</v>
      </c>
      <c r="D1437" s="14" t="s">
        <v>1429</v>
      </c>
      <c r="E1437" s="14">
        <v>44.897429199999998</v>
      </c>
      <c r="F1437" s="14">
        <v>0</v>
      </c>
      <c r="G1437" s="14">
        <v>44.897429199999998</v>
      </c>
      <c r="H1437" s="16">
        <v>1133.1145556000001</v>
      </c>
      <c r="I1437" s="16">
        <v>991.05672670000001</v>
      </c>
      <c r="J1437" s="3" t="s">
        <v>5011</v>
      </c>
      <c r="K1437" s="16">
        <v>33936.740596178599</v>
      </c>
      <c r="L1437" s="16">
        <v>4045.6357679000002</v>
      </c>
      <c r="M1437" s="16">
        <f t="shared" si="44"/>
        <v>3.5703678396027478</v>
      </c>
    </row>
    <row r="1438" spans="1:13" x14ac:dyDescent="0.25">
      <c r="A1438" s="2">
        <f t="shared" si="45"/>
        <v>1433</v>
      </c>
      <c r="B1438" s="2">
        <v>84293</v>
      </c>
      <c r="C1438" s="2" t="s">
        <v>3944</v>
      </c>
      <c r="D1438" s="14" t="s">
        <v>1430</v>
      </c>
      <c r="E1438" s="14">
        <v>0</v>
      </c>
      <c r="F1438" s="14">
        <v>0</v>
      </c>
      <c r="G1438" s="14">
        <v>0</v>
      </c>
      <c r="H1438" s="16">
        <v>0</v>
      </c>
      <c r="I1438" s="16">
        <v>0</v>
      </c>
      <c r="J1438" s="3" t="s">
        <v>5011</v>
      </c>
      <c r="K1438" s="16">
        <v>0</v>
      </c>
      <c r="L1438" s="16">
        <v>0</v>
      </c>
      <c r="M1438" s="16">
        <v>0</v>
      </c>
    </row>
    <row r="1439" spans="1:13" x14ac:dyDescent="0.25">
      <c r="A1439" s="2">
        <f t="shared" si="45"/>
        <v>1434</v>
      </c>
      <c r="B1439" s="2">
        <v>84300</v>
      </c>
      <c r="C1439" s="2" t="s">
        <v>3945</v>
      </c>
      <c r="D1439" s="14" t="s">
        <v>1431</v>
      </c>
      <c r="E1439" s="14">
        <v>1.9896579999999999</v>
      </c>
      <c r="F1439" s="14">
        <v>0</v>
      </c>
      <c r="G1439" s="14">
        <v>1.9896579999999999</v>
      </c>
      <c r="H1439" s="16">
        <v>197.55720239999999</v>
      </c>
      <c r="I1439" s="16">
        <v>138.35092509999998</v>
      </c>
      <c r="J1439" s="3" t="s">
        <v>5011</v>
      </c>
      <c r="K1439" s="16">
        <v>2035.5221490409997</v>
      </c>
      <c r="L1439" s="16">
        <v>282.05332770000001</v>
      </c>
      <c r="M1439" s="16">
        <f t="shared" si="44"/>
        <v>1.4277046054181217</v>
      </c>
    </row>
    <row r="1440" spans="1:13" x14ac:dyDescent="0.25">
      <c r="A1440" s="2">
        <f t="shared" si="45"/>
        <v>1435</v>
      </c>
      <c r="B1440" s="2">
        <v>84328</v>
      </c>
      <c r="C1440" s="2" t="s">
        <v>3946</v>
      </c>
      <c r="D1440" s="14" t="s">
        <v>1432</v>
      </c>
      <c r="E1440" s="14">
        <v>0.19103809999999999</v>
      </c>
      <c r="F1440" s="14">
        <v>0</v>
      </c>
      <c r="G1440" s="14">
        <v>0.19103809999999999</v>
      </c>
      <c r="H1440" s="16">
        <v>33.813960999999999</v>
      </c>
      <c r="I1440" s="16">
        <v>19.798309500000002</v>
      </c>
      <c r="J1440" s="3" t="s">
        <v>5011</v>
      </c>
      <c r="K1440" s="16">
        <v>297.09719410489998</v>
      </c>
      <c r="L1440" s="16">
        <v>45.398495199999992</v>
      </c>
      <c r="M1440" s="16">
        <f t="shared" si="44"/>
        <v>1.3425961897809013</v>
      </c>
    </row>
    <row r="1441" spans="1:13" x14ac:dyDescent="0.25">
      <c r="A1441" s="2">
        <f t="shared" si="45"/>
        <v>1436</v>
      </c>
      <c r="B1441" s="2">
        <v>84334</v>
      </c>
      <c r="C1441" s="2" t="s">
        <v>3947</v>
      </c>
      <c r="D1441" s="14" t="s">
        <v>1433</v>
      </c>
      <c r="E1441" s="14">
        <v>2.2429523000000002</v>
      </c>
      <c r="F1441" s="14">
        <v>0</v>
      </c>
      <c r="G1441" s="14">
        <v>2.2429523000000002</v>
      </c>
      <c r="H1441" s="16">
        <v>492.75968770000003</v>
      </c>
      <c r="I1441" s="16">
        <v>382.34380670000002</v>
      </c>
      <c r="J1441" s="3" t="s">
        <v>5011</v>
      </c>
      <c r="K1441" s="16">
        <v>2168.5910318650986</v>
      </c>
      <c r="L1441" s="16">
        <v>437.10484780000002</v>
      </c>
      <c r="M1441" s="16">
        <f t="shared" si="44"/>
        <v>0.8870548032048361</v>
      </c>
    </row>
    <row r="1442" spans="1:13" x14ac:dyDescent="0.25">
      <c r="A1442" s="2">
        <f t="shared" si="45"/>
        <v>1437</v>
      </c>
      <c r="B1442" s="2">
        <v>84385</v>
      </c>
      <c r="C1442" s="2" t="s">
        <v>3948</v>
      </c>
      <c r="D1442" s="14" t="s">
        <v>1434</v>
      </c>
      <c r="E1442" s="14">
        <v>5.2305900000000002E-2</v>
      </c>
      <c r="F1442" s="14">
        <v>0</v>
      </c>
      <c r="G1442" s="14">
        <v>5.2305900000000002E-2</v>
      </c>
      <c r="H1442" s="16">
        <v>15.6092195</v>
      </c>
      <c r="I1442" s="16">
        <v>15.6092195</v>
      </c>
      <c r="J1442" s="3" t="s">
        <v>5011</v>
      </c>
      <c r="K1442" s="16">
        <v>64.695831957100012</v>
      </c>
      <c r="L1442" s="16">
        <v>17.6266392</v>
      </c>
      <c r="M1442" s="16">
        <f t="shared" si="44"/>
        <v>1.1292453924425883</v>
      </c>
    </row>
    <row r="1443" spans="1:13" x14ac:dyDescent="0.25">
      <c r="A1443" s="2">
        <f t="shared" si="45"/>
        <v>1438</v>
      </c>
      <c r="B1443" s="2">
        <v>84571</v>
      </c>
      <c r="C1443" s="2" t="s">
        <v>3949</v>
      </c>
      <c r="D1443" s="14" t="s">
        <v>1435</v>
      </c>
      <c r="E1443" s="14">
        <v>0</v>
      </c>
      <c r="F1443" s="14">
        <v>0</v>
      </c>
      <c r="G1443" s="14">
        <v>0</v>
      </c>
      <c r="H1443" s="16">
        <v>0</v>
      </c>
      <c r="I1443" s="16">
        <v>0</v>
      </c>
      <c r="J1443" s="3" t="s">
        <v>5011</v>
      </c>
      <c r="K1443" s="16">
        <v>0</v>
      </c>
      <c r="L1443" s="16">
        <v>0</v>
      </c>
      <c r="M1443" s="16">
        <v>0</v>
      </c>
    </row>
    <row r="1444" spans="1:13" x14ac:dyDescent="0.25">
      <c r="A1444" s="2">
        <f t="shared" si="45"/>
        <v>1439</v>
      </c>
      <c r="B1444" s="2">
        <v>84644</v>
      </c>
      <c r="C1444" s="2" t="s">
        <v>3950</v>
      </c>
      <c r="D1444" s="14" t="s">
        <v>1436</v>
      </c>
      <c r="E1444" s="14">
        <v>0</v>
      </c>
      <c r="F1444" s="14">
        <v>0</v>
      </c>
      <c r="G1444" s="14">
        <v>0</v>
      </c>
      <c r="H1444" s="16">
        <v>0</v>
      </c>
      <c r="I1444" s="16">
        <v>0</v>
      </c>
      <c r="J1444" s="3" t="s">
        <v>5011</v>
      </c>
      <c r="K1444" s="16">
        <v>10.492478220599999</v>
      </c>
      <c r="L1444" s="16">
        <v>1.1759906</v>
      </c>
      <c r="M1444" s="16">
        <v>0</v>
      </c>
    </row>
    <row r="1445" spans="1:13" x14ac:dyDescent="0.25">
      <c r="A1445" s="2">
        <f t="shared" si="45"/>
        <v>1440</v>
      </c>
      <c r="B1445" s="2">
        <v>84645</v>
      </c>
      <c r="C1445" s="2" t="s">
        <v>3951</v>
      </c>
      <c r="D1445" s="14" t="s">
        <v>1437</v>
      </c>
      <c r="E1445" s="14">
        <v>0.18556230000000004</v>
      </c>
      <c r="F1445" s="14">
        <v>0</v>
      </c>
      <c r="G1445" s="14">
        <v>0.18556230000000004</v>
      </c>
      <c r="H1445" s="16">
        <v>401.31493469999998</v>
      </c>
      <c r="I1445" s="16">
        <v>401.31493469999998</v>
      </c>
      <c r="J1445" s="3" t="s">
        <v>5011</v>
      </c>
      <c r="K1445" s="16">
        <v>586.81525610049982</v>
      </c>
      <c r="L1445" s="16">
        <v>408.96381680000002</v>
      </c>
      <c r="M1445" s="16">
        <f t="shared" si="44"/>
        <v>1.019059550090549</v>
      </c>
    </row>
    <row r="1446" spans="1:13" x14ac:dyDescent="0.25">
      <c r="A1446" s="2">
        <f t="shared" si="45"/>
        <v>1441</v>
      </c>
      <c r="B1446" s="2">
        <v>84649</v>
      </c>
      <c r="C1446" s="2" t="s">
        <v>3952</v>
      </c>
      <c r="D1446" s="14" t="s">
        <v>1438</v>
      </c>
      <c r="E1446" s="14">
        <v>1.24095E-2</v>
      </c>
      <c r="F1446" s="14">
        <v>0</v>
      </c>
      <c r="G1446" s="14">
        <v>1.24095E-2</v>
      </c>
      <c r="H1446" s="16">
        <v>1.419929</v>
      </c>
      <c r="I1446" s="16">
        <v>1.419929</v>
      </c>
      <c r="J1446" s="3" t="s">
        <v>5011</v>
      </c>
      <c r="K1446" s="16">
        <v>17.9482932847</v>
      </c>
      <c r="L1446" s="16">
        <v>2.5833226000000002</v>
      </c>
      <c r="M1446" s="16">
        <f t="shared" si="44"/>
        <v>1.8193322342173448</v>
      </c>
    </row>
    <row r="1447" spans="1:13" x14ac:dyDescent="0.25">
      <c r="A1447" s="2">
        <f t="shared" si="45"/>
        <v>1442</v>
      </c>
      <c r="B1447" s="2">
        <v>84672</v>
      </c>
      <c r="C1447" s="2" t="s">
        <v>3953</v>
      </c>
      <c r="D1447" s="14" t="s">
        <v>1439</v>
      </c>
      <c r="E1447" s="14">
        <v>5.1324999999999999E-3</v>
      </c>
      <c r="F1447" s="14">
        <v>0</v>
      </c>
      <c r="G1447" s="14">
        <v>5.1324999999999999E-3</v>
      </c>
      <c r="H1447" s="16">
        <v>10.534473799999999</v>
      </c>
      <c r="I1447" s="16">
        <v>5.9729649999999985</v>
      </c>
      <c r="J1447" s="3" t="s">
        <v>5011</v>
      </c>
      <c r="K1447" s="16">
        <v>118.76078980060001</v>
      </c>
      <c r="L1447" s="16">
        <v>17.4495927</v>
      </c>
      <c r="M1447" s="16">
        <f t="shared" si="44"/>
        <v>1.6564275569226821</v>
      </c>
    </row>
    <row r="1448" spans="1:13" x14ac:dyDescent="0.25">
      <c r="A1448" s="2">
        <f t="shared" si="45"/>
        <v>1443</v>
      </c>
      <c r="B1448" s="2">
        <v>84767</v>
      </c>
      <c r="C1448" s="2" t="s">
        <v>3954</v>
      </c>
      <c r="D1448" s="14" t="s">
        <v>1440</v>
      </c>
      <c r="E1448" s="14">
        <v>0</v>
      </c>
      <c r="F1448" s="14">
        <v>0</v>
      </c>
      <c r="G1448" s="14">
        <v>0</v>
      </c>
      <c r="H1448" s="16">
        <v>0</v>
      </c>
      <c r="I1448" s="16">
        <v>0</v>
      </c>
      <c r="J1448" s="3" t="s">
        <v>5011</v>
      </c>
      <c r="K1448" s="16">
        <v>0</v>
      </c>
      <c r="L1448" s="16">
        <v>0</v>
      </c>
      <c r="M1448" s="16">
        <v>0</v>
      </c>
    </row>
    <row r="1449" spans="1:13" x14ac:dyDescent="0.25">
      <c r="A1449" s="2">
        <f t="shared" si="45"/>
        <v>1444</v>
      </c>
      <c r="B1449" s="2">
        <v>84771</v>
      </c>
      <c r="C1449" s="2" t="s">
        <v>3955</v>
      </c>
      <c r="D1449" s="14" t="s">
        <v>1441</v>
      </c>
      <c r="E1449" s="14">
        <v>0</v>
      </c>
      <c r="F1449" s="14">
        <v>0</v>
      </c>
      <c r="G1449" s="14">
        <v>0</v>
      </c>
      <c r="H1449" s="16">
        <v>0</v>
      </c>
      <c r="I1449" s="16">
        <v>0</v>
      </c>
      <c r="J1449" s="3" t="s">
        <v>5011</v>
      </c>
      <c r="K1449" s="16">
        <v>0</v>
      </c>
      <c r="L1449" s="16">
        <v>0</v>
      </c>
      <c r="M1449" s="16">
        <v>0</v>
      </c>
    </row>
    <row r="1450" spans="1:13" x14ac:dyDescent="0.25">
      <c r="A1450" s="2">
        <f t="shared" si="45"/>
        <v>1445</v>
      </c>
      <c r="B1450" s="2">
        <v>84838</v>
      </c>
      <c r="C1450" s="2" t="s">
        <v>3956</v>
      </c>
      <c r="D1450" s="14" t="s">
        <v>1442</v>
      </c>
      <c r="E1450" s="14">
        <v>0</v>
      </c>
      <c r="F1450" s="14">
        <v>0</v>
      </c>
      <c r="G1450" s="14">
        <v>0</v>
      </c>
      <c r="H1450" s="16">
        <v>0</v>
      </c>
      <c r="I1450" s="16">
        <v>0</v>
      </c>
      <c r="J1450" s="3" t="s">
        <v>5011</v>
      </c>
      <c r="K1450" s="16">
        <v>0</v>
      </c>
      <c r="L1450" s="16">
        <v>0</v>
      </c>
      <c r="M1450" s="16">
        <v>0</v>
      </c>
    </row>
    <row r="1451" spans="1:13" x14ac:dyDescent="0.25">
      <c r="A1451" s="2">
        <f t="shared" si="45"/>
        <v>1446</v>
      </c>
      <c r="B1451" s="2">
        <v>84894</v>
      </c>
      <c r="C1451" s="2" t="s">
        <v>3957</v>
      </c>
      <c r="D1451" s="14" t="s">
        <v>1443</v>
      </c>
      <c r="E1451" s="14">
        <v>1.8625131999999998</v>
      </c>
      <c r="F1451" s="14">
        <v>0</v>
      </c>
      <c r="G1451" s="14">
        <v>1.8625131999999998</v>
      </c>
      <c r="H1451" s="16">
        <v>238.76672149999999</v>
      </c>
      <c r="I1451" s="16">
        <v>210.38102789999999</v>
      </c>
      <c r="J1451" s="3" t="s">
        <v>5011</v>
      </c>
      <c r="K1451" s="16">
        <v>1791.4322321952004</v>
      </c>
      <c r="L1451" s="16">
        <v>0</v>
      </c>
      <c r="M1451" s="16">
        <f t="shared" si="44"/>
        <v>0</v>
      </c>
    </row>
    <row r="1452" spans="1:13" x14ac:dyDescent="0.25">
      <c r="A1452" s="2">
        <f t="shared" si="45"/>
        <v>1447</v>
      </c>
      <c r="B1452" s="2">
        <v>84912</v>
      </c>
      <c r="C1452" s="2" t="s">
        <v>3958</v>
      </c>
      <c r="D1452" s="14" t="s">
        <v>1444</v>
      </c>
      <c r="E1452" s="14">
        <v>1.7270703999999999</v>
      </c>
      <c r="F1452" s="14">
        <v>0</v>
      </c>
      <c r="G1452" s="14">
        <v>1.7270703999999999</v>
      </c>
      <c r="H1452" s="16">
        <v>73.706315700000005</v>
      </c>
      <c r="I1452" s="16">
        <v>58.877109900000001</v>
      </c>
      <c r="J1452" s="3" t="s">
        <v>5011</v>
      </c>
      <c r="K1452" s="16">
        <v>1553.0275937096999</v>
      </c>
      <c r="L1452" s="16">
        <v>203.22976850000001</v>
      </c>
      <c r="M1452" s="16">
        <f t="shared" si="44"/>
        <v>2.7572911028030123</v>
      </c>
    </row>
    <row r="1453" spans="1:13" x14ac:dyDescent="0.25">
      <c r="A1453" s="2">
        <f t="shared" si="45"/>
        <v>1448</v>
      </c>
      <c r="B1453" s="2">
        <v>84967</v>
      </c>
      <c r="C1453" s="2" t="s">
        <v>3959</v>
      </c>
      <c r="D1453" s="14" t="s">
        <v>1445</v>
      </c>
      <c r="E1453" s="14">
        <v>18.353468100000001</v>
      </c>
      <c r="F1453" s="14">
        <v>0</v>
      </c>
      <c r="G1453" s="14">
        <v>18.353468100000001</v>
      </c>
      <c r="H1453" s="16">
        <v>3187.6516604000003</v>
      </c>
      <c r="I1453" s="16">
        <v>2444.8524364</v>
      </c>
      <c r="J1453" s="3" t="s">
        <v>5011</v>
      </c>
      <c r="K1453" s="16">
        <v>22598.271760705706</v>
      </c>
      <c r="L1453" s="16">
        <v>3880.5712969000001</v>
      </c>
      <c r="M1453" s="16">
        <f t="shared" si="44"/>
        <v>1.2173762099253496</v>
      </c>
    </row>
    <row r="1454" spans="1:13" x14ac:dyDescent="0.25">
      <c r="A1454" s="2">
        <f t="shared" si="45"/>
        <v>1449</v>
      </c>
      <c r="B1454" s="2">
        <v>84998</v>
      </c>
      <c r="C1454" s="2" t="s">
        <v>3960</v>
      </c>
      <c r="D1454" s="14" t="s">
        <v>1446</v>
      </c>
      <c r="E1454" s="14">
        <v>10.149489299999999</v>
      </c>
      <c r="F1454" s="14">
        <v>0</v>
      </c>
      <c r="G1454" s="14">
        <v>10.149489299999999</v>
      </c>
      <c r="H1454" s="16">
        <v>1175.8517564000001</v>
      </c>
      <c r="I1454" s="16">
        <v>752.00794230000008</v>
      </c>
      <c r="J1454" s="3" t="s">
        <v>5011</v>
      </c>
      <c r="K1454" s="16">
        <v>10990.851416750003</v>
      </c>
      <c r="L1454" s="16">
        <v>1558.2295813999999</v>
      </c>
      <c r="M1454" s="16">
        <f t="shared" si="44"/>
        <v>1.3251922046455002</v>
      </c>
    </row>
    <row r="1455" spans="1:13" x14ac:dyDescent="0.25">
      <c r="A1455" s="2">
        <f t="shared" si="45"/>
        <v>1450</v>
      </c>
      <c r="B1455" s="2">
        <v>85055</v>
      </c>
      <c r="C1455" s="2" t="s">
        <v>3961</v>
      </c>
      <c r="D1455" s="14" t="s">
        <v>1447</v>
      </c>
      <c r="E1455" s="14">
        <v>0</v>
      </c>
      <c r="F1455" s="14">
        <v>0</v>
      </c>
      <c r="G1455" s="14">
        <v>0</v>
      </c>
      <c r="H1455" s="16">
        <v>0</v>
      </c>
      <c r="I1455" s="16">
        <v>0</v>
      </c>
      <c r="J1455" s="3" t="s">
        <v>5011</v>
      </c>
      <c r="K1455" s="16">
        <v>0</v>
      </c>
      <c r="L1455" s="16">
        <v>0</v>
      </c>
      <c r="M1455" s="16">
        <v>0</v>
      </c>
    </row>
    <row r="1456" spans="1:13" x14ac:dyDescent="0.25">
      <c r="A1456" s="2">
        <f t="shared" si="45"/>
        <v>1451</v>
      </c>
      <c r="B1456" s="2">
        <v>85175</v>
      </c>
      <c r="C1456" s="2" t="s">
        <v>3962</v>
      </c>
      <c r="D1456" s="14" t="s">
        <v>1448</v>
      </c>
      <c r="E1456" s="14">
        <v>6.4364684999999984</v>
      </c>
      <c r="F1456" s="14">
        <v>0</v>
      </c>
      <c r="G1456" s="14">
        <v>6.4364684999999984</v>
      </c>
      <c r="H1456" s="16">
        <v>639.91202139999996</v>
      </c>
      <c r="I1456" s="16">
        <v>145.4563253</v>
      </c>
      <c r="J1456" s="3" t="s">
        <v>5011</v>
      </c>
      <c r="K1456" s="16">
        <v>9300.2299195103042</v>
      </c>
      <c r="L1456" s="16">
        <v>844.64657799999998</v>
      </c>
      <c r="M1456" s="16">
        <f t="shared" si="44"/>
        <v>1.3199417259767703</v>
      </c>
    </row>
    <row r="1457" spans="1:13" x14ac:dyDescent="0.25">
      <c r="A1457" s="2">
        <f t="shared" si="45"/>
        <v>1452</v>
      </c>
      <c r="B1457" s="2">
        <v>85305</v>
      </c>
      <c r="C1457" s="2" t="s">
        <v>3963</v>
      </c>
      <c r="D1457" s="14" t="s">
        <v>1449</v>
      </c>
      <c r="E1457" s="14">
        <v>6.4321500000000004E-2</v>
      </c>
      <c r="F1457" s="14">
        <v>0</v>
      </c>
      <c r="G1457" s="14">
        <v>6.4321500000000004E-2</v>
      </c>
      <c r="H1457" s="16">
        <v>40.787961600000003</v>
      </c>
      <c r="I1457" s="16">
        <v>27.8352222</v>
      </c>
      <c r="J1457" s="3" t="s">
        <v>5011</v>
      </c>
      <c r="K1457" s="16">
        <v>138.04610490919998</v>
      </c>
      <c r="L1457" s="16">
        <v>32.873013100000001</v>
      </c>
      <c r="M1457" s="16">
        <f t="shared" si="44"/>
        <v>0.8059489077286961</v>
      </c>
    </row>
    <row r="1458" spans="1:13" x14ac:dyDescent="0.25">
      <c r="A1458" s="2">
        <f t="shared" si="45"/>
        <v>1453</v>
      </c>
      <c r="B1458" s="2">
        <v>85363</v>
      </c>
      <c r="C1458" s="2" t="s">
        <v>3964</v>
      </c>
      <c r="D1458" s="14" t="s">
        <v>1450</v>
      </c>
      <c r="E1458" s="14">
        <v>5.7860351000000012</v>
      </c>
      <c r="F1458" s="14">
        <v>0</v>
      </c>
      <c r="G1458" s="14">
        <v>5.7860351000000012</v>
      </c>
      <c r="H1458" s="16">
        <v>1029.5096160999999</v>
      </c>
      <c r="I1458" s="16">
        <v>683.13905160000002</v>
      </c>
      <c r="J1458" s="3" t="s">
        <v>5011</v>
      </c>
      <c r="K1458" s="16">
        <v>6131.1281944987995</v>
      </c>
      <c r="L1458" s="16">
        <v>990.44483400000001</v>
      </c>
      <c r="M1458" s="16">
        <f t="shared" si="44"/>
        <v>0.9620549614213556</v>
      </c>
    </row>
    <row r="1459" spans="1:13" x14ac:dyDescent="0.25">
      <c r="A1459" s="2">
        <f t="shared" si="45"/>
        <v>1454</v>
      </c>
      <c r="B1459" s="2">
        <v>85376</v>
      </c>
      <c r="C1459" s="2" t="s">
        <v>3965</v>
      </c>
      <c r="D1459" s="14" t="s">
        <v>1451</v>
      </c>
      <c r="E1459" s="14">
        <v>0</v>
      </c>
      <c r="F1459" s="14">
        <v>0</v>
      </c>
      <c r="G1459" s="14">
        <v>0</v>
      </c>
      <c r="H1459" s="16">
        <v>0</v>
      </c>
      <c r="I1459" s="16">
        <v>0</v>
      </c>
      <c r="J1459" s="3" t="s">
        <v>5011</v>
      </c>
      <c r="K1459" s="16">
        <v>0</v>
      </c>
      <c r="L1459" s="16">
        <v>0</v>
      </c>
      <c r="M1459" s="16">
        <v>0</v>
      </c>
    </row>
    <row r="1460" spans="1:13" x14ac:dyDescent="0.25">
      <c r="A1460" s="2">
        <f t="shared" si="45"/>
        <v>1455</v>
      </c>
      <c r="B1460" s="2">
        <v>85413</v>
      </c>
      <c r="C1460" s="2" t="s">
        <v>3966</v>
      </c>
      <c r="D1460" s="14" t="s">
        <v>1452</v>
      </c>
      <c r="E1460" s="14">
        <v>0</v>
      </c>
      <c r="F1460" s="14">
        <v>0</v>
      </c>
      <c r="G1460" s="14">
        <v>0</v>
      </c>
      <c r="H1460" s="16">
        <v>0</v>
      </c>
      <c r="I1460" s="16">
        <v>0</v>
      </c>
      <c r="J1460" s="3" t="s">
        <v>5011</v>
      </c>
      <c r="K1460" s="16">
        <v>0</v>
      </c>
      <c r="L1460" s="16">
        <v>0</v>
      </c>
      <c r="M1460" s="16">
        <v>0</v>
      </c>
    </row>
    <row r="1461" spans="1:13" x14ac:dyDescent="0.25">
      <c r="A1461" s="2">
        <f t="shared" si="45"/>
        <v>1456</v>
      </c>
      <c r="B1461" s="2">
        <v>85460</v>
      </c>
      <c r="C1461" s="2" t="s">
        <v>3967</v>
      </c>
      <c r="D1461" s="14" t="s">
        <v>1453</v>
      </c>
      <c r="E1461" s="14">
        <v>6.4918000000000007E-3</v>
      </c>
      <c r="F1461" s="14">
        <v>0</v>
      </c>
      <c r="G1461" s="14">
        <v>6.4918000000000007E-3</v>
      </c>
      <c r="H1461" s="16">
        <v>2.6848659000000001</v>
      </c>
      <c r="I1461" s="16">
        <v>2.6848659000000001</v>
      </c>
      <c r="J1461" s="3" t="s">
        <v>5011</v>
      </c>
      <c r="K1461" s="16">
        <v>18.341084510599998</v>
      </c>
      <c r="L1461" s="16">
        <v>4.0468950000000001</v>
      </c>
      <c r="M1461" s="16">
        <f t="shared" si="44"/>
        <v>1.5072987444177379</v>
      </c>
    </row>
    <row r="1462" spans="1:13" x14ac:dyDescent="0.25">
      <c r="A1462" s="2">
        <f t="shared" si="45"/>
        <v>1457</v>
      </c>
      <c r="B1462" s="2">
        <v>85488</v>
      </c>
      <c r="C1462" s="2" t="s">
        <v>3968</v>
      </c>
      <c r="D1462" s="14" t="s">
        <v>1454</v>
      </c>
      <c r="E1462" s="14">
        <v>1.2161972999999997</v>
      </c>
      <c r="F1462" s="14">
        <v>0</v>
      </c>
      <c r="G1462" s="14">
        <v>1.2161972999999997</v>
      </c>
      <c r="H1462" s="16">
        <v>74.351283800000004</v>
      </c>
      <c r="I1462" s="16">
        <v>73.143962900000005</v>
      </c>
      <c r="J1462" s="3" t="s">
        <v>5011</v>
      </c>
      <c r="K1462" s="16">
        <v>1210.4753719132</v>
      </c>
      <c r="L1462" s="16">
        <v>170.02665670000002</v>
      </c>
      <c r="M1462" s="16">
        <f t="shared" si="44"/>
        <v>2.2868018951409148</v>
      </c>
    </row>
    <row r="1463" spans="1:13" x14ac:dyDescent="0.25">
      <c r="A1463" s="2">
        <f t="shared" si="45"/>
        <v>1458</v>
      </c>
      <c r="B1463" s="2">
        <v>85562</v>
      </c>
      <c r="C1463" s="2" t="s">
        <v>3969</v>
      </c>
      <c r="D1463" s="14" t="s">
        <v>1455</v>
      </c>
      <c r="E1463" s="14">
        <v>0.10778749999999999</v>
      </c>
      <c r="F1463" s="14">
        <v>0</v>
      </c>
      <c r="G1463" s="14">
        <v>0.10778749999999999</v>
      </c>
      <c r="H1463" s="16">
        <v>163.94837859999998</v>
      </c>
      <c r="I1463" s="16">
        <v>118.9955744</v>
      </c>
      <c r="J1463" s="3" t="s">
        <v>5011</v>
      </c>
      <c r="K1463" s="16">
        <v>284.04985656060012</v>
      </c>
      <c r="L1463" s="16">
        <v>123.269244</v>
      </c>
      <c r="M1463" s="16">
        <f t="shared" si="44"/>
        <v>0.75187839643569376</v>
      </c>
    </row>
    <row r="1464" spans="1:13" x14ac:dyDescent="0.25">
      <c r="A1464" s="2">
        <f t="shared" si="45"/>
        <v>1459</v>
      </c>
      <c r="B1464" s="2">
        <v>85592</v>
      </c>
      <c r="C1464" s="2" t="s">
        <v>3970</v>
      </c>
      <c r="D1464" s="14" t="s">
        <v>1456</v>
      </c>
      <c r="E1464" s="14">
        <v>9.779352900000001</v>
      </c>
      <c r="F1464" s="14">
        <v>0</v>
      </c>
      <c r="G1464" s="14">
        <v>9.779352900000001</v>
      </c>
      <c r="H1464" s="16">
        <v>402.4188388</v>
      </c>
      <c r="I1464" s="16">
        <v>219.81506320000005</v>
      </c>
      <c r="J1464" s="3" t="s">
        <v>5011</v>
      </c>
      <c r="K1464" s="16">
        <v>9659.3204398462003</v>
      </c>
      <c r="L1464" s="16">
        <v>1071.3410377</v>
      </c>
      <c r="M1464" s="16">
        <f t="shared" si="44"/>
        <v>2.6622536879602965</v>
      </c>
    </row>
    <row r="1465" spans="1:13" x14ac:dyDescent="0.25">
      <c r="A1465" s="2">
        <f t="shared" si="45"/>
        <v>1460</v>
      </c>
      <c r="B1465" s="2">
        <v>85605</v>
      </c>
      <c r="C1465" s="2" t="s">
        <v>3971</v>
      </c>
      <c r="D1465" s="14" t="s">
        <v>1457</v>
      </c>
      <c r="E1465" s="14">
        <v>0</v>
      </c>
      <c r="F1465" s="14">
        <v>0</v>
      </c>
      <c r="G1465" s="14">
        <v>0</v>
      </c>
      <c r="H1465" s="16">
        <v>0</v>
      </c>
      <c r="I1465" s="16">
        <v>0</v>
      </c>
      <c r="J1465" s="3" t="s">
        <v>5011</v>
      </c>
      <c r="K1465" s="16">
        <v>0</v>
      </c>
      <c r="L1465" s="16">
        <v>0</v>
      </c>
      <c r="M1465" s="16">
        <v>0</v>
      </c>
    </row>
    <row r="1466" spans="1:13" x14ac:dyDescent="0.25">
      <c r="A1466" s="2">
        <f t="shared" si="45"/>
        <v>1461</v>
      </c>
      <c r="B1466" s="2">
        <v>85614</v>
      </c>
      <c r="C1466" s="2" t="s">
        <v>3972</v>
      </c>
      <c r="D1466" s="14" t="s">
        <v>1458</v>
      </c>
      <c r="E1466" s="14">
        <v>0</v>
      </c>
      <c r="F1466" s="14">
        <v>0</v>
      </c>
      <c r="G1466" s="14">
        <v>0</v>
      </c>
      <c r="H1466" s="16">
        <v>0.99995000000000001</v>
      </c>
      <c r="I1466" s="16">
        <v>0.99995000000000001</v>
      </c>
      <c r="J1466" s="3" t="s">
        <v>5011</v>
      </c>
      <c r="K1466" s="16">
        <v>12.955371270000001</v>
      </c>
      <c r="L1466" s="16">
        <v>1.5159814</v>
      </c>
      <c r="M1466" s="16">
        <f t="shared" si="44"/>
        <v>1.5160572028601431</v>
      </c>
    </row>
    <row r="1467" spans="1:13" x14ac:dyDescent="0.25">
      <c r="A1467" s="2">
        <f t="shared" si="45"/>
        <v>1462</v>
      </c>
      <c r="B1467" s="2">
        <v>85675</v>
      </c>
      <c r="C1467" s="2" t="s">
        <v>3973</v>
      </c>
      <c r="D1467" s="14" t="s">
        <v>1459</v>
      </c>
      <c r="E1467" s="14">
        <v>0</v>
      </c>
      <c r="F1467" s="14">
        <v>0</v>
      </c>
      <c r="G1467" s="14">
        <v>0</v>
      </c>
      <c r="H1467" s="16">
        <v>0</v>
      </c>
      <c r="I1467" s="16">
        <v>0</v>
      </c>
      <c r="J1467" s="3" t="s">
        <v>5011</v>
      </c>
      <c r="K1467" s="16">
        <v>0</v>
      </c>
      <c r="L1467" s="16">
        <v>0</v>
      </c>
      <c r="M1467" s="16">
        <v>0</v>
      </c>
    </row>
    <row r="1468" spans="1:13" x14ac:dyDescent="0.25">
      <c r="A1468" s="2">
        <f t="shared" si="45"/>
        <v>1463</v>
      </c>
      <c r="B1468" s="2">
        <v>85700</v>
      </c>
      <c r="C1468" s="2" t="s">
        <v>3974</v>
      </c>
      <c r="D1468" s="14" t="s">
        <v>1460</v>
      </c>
      <c r="E1468" s="14">
        <v>0</v>
      </c>
      <c r="F1468" s="14">
        <v>0</v>
      </c>
      <c r="G1468" s="14">
        <v>0</v>
      </c>
      <c r="H1468" s="16">
        <v>0</v>
      </c>
      <c r="I1468" s="16">
        <v>0</v>
      </c>
      <c r="J1468" s="3" t="s">
        <v>5011</v>
      </c>
      <c r="K1468" s="16">
        <v>0</v>
      </c>
      <c r="L1468" s="16">
        <v>0</v>
      </c>
      <c r="M1468" s="16">
        <v>0</v>
      </c>
    </row>
    <row r="1469" spans="1:13" x14ac:dyDescent="0.25">
      <c r="A1469" s="2">
        <f t="shared" si="45"/>
        <v>1464</v>
      </c>
      <c r="B1469" s="2">
        <v>85762</v>
      </c>
      <c r="C1469" s="2" t="s">
        <v>3975</v>
      </c>
      <c r="D1469" s="14" t="s">
        <v>1461</v>
      </c>
      <c r="E1469" s="14">
        <v>0</v>
      </c>
      <c r="F1469" s="14">
        <v>0</v>
      </c>
      <c r="G1469" s="14">
        <v>0</v>
      </c>
      <c r="H1469" s="16">
        <v>0</v>
      </c>
      <c r="I1469" s="16">
        <v>0</v>
      </c>
      <c r="J1469" s="3" t="s">
        <v>5011</v>
      </c>
      <c r="K1469" s="16">
        <v>0</v>
      </c>
      <c r="L1469" s="16">
        <v>0</v>
      </c>
      <c r="M1469" s="16">
        <v>0</v>
      </c>
    </row>
    <row r="1470" spans="1:13" x14ac:dyDescent="0.25">
      <c r="A1470" s="2">
        <f t="shared" si="45"/>
        <v>1465</v>
      </c>
      <c r="B1470" s="2">
        <v>85815</v>
      </c>
      <c r="C1470" s="2" t="s">
        <v>3976</v>
      </c>
      <c r="D1470" s="14" t="s">
        <v>1462</v>
      </c>
      <c r="E1470" s="14">
        <v>4.0645728000000005</v>
      </c>
      <c r="F1470" s="14">
        <v>0</v>
      </c>
      <c r="G1470" s="14">
        <v>4.0645728000000005</v>
      </c>
      <c r="H1470" s="16">
        <v>0</v>
      </c>
      <c r="I1470" s="16">
        <v>0</v>
      </c>
      <c r="J1470" s="3" t="s">
        <v>5011</v>
      </c>
      <c r="K1470" s="16">
        <v>3052.3472131867002</v>
      </c>
      <c r="L1470" s="16">
        <v>311.7920436</v>
      </c>
      <c r="M1470" s="16">
        <v>0</v>
      </c>
    </row>
    <row r="1471" spans="1:13" x14ac:dyDescent="0.25">
      <c r="A1471" s="2">
        <f t="shared" si="45"/>
        <v>1466</v>
      </c>
      <c r="B1471" s="2">
        <v>85866</v>
      </c>
      <c r="C1471" s="2" t="s">
        <v>3977</v>
      </c>
      <c r="D1471" s="14" t="s">
        <v>1463</v>
      </c>
      <c r="E1471" s="14">
        <v>5.1683300000000001E-2</v>
      </c>
      <c r="F1471" s="14">
        <v>0</v>
      </c>
      <c r="G1471" s="14">
        <v>5.1683300000000001E-2</v>
      </c>
      <c r="H1471" s="16">
        <v>2.4400719</v>
      </c>
      <c r="I1471" s="16">
        <v>1.199878</v>
      </c>
      <c r="J1471" s="3" t="s">
        <v>5011</v>
      </c>
      <c r="K1471" s="16">
        <v>56.427856920000004</v>
      </c>
      <c r="L1471" s="16">
        <v>6.6197387000000001</v>
      </c>
      <c r="M1471" s="16">
        <f t="shared" si="44"/>
        <v>2.7129277215150913</v>
      </c>
    </row>
    <row r="1472" spans="1:13" x14ac:dyDescent="0.25">
      <c r="A1472" s="2">
        <f t="shared" si="45"/>
        <v>1467</v>
      </c>
      <c r="B1472" s="2">
        <v>85927</v>
      </c>
      <c r="C1472" s="2" t="s">
        <v>3978</v>
      </c>
      <c r="D1472" s="14" t="s">
        <v>1464</v>
      </c>
      <c r="E1472" s="14">
        <v>4.3783175999999999</v>
      </c>
      <c r="F1472" s="14">
        <v>0</v>
      </c>
      <c r="G1472" s="14">
        <v>4.3783175999999999</v>
      </c>
      <c r="H1472" s="16">
        <v>23.0392087</v>
      </c>
      <c r="I1472" s="16">
        <v>19.725756200000003</v>
      </c>
      <c r="J1472" s="3" t="s">
        <v>5011</v>
      </c>
      <c r="K1472" s="16">
        <v>3036.9407220725002</v>
      </c>
      <c r="L1472" s="16">
        <v>321.88333850000004</v>
      </c>
      <c r="M1472" s="16">
        <f t="shared" si="44"/>
        <v>13.971110843750465</v>
      </c>
    </row>
    <row r="1473" spans="1:13" x14ac:dyDescent="0.25">
      <c r="A1473" s="2">
        <f t="shared" si="45"/>
        <v>1468</v>
      </c>
      <c r="B1473" s="2">
        <v>86076</v>
      </c>
      <c r="C1473" s="2" t="s">
        <v>3979</v>
      </c>
      <c r="D1473" s="14" t="s">
        <v>1465</v>
      </c>
      <c r="E1473" s="14">
        <v>8.4466712999999984</v>
      </c>
      <c r="F1473" s="14">
        <v>0</v>
      </c>
      <c r="G1473" s="14">
        <v>8.4466712999999984</v>
      </c>
      <c r="H1473" s="16">
        <v>531.37315820000003</v>
      </c>
      <c r="I1473" s="16">
        <v>257.49003929999998</v>
      </c>
      <c r="J1473" s="3" t="s">
        <v>5011</v>
      </c>
      <c r="K1473" s="16">
        <v>8011.5320650694994</v>
      </c>
      <c r="L1473" s="16">
        <v>970.17750159999991</v>
      </c>
      <c r="M1473" s="16">
        <f t="shared" si="44"/>
        <v>1.8257932050734884</v>
      </c>
    </row>
    <row r="1474" spans="1:13" x14ac:dyDescent="0.25">
      <c r="A1474" s="2">
        <f t="shared" si="45"/>
        <v>1469</v>
      </c>
      <c r="B1474" s="2">
        <v>86257</v>
      </c>
      <c r="C1474" s="2" t="s">
        <v>3980</v>
      </c>
      <c r="D1474" s="14" t="s">
        <v>1466</v>
      </c>
      <c r="E1474" s="14">
        <v>1.9870057000000001</v>
      </c>
      <c r="F1474" s="14">
        <v>0</v>
      </c>
      <c r="G1474" s="14">
        <v>1.9870057000000001</v>
      </c>
      <c r="H1474" s="16">
        <v>82.254161500000009</v>
      </c>
      <c r="I1474" s="16">
        <v>64.428843600000008</v>
      </c>
      <c r="J1474" s="3" t="s">
        <v>5011</v>
      </c>
      <c r="K1474" s="16">
        <v>1706.8917913806999</v>
      </c>
      <c r="L1474" s="16">
        <v>224.93415480000002</v>
      </c>
      <c r="M1474" s="16">
        <f t="shared" si="44"/>
        <v>2.7346234001789682</v>
      </c>
    </row>
    <row r="1475" spans="1:13" x14ac:dyDescent="0.25">
      <c r="A1475" s="2">
        <f t="shared" si="45"/>
        <v>1470</v>
      </c>
      <c r="B1475" s="2">
        <v>86277</v>
      </c>
      <c r="C1475" s="2" t="s">
        <v>3981</v>
      </c>
      <c r="D1475" s="14" t="s">
        <v>1467</v>
      </c>
      <c r="E1475" s="14">
        <v>0</v>
      </c>
      <c r="F1475" s="14">
        <v>0</v>
      </c>
      <c r="G1475" s="14">
        <v>0</v>
      </c>
      <c r="H1475" s="16">
        <v>0</v>
      </c>
      <c r="I1475" s="16">
        <v>0</v>
      </c>
      <c r="J1475" s="3" t="s">
        <v>5011</v>
      </c>
      <c r="K1475" s="16">
        <v>0</v>
      </c>
      <c r="L1475" s="16">
        <v>0</v>
      </c>
      <c r="M1475" s="16">
        <v>0</v>
      </c>
    </row>
    <row r="1476" spans="1:13" x14ac:dyDescent="0.25">
      <c r="A1476" s="2">
        <f t="shared" si="45"/>
        <v>1471</v>
      </c>
      <c r="B1476" s="2">
        <v>86414</v>
      </c>
      <c r="C1476" s="2" t="s">
        <v>3982</v>
      </c>
      <c r="D1476" s="14" t="s">
        <v>1468</v>
      </c>
      <c r="E1476" s="14">
        <v>0</v>
      </c>
      <c r="F1476" s="14">
        <v>0</v>
      </c>
      <c r="G1476" s="14">
        <v>0</v>
      </c>
      <c r="H1476" s="16">
        <v>0</v>
      </c>
      <c r="I1476" s="16">
        <v>0</v>
      </c>
      <c r="J1476" s="3" t="s">
        <v>5011</v>
      </c>
      <c r="K1476" s="16">
        <v>0</v>
      </c>
      <c r="L1476" s="16">
        <v>0</v>
      </c>
      <c r="M1476" s="16">
        <v>0</v>
      </c>
    </row>
    <row r="1477" spans="1:13" x14ac:dyDescent="0.25">
      <c r="A1477" s="2">
        <f t="shared" si="45"/>
        <v>1472</v>
      </c>
      <c r="B1477" s="2">
        <v>86420</v>
      </c>
      <c r="C1477" s="2" t="s">
        <v>3983</v>
      </c>
      <c r="D1477" s="14" t="s">
        <v>1469</v>
      </c>
      <c r="E1477" s="14">
        <v>1.87323E-2</v>
      </c>
      <c r="F1477" s="14">
        <v>0</v>
      </c>
      <c r="G1477" s="14">
        <v>1.87323E-2</v>
      </c>
      <c r="H1477" s="16">
        <v>31.942913399999998</v>
      </c>
      <c r="I1477" s="16">
        <v>26.8186423</v>
      </c>
      <c r="J1477" s="3" t="s">
        <v>5011</v>
      </c>
      <c r="K1477" s="16">
        <v>57.7774978964</v>
      </c>
      <c r="L1477" s="16">
        <v>27.987625600000001</v>
      </c>
      <c r="M1477" s="16">
        <f t="shared" si="44"/>
        <v>0.87617636029404888</v>
      </c>
    </row>
    <row r="1478" spans="1:13" x14ac:dyDescent="0.25">
      <c r="A1478" s="2">
        <f t="shared" si="45"/>
        <v>1473</v>
      </c>
      <c r="B1478" s="2">
        <v>86448</v>
      </c>
      <c r="C1478" s="2" t="s">
        <v>3984</v>
      </c>
      <c r="D1478" s="14" t="s">
        <v>1470</v>
      </c>
      <c r="E1478" s="14">
        <v>45.833397099999999</v>
      </c>
      <c r="F1478" s="14">
        <v>0</v>
      </c>
      <c r="G1478" s="14">
        <v>45.833397099999999</v>
      </c>
      <c r="H1478" s="16">
        <v>747.57733880000001</v>
      </c>
      <c r="I1478" s="16">
        <v>539.70928589999994</v>
      </c>
      <c r="J1478" s="3" t="s">
        <v>5011</v>
      </c>
      <c r="K1478" s="16">
        <v>36955.797892051094</v>
      </c>
      <c r="L1478" s="16">
        <v>4234.1578386000001</v>
      </c>
      <c r="M1478" s="16">
        <f t="shared" si="44"/>
        <v>5.6638392027727953</v>
      </c>
    </row>
    <row r="1479" spans="1:13" x14ac:dyDescent="0.25">
      <c r="A1479" s="2">
        <f t="shared" si="45"/>
        <v>1474</v>
      </c>
      <c r="B1479" s="2">
        <v>86499</v>
      </c>
      <c r="C1479" s="2" t="s">
        <v>3985</v>
      </c>
      <c r="D1479" s="14" t="s">
        <v>1471</v>
      </c>
      <c r="E1479" s="14">
        <v>1.9088665000000002</v>
      </c>
      <c r="F1479" s="14">
        <v>0</v>
      </c>
      <c r="G1479" s="14">
        <v>1.9088665000000002</v>
      </c>
      <c r="H1479" s="16">
        <v>34.638269199999996</v>
      </c>
      <c r="I1479" s="16">
        <v>30.6593582</v>
      </c>
      <c r="J1479" s="3" t="s">
        <v>5011</v>
      </c>
      <c r="K1479" s="16">
        <v>1977.2378995833001</v>
      </c>
      <c r="L1479" s="16">
        <v>219.6674166</v>
      </c>
      <c r="M1479" s="16">
        <f t="shared" ref="M1479:M1542" si="46">L1479/H1479</f>
        <v>6.3417549916148817</v>
      </c>
    </row>
    <row r="1480" spans="1:13" x14ac:dyDescent="0.25">
      <c r="A1480" s="2">
        <f t="shared" ref="A1480:A1543" si="47">A1479+1</f>
        <v>1475</v>
      </c>
      <c r="B1480" s="2">
        <v>86502</v>
      </c>
      <c r="C1480" s="2" t="s">
        <v>3986</v>
      </c>
      <c r="D1480" s="14" t="s">
        <v>1472</v>
      </c>
      <c r="E1480" s="14">
        <v>9.3908087000000009</v>
      </c>
      <c r="F1480" s="14">
        <v>0</v>
      </c>
      <c r="G1480" s="14">
        <v>9.3908087000000009</v>
      </c>
      <c r="H1480" s="16">
        <v>251.37460239999999</v>
      </c>
      <c r="I1480" s="16">
        <v>-21.098545899999998</v>
      </c>
      <c r="J1480" s="3" t="s">
        <v>5011</v>
      </c>
      <c r="K1480" s="16">
        <v>9118.0993894791991</v>
      </c>
      <c r="L1480" s="16">
        <v>875.06254109999998</v>
      </c>
      <c r="M1480" s="16">
        <f t="shared" si="46"/>
        <v>3.4811095979678814</v>
      </c>
    </row>
    <row r="1481" spans="1:13" x14ac:dyDescent="0.25">
      <c r="A1481" s="2">
        <f t="shared" si="47"/>
        <v>1476</v>
      </c>
      <c r="B1481" s="2">
        <v>86558</v>
      </c>
      <c r="C1481" s="2" t="s">
        <v>3987</v>
      </c>
      <c r="D1481" s="14" t="s">
        <v>1473</v>
      </c>
      <c r="E1481" s="14">
        <v>9.9835669000000014</v>
      </c>
      <c r="F1481" s="14">
        <v>0</v>
      </c>
      <c r="G1481" s="14">
        <v>9.9835669000000014</v>
      </c>
      <c r="H1481" s="16">
        <v>275.86341980000003</v>
      </c>
      <c r="I1481" s="16">
        <v>-675.02115519999995</v>
      </c>
      <c r="J1481" s="3" t="s">
        <v>5011</v>
      </c>
      <c r="K1481" s="16">
        <v>6738.1824307158995</v>
      </c>
      <c r="L1481" s="16">
        <v>495.8487106</v>
      </c>
      <c r="M1481" s="16">
        <f t="shared" si="46"/>
        <v>1.7974427742521588</v>
      </c>
    </row>
    <row r="1482" spans="1:13" x14ac:dyDescent="0.25">
      <c r="A1482" s="2">
        <f t="shared" si="47"/>
        <v>1477</v>
      </c>
      <c r="B1482" s="2">
        <v>86589</v>
      </c>
      <c r="C1482" s="2" t="s">
        <v>3988</v>
      </c>
      <c r="D1482" s="14" t="s">
        <v>1474</v>
      </c>
      <c r="E1482" s="14">
        <v>0</v>
      </c>
      <c r="F1482" s="14">
        <v>0</v>
      </c>
      <c r="G1482" s="14">
        <v>0</v>
      </c>
      <c r="H1482" s="16">
        <v>0</v>
      </c>
      <c r="I1482" s="16">
        <v>0</v>
      </c>
      <c r="J1482" s="3" t="s">
        <v>5011</v>
      </c>
      <c r="K1482" s="16">
        <v>0</v>
      </c>
      <c r="L1482" s="16">
        <v>0</v>
      </c>
      <c r="M1482" s="16">
        <v>0</v>
      </c>
    </row>
    <row r="1483" spans="1:13" x14ac:dyDescent="0.25">
      <c r="A1483" s="2">
        <f t="shared" si="47"/>
        <v>1478</v>
      </c>
      <c r="B1483" s="2">
        <v>86683</v>
      </c>
      <c r="C1483" s="2" t="s">
        <v>3989</v>
      </c>
      <c r="D1483" s="14" t="s">
        <v>1475</v>
      </c>
      <c r="E1483" s="14">
        <v>0</v>
      </c>
      <c r="F1483" s="14">
        <v>0</v>
      </c>
      <c r="G1483" s="14">
        <v>0</v>
      </c>
      <c r="H1483" s="16">
        <v>0</v>
      </c>
      <c r="I1483" s="16">
        <v>0</v>
      </c>
      <c r="J1483" s="3" t="s">
        <v>5011</v>
      </c>
      <c r="K1483" s="16">
        <v>0</v>
      </c>
      <c r="L1483" s="16">
        <v>0</v>
      </c>
      <c r="M1483" s="16">
        <v>0</v>
      </c>
    </row>
    <row r="1484" spans="1:13" x14ac:dyDescent="0.25">
      <c r="A1484" s="2">
        <f t="shared" si="47"/>
        <v>1479</v>
      </c>
      <c r="B1484" s="2">
        <v>86685</v>
      </c>
      <c r="C1484" s="2" t="s">
        <v>3990</v>
      </c>
      <c r="D1484" s="14" t="s">
        <v>1476</v>
      </c>
      <c r="E1484" s="14">
        <v>13.368853700000001</v>
      </c>
      <c r="F1484" s="14">
        <v>0</v>
      </c>
      <c r="G1484" s="14">
        <v>13.368853700000001</v>
      </c>
      <c r="H1484" s="16">
        <v>10076.9317589</v>
      </c>
      <c r="I1484" s="16">
        <v>6682.6442897000006</v>
      </c>
      <c r="J1484" s="3" t="s">
        <v>5011</v>
      </c>
      <c r="K1484" s="16">
        <v>28850.359483775788</v>
      </c>
      <c r="L1484" s="16">
        <v>7701.9062546000005</v>
      </c>
      <c r="M1484" s="16">
        <f t="shared" si="46"/>
        <v>0.76431064920109593</v>
      </c>
    </row>
    <row r="1485" spans="1:13" x14ac:dyDescent="0.25">
      <c r="A1485" s="2">
        <f t="shared" si="47"/>
        <v>1480</v>
      </c>
      <c r="B1485" s="2">
        <v>86800</v>
      </c>
      <c r="C1485" s="2" t="s">
        <v>3991</v>
      </c>
      <c r="D1485" s="14" t="s">
        <v>1477</v>
      </c>
      <c r="E1485" s="14">
        <v>10.979543800000002</v>
      </c>
      <c r="F1485" s="14">
        <v>0</v>
      </c>
      <c r="G1485" s="14">
        <v>10.979543800000002</v>
      </c>
      <c r="H1485" s="16">
        <v>654.60501069999998</v>
      </c>
      <c r="I1485" s="16">
        <v>515.34227269999997</v>
      </c>
      <c r="J1485" s="3" t="s">
        <v>5011</v>
      </c>
      <c r="K1485" s="16">
        <v>10420.659348994099</v>
      </c>
      <c r="L1485" s="16">
        <v>1340.2435451000001</v>
      </c>
      <c r="M1485" s="16">
        <f t="shared" si="46"/>
        <v>2.0474080142875999</v>
      </c>
    </row>
    <row r="1486" spans="1:13" x14ac:dyDescent="0.25">
      <c r="A1486" s="2">
        <f t="shared" si="47"/>
        <v>1481</v>
      </c>
      <c r="B1486" s="2">
        <v>86804</v>
      </c>
      <c r="C1486" s="2" t="s">
        <v>3992</v>
      </c>
      <c r="D1486" s="14" t="s">
        <v>1478</v>
      </c>
      <c r="E1486" s="14">
        <v>0</v>
      </c>
      <c r="F1486" s="14">
        <v>0</v>
      </c>
      <c r="G1486" s="14">
        <v>0</v>
      </c>
      <c r="H1486" s="16">
        <v>0</v>
      </c>
      <c r="I1486" s="16">
        <v>0</v>
      </c>
      <c r="J1486" s="3" t="s">
        <v>5011</v>
      </c>
      <c r="K1486" s="16">
        <v>0</v>
      </c>
      <c r="L1486" s="16">
        <v>0</v>
      </c>
      <c r="M1486" s="16">
        <v>0</v>
      </c>
    </row>
    <row r="1487" spans="1:13" x14ac:dyDescent="0.25">
      <c r="A1487" s="2">
        <f t="shared" si="47"/>
        <v>1482</v>
      </c>
      <c r="B1487" s="2">
        <v>86807</v>
      </c>
      <c r="C1487" s="2" t="s">
        <v>3993</v>
      </c>
      <c r="D1487" s="14" t="s">
        <v>1479</v>
      </c>
      <c r="E1487" s="14">
        <v>0</v>
      </c>
      <c r="F1487" s="14">
        <v>0</v>
      </c>
      <c r="G1487" s="14">
        <v>0</v>
      </c>
      <c r="H1487" s="16">
        <v>0</v>
      </c>
      <c r="I1487" s="16">
        <v>0</v>
      </c>
      <c r="J1487" s="3" t="s">
        <v>5011</v>
      </c>
      <c r="K1487" s="16">
        <v>0</v>
      </c>
      <c r="L1487" s="16">
        <v>0</v>
      </c>
      <c r="M1487" s="16">
        <v>0</v>
      </c>
    </row>
    <row r="1488" spans="1:13" x14ac:dyDescent="0.25">
      <c r="A1488" s="2">
        <f t="shared" si="47"/>
        <v>1483</v>
      </c>
      <c r="B1488" s="2">
        <v>86828</v>
      </c>
      <c r="C1488" s="2" t="s">
        <v>3994</v>
      </c>
      <c r="D1488" s="14" t="s">
        <v>1480</v>
      </c>
      <c r="E1488" s="14">
        <v>0</v>
      </c>
      <c r="F1488" s="14">
        <v>0</v>
      </c>
      <c r="G1488" s="14">
        <v>0</v>
      </c>
      <c r="H1488" s="16">
        <v>0</v>
      </c>
      <c r="I1488" s="16">
        <v>0</v>
      </c>
      <c r="J1488" s="3" t="s">
        <v>5011</v>
      </c>
      <c r="K1488" s="16">
        <v>0</v>
      </c>
      <c r="L1488" s="16">
        <v>0</v>
      </c>
      <c r="M1488" s="16">
        <v>0</v>
      </c>
    </row>
    <row r="1489" spans="1:13" x14ac:dyDescent="0.25">
      <c r="A1489" s="2">
        <f t="shared" si="47"/>
        <v>1484</v>
      </c>
      <c r="B1489" s="2">
        <v>86871</v>
      </c>
      <c r="C1489" s="2" t="s">
        <v>3995</v>
      </c>
      <c r="D1489" s="14" t="s">
        <v>1481</v>
      </c>
      <c r="E1489" s="14">
        <v>14.923995600000001</v>
      </c>
      <c r="F1489" s="14">
        <v>0</v>
      </c>
      <c r="G1489" s="14">
        <v>14.923995600000001</v>
      </c>
      <c r="H1489" s="16">
        <v>2287.7763264</v>
      </c>
      <c r="I1489" s="16">
        <v>377.17577439999997</v>
      </c>
      <c r="J1489" s="3" t="s">
        <v>5011</v>
      </c>
      <c r="K1489" s="16">
        <v>17340.806289197797</v>
      </c>
      <c r="L1489" s="16">
        <v>1977.5797108000002</v>
      </c>
      <c r="M1489" s="16">
        <f t="shared" si="46"/>
        <v>0.86441130104352504</v>
      </c>
    </row>
    <row r="1490" spans="1:13" x14ac:dyDescent="0.25">
      <c r="A1490" s="2">
        <f t="shared" si="47"/>
        <v>1485</v>
      </c>
      <c r="B1490" s="2">
        <v>86872</v>
      </c>
      <c r="C1490" s="2" t="s">
        <v>3996</v>
      </c>
      <c r="D1490" s="14" t="s">
        <v>1482</v>
      </c>
      <c r="E1490" s="14">
        <v>4.8252499999999997E-2</v>
      </c>
      <c r="F1490" s="14">
        <v>0</v>
      </c>
      <c r="G1490" s="14">
        <v>4.8252499999999997E-2</v>
      </c>
      <c r="H1490" s="16">
        <v>13.2553406</v>
      </c>
      <c r="I1490" s="16">
        <v>8.5693406000000003</v>
      </c>
      <c r="J1490" s="3" t="s">
        <v>5011</v>
      </c>
      <c r="K1490" s="16">
        <v>140.82557165599999</v>
      </c>
      <c r="L1490" s="16">
        <v>18.3477991</v>
      </c>
      <c r="M1490" s="16">
        <f t="shared" si="46"/>
        <v>1.3841816407192131</v>
      </c>
    </row>
    <row r="1491" spans="1:13" x14ac:dyDescent="0.25">
      <c r="A1491" s="2">
        <f t="shared" si="47"/>
        <v>1486</v>
      </c>
      <c r="B1491" s="2">
        <v>86901</v>
      </c>
      <c r="C1491" s="2" t="s">
        <v>3997</v>
      </c>
      <c r="D1491" s="14" t="s">
        <v>1483</v>
      </c>
      <c r="E1491" s="14">
        <v>0</v>
      </c>
      <c r="F1491" s="14">
        <v>0</v>
      </c>
      <c r="G1491" s="14">
        <v>0</v>
      </c>
      <c r="H1491" s="16">
        <v>0</v>
      </c>
      <c r="I1491" s="16">
        <v>0</v>
      </c>
      <c r="J1491" s="3" t="s">
        <v>5011</v>
      </c>
      <c r="K1491" s="16">
        <v>0</v>
      </c>
      <c r="L1491" s="16">
        <v>0</v>
      </c>
      <c r="M1491" s="16">
        <v>0</v>
      </c>
    </row>
    <row r="1492" spans="1:13" x14ac:dyDescent="0.25">
      <c r="A1492" s="2">
        <f t="shared" si="47"/>
        <v>1487</v>
      </c>
      <c r="B1492" s="2">
        <v>86906</v>
      </c>
      <c r="C1492" s="2" t="s">
        <v>3998</v>
      </c>
      <c r="D1492" s="14" t="s">
        <v>1484</v>
      </c>
      <c r="E1492" s="14">
        <v>37.319394899999999</v>
      </c>
      <c r="F1492" s="14">
        <v>0</v>
      </c>
      <c r="G1492" s="14">
        <v>37.319394899999999</v>
      </c>
      <c r="H1492" s="16">
        <v>6570.4486489999999</v>
      </c>
      <c r="I1492" s="16">
        <v>3476.6677531999999</v>
      </c>
      <c r="J1492" s="3" t="s">
        <v>5011</v>
      </c>
      <c r="K1492" s="16">
        <v>40228.036809437188</v>
      </c>
      <c r="L1492" s="16">
        <v>6088.5474774000004</v>
      </c>
      <c r="M1492" s="16">
        <f t="shared" si="46"/>
        <v>0.92665627610173262</v>
      </c>
    </row>
    <row r="1493" spans="1:13" x14ac:dyDescent="0.25">
      <c r="A1493" s="2">
        <f t="shared" si="47"/>
        <v>1488</v>
      </c>
      <c r="B1493" s="2">
        <v>86973</v>
      </c>
      <c r="C1493" s="2" t="s">
        <v>3999</v>
      </c>
      <c r="D1493" s="14" t="s">
        <v>1485</v>
      </c>
      <c r="E1493" s="14">
        <v>1.1353724000000001</v>
      </c>
      <c r="F1493" s="14">
        <v>0</v>
      </c>
      <c r="G1493" s="14">
        <v>1.1353724000000001</v>
      </c>
      <c r="H1493" s="16">
        <v>73.488204699999997</v>
      </c>
      <c r="I1493" s="16">
        <v>38.096218</v>
      </c>
      <c r="J1493" s="3" t="s">
        <v>5011</v>
      </c>
      <c r="K1493" s="16">
        <v>1100.7279250573999</v>
      </c>
      <c r="L1493" s="16">
        <v>132.3254082</v>
      </c>
      <c r="M1493" s="16">
        <f t="shared" si="46"/>
        <v>1.8006346561355036</v>
      </c>
    </row>
    <row r="1494" spans="1:13" x14ac:dyDescent="0.25">
      <c r="A1494" s="2">
        <f t="shared" si="47"/>
        <v>1489</v>
      </c>
      <c r="B1494" s="2">
        <v>87081</v>
      </c>
      <c r="C1494" s="2" t="s">
        <v>4000</v>
      </c>
      <c r="D1494" s="14" t="s">
        <v>1003</v>
      </c>
      <c r="E1494" s="14">
        <v>0.16631079999999998</v>
      </c>
      <c r="F1494" s="14">
        <v>0</v>
      </c>
      <c r="G1494" s="14">
        <v>0.16631079999999998</v>
      </c>
      <c r="H1494" s="16">
        <v>5.6631804000000008</v>
      </c>
      <c r="I1494" s="16">
        <v>4.5397168000000008</v>
      </c>
      <c r="J1494" s="3" t="s">
        <v>5011</v>
      </c>
      <c r="K1494" s="16">
        <v>195.15019316860003</v>
      </c>
      <c r="L1494" s="16">
        <v>23.5384131</v>
      </c>
      <c r="M1494" s="16">
        <f t="shared" si="46"/>
        <v>4.1563947177102101</v>
      </c>
    </row>
    <row r="1495" spans="1:13" x14ac:dyDescent="0.25">
      <c r="A1495" s="2">
        <f t="shared" si="47"/>
        <v>1490</v>
      </c>
      <c r="B1495" s="2">
        <v>87087</v>
      </c>
      <c r="C1495" s="2" t="s">
        <v>4001</v>
      </c>
      <c r="D1495" s="14" t="s">
        <v>1486</v>
      </c>
      <c r="E1495" s="14">
        <v>0.15781010000000001</v>
      </c>
      <c r="F1495" s="14">
        <v>0</v>
      </c>
      <c r="G1495" s="14">
        <v>0.15781010000000001</v>
      </c>
      <c r="H1495" s="16">
        <v>62.406879599999996</v>
      </c>
      <c r="I1495" s="16">
        <v>57.370227999999997</v>
      </c>
      <c r="J1495" s="3" t="s">
        <v>5011</v>
      </c>
      <c r="K1495" s="16">
        <v>249.86194645519996</v>
      </c>
      <c r="L1495" s="16">
        <v>79.8246848</v>
      </c>
      <c r="M1495" s="16">
        <f t="shared" si="46"/>
        <v>1.2791007227350621</v>
      </c>
    </row>
    <row r="1496" spans="1:13" x14ac:dyDescent="0.25">
      <c r="A1496" s="2">
        <f t="shared" si="47"/>
        <v>1491</v>
      </c>
      <c r="B1496" s="2">
        <v>87145</v>
      </c>
      <c r="C1496" s="2" t="s">
        <v>4002</v>
      </c>
      <c r="D1496" s="14" t="s">
        <v>1487</v>
      </c>
      <c r="E1496" s="14">
        <v>0.7232712</v>
      </c>
      <c r="F1496" s="14">
        <v>0</v>
      </c>
      <c r="G1496" s="14">
        <v>0.7232712</v>
      </c>
      <c r="H1496" s="16">
        <v>87.569251999999992</v>
      </c>
      <c r="I1496" s="16">
        <v>38.859198199999994</v>
      </c>
      <c r="J1496" s="3" t="s">
        <v>5011</v>
      </c>
      <c r="K1496" s="16">
        <v>879.48555725129995</v>
      </c>
      <c r="L1496" s="16">
        <v>127.11307529999999</v>
      </c>
      <c r="M1496" s="16">
        <f t="shared" si="46"/>
        <v>1.4515720118289923</v>
      </c>
    </row>
    <row r="1497" spans="1:13" x14ac:dyDescent="0.25">
      <c r="A1497" s="2">
        <f t="shared" si="47"/>
        <v>1492</v>
      </c>
      <c r="B1497" s="2">
        <v>87218</v>
      </c>
      <c r="C1497" s="2" t="s">
        <v>4003</v>
      </c>
      <c r="D1497" s="14" t="s">
        <v>1488</v>
      </c>
      <c r="E1497" s="14">
        <v>3.3728704999999999</v>
      </c>
      <c r="F1497" s="14">
        <v>0</v>
      </c>
      <c r="G1497" s="14">
        <v>3.3728704999999999</v>
      </c>
      <c r="H1497" s="16">
        <v>278.04609809999999</v>
      </c>
      <c r="I1497" s="16">
        <v>264.04609809999999</v>
      </c>
      <c r="J1497" s="3" t="s">
        <v>5011</v>
      </c>
      <c r="K1497" s="16">
        <v>3142.7035156819993</v>
      </c>
      <c r="L1497" s="16">
        <v>486.17830479999998</v>
      </c>
      <c r="M1497" s="16">
        <f t="shared" si="46"/>
        <v>1.7485528771029353</v>
      </c>
    </row>
    <row r="1498" spans="1:13" x14ac:dyDescent="0.25">
      <c r="A1498" s="2">
        <f t="shared" si="47"/>
        <v>1493</v>
      </c>
      <c r="B1498" s="2">
        <v>87332</v>
      </c>
      <c r="C1498" s="2" t="s">
        <v>4004</v>
      </c>
      <c r="D1498" s="14" t="s">
        <v>1489</v>
      </c>
      <c r="E1498" s="14">
        <v>0</v>
      </c>
      <c r="F1498" s="14">
        <v>0</v>
      </c>
      <c r="G1498" s="14">
        <v>0</v>
      </c>
      <c r="H1498" s="16">
        <v>0</v>
      </c>
      <c r="I1498" s="16">
        <v>0</v>
      </c>
      <c r="J1498" s="3" t="s">
        <v>5011</v>
      </c>
      <c r="K1498" s="16">
        <v>0</v>
      </c>
      <c r="L1498" s="16">
        <v>0</v>
      </c>
      <c r="M1498" s="16">
        <v>0</v>
      </c>
    </row>
    <row r="1499" spans="1:13" x14ac:dyDescent="0.25">
      <c r="A1499" s="2">
        <f t="shared" si="47"/>
        <v>1494</v>
      </c>
      <c r="B1499" s="2">
        <v>87401</v>
      </c>
      <c r="C1499" s="2" t="s">
        <v>4005</v>
      </c>
      <c r="D1499" s="14" t="s">
        <v>1490</v>
      </c>
      <c r="E1499" s="14">
        <v>0.11661399999999998</v>
      </c>
      <c r="F1499" s="14">
        <v>0</v>
      </c>
      <c r="G1499" s="14">
        <v>0.11661399999999998</v>
      </c>
      <c r="H1499" s="16">
        <v>0</v>
      </c>
      <c r="I1499" s="16">
        <v>-22.4048315</v>
      </c>
      <c r="J1499" s="3" t="s">
        <v>5011</v>
      </c>
      <c r="K1499" s="16">
        <v>122.5345302961</v>
      </c>
      <c r="L1499" s="16">
        <v>11.946898999999998</v>
      </c>
      <c r="M1499" s="16">
        <v>0</v>
      </c>
    </row>
    <row r="1500" spans="1:13" x14ac:dyDescent="0.25">
      <c r="A1500" s="2">
        <f t="shared" si="47"/>
        <v>1495</v>
      </c>
      <c r="B1500" s="2">
        <v>87527</v>
      </c>
      <c r="C1500" s="2" t="s">
        <v>4006</v>
      </c>
      <c r="D1500" s="14" t="s">
        <v>1491</v>
      </c>
      <c r="E1500" s="14">
        <v>0</v>
      </c>
      <c r="F1500" s="14">
        <v>0</v>
      </c>
      <c r="G1500" s="14">
        <v>0</v>
      </c>
      <c r="H1500" s="16">
        <v>0</v>
      </c>
      <c r="I1500" s="16">
        <v>0</v>
      </c>
      <c r="J1500" s="3" t="s">
        <v>5011</v>
      </c>
      <c r="K1500" s="16">
        <v>0</v>
      </c>
      <c r="L1500" s="16">
        <v>0</v>
      </c>
      <c r="M1500" s="16">
        <v>0</v>
      </c>
    </row>
    <row r="1501" spans="1:13" x14ac:dyDescent="0.25">
      <c r="A1501" s="2">
        <f t="shared" si="47"/>
        <v>1496</v>
      </c>
      <c r="B1501" s="2">
        <v>87538</v>
      </c>
      <c r="C1501" s="2" t="s">
        <v>4007</v>
      </c>
      <c r="D1501" s="14" t="s">
        <v>1492</v>
      </c>
      <c r="E1501" s="14">
        <v>3.9416432999999995</v>
      </c>
      <c r="F1501" s="14">
        <v>0</v>
      </c>
      <c r="G1501" s="14">
        <v>3.9416432999999995</v>
      </c>
      <c r="H1501" s="16">
        <v>136.6957003</v>
      </c>
      <c r="I1501" s="16">
        <v>113.35604889999999</v>
      </c>
      <c r="J1501" s="3" t="s">
        <v>5011</v>
      </c>
      <c r="K1501" s="16">
        <v>3403.2290852541992</v>
      </c>
      <c r="L1501" s="16">
        <v>416.67469619999997</v>
      </c>
      <c r="M1501" s="16">
        <f t="shared" si="46"/>
        <v>3.0481916789302259</v>
      </c>
    </row>
    <row r="1502" spans="1:13" x14ac:dyDescent="0.25">
      <c r="A1502" s="2">
        <f t="shared" si="47"/>
        <v>1497</v>
      </c>
      <c r="B1502" s="2">
        <v>87539</v>
      </c>
      <c r="C1502" s="2" t="s">
        <v>4008</v>
      </c>
      <c r="D1502" s="14" t="s">
        <v>1493</v>
      </c>
      <c r="E1502" s="14">
        <v>2.2975103999999997</v>
      </c>
      <c r="F1502" s="14">
        <v>0</v>
      </c>
      <c r="G1502" s="14">
        <v>2.2975103999999997</v>
      </c>
      <c r="H1502" s="16">
        <v>429.32212270000002</v>
      </c>
      <c r="I1502" s="16">
        <v>283.05709370000005</v>
      </c>
      <c r="J1502" s="3" t="s">
        <v>5011</v>
      </c>
      <c r="K1502" s="16">
        <v>3146.7630645812997</v>
      </c>
      <c r="L1502" s="16">
        <v>469.16171979999996</v>
      </c>
      <c r="M1502" s="16">
        <f t="shared" si="46"/>
        <v>1.0927965157011927</v>
      </c>
    </row>
    <row r="1503" spans="1:13" x14ac:dyDescent="0.25">
      <c r="A1503" s="2">
        <f t="shared" si="47"/>
        <v>1498</v>
      </c>
      <c r="B1503" s="2">
        <v>87541</v>
      </c>
      <c r="C1503" s="2" t="s">
        <v>4009</v>
      </c>
      <c r="D1503" s="14" t="s">
        <v>1494</v>
      </c>
      <c r="E1503" s="14">
        <v>0</v>
      </c>
      <c r="F1503" s="14">
        <v>0</v>
      </c>
      <c r="G1503" s="14">
        <v>0</v>
      </c>
      <c r="H1503" s="16">
        <v>0</v>
      </c>
      <c r="I1503" s="16">
        <v>0</v>
      </c>
      <c r="J1503" s="3" t="s">
        <v>5011</v>
      </c>
      <c r="K1503" s="16">
        <v>0</v>
      </c>
      <c r="L1503" s="16">
        <v>0</v>
      </c>
      <c r="M1503" s="16">
        <v>0</v>
      </c>
    </row>
    <row r="1504" spans="1:13" x14ac:dyDescent="0.25">
      <c r="A1504" s="2">
        <f t="shared" si="47"/>
        <v>1499</v>
      </c>
      <c r="B1504" s="2">
        <v>87554</v>
      </c>
      <c r="C1504" s="2" t="s">
        <v>4010</v>
      </c>
      <c r="D1504" s="14" t="s">
        <v>1495</v>
      </c>
      <c r="E1504" s="14">
        <v>15.560043799999999</v>
      </c>
      <c r="F1504" s="14">
        <v>0</v>
      </c>
      <c r="G1504" s="14">
        <v>15.560043799999999</v>
      </c>
      <c r="H1504" s="16">
        <v>1490.9410290000001</v>
      </c>
      <c r="I1504" s="16">
        <v>1247.198042</v>
      </c>
      <c r="J1504" s="3" t="s">
        <v>5011</v>
      </c>
      <c r="K1504" s="16">
        <v>16751.039079263803</v>
      </c>
      <c r="L1504" s="16">
        <v>2652.4246251</v>
      </c>
      <c r="M1504" s="16">
        <f t="shared" si="46"/>
        <v>1.7790271871980254</v>
      </c>
    </row>
    <row r="1505" spans="1:13" x14ac:dyDescent="0.25">
      <c r="A1505" s="2">
        <f t="shared" si="47"/>
        <v>1500</v>
      </c>
      <c r="B1505" s="2">
        <v>87732</v>
      </c>
      <c r="C1505" s="2" t="s">
        <v>4011</v>
      </c>
      <c r="D1505" s="14" t="s">
        <v>1496</v>
      </c>
      <c r="E1505" s="14">
        <v>1.6531711000000004</v>
      </c>
      <c r="F1505" s="14">
        <v>0</v>
      </c>
      <c r="G1505" s="14">
        <v>1.6531711000000004</v>
      </c>
      <c r="H1505" s="16">
        <v>43.041389199999998</v>
      </c>
      <c r="I1505" s="16">
        <v>29.575947000000003</v>
      </c>
      <c r="J1505" s="3" t="s">
        <v>5011</v>
      </c>
      <c r="K1505" s="16">
        <v>1524.3708618284998</v>
      </c>
      <c r="L1505" s="16">
        <v>168.62816409999999</v>
      </c>
      <c r="M1505" s="16">
        <f t="shared" si="46"/>
        <v>3.9178141606079944</v>
      </c>
    </row>
    <row r="1506" spans="1:13" x14ac:dyDescent="0.25">
      <c r="A1506" s="2">
        <f t="shared" si="47"/>
        <v>1501</v>
      </c>
      <c r="B1506" s="2">
        <v>87751</v>
      </c>
      <c r="C1506" s="2" t="s">
        <v>4012</v>
      </c>
      <c r="D1506" s="14" t="s">
        <v>1497</v>
      </c>
      <c r="E1506" s="14">
        <v>0</v>
      </c>
      <c r="F1506" s="14">
        <v>0</v>
      </c>
      <c r="G1506" s="14">
        <v>0</v>
      </c>
      <c r="H1506" s="16">
        <v>0</v>
      </c>
      <c r="I1506" s="16">
        <v>0</v>
      </c>
      <c r="J1506" s="3" t="s">
        <v>5011</v>
      </c>
      <c r="K1506" s="16">
        <v>0</v>
      </c>
      <c r="L1506" s="16">
        <v>0</v>
      </c>
      <c r="M1506" s="16">
        <v>0</v>
      </c>
    </row>
    <row r="1507" spans="1:13" x14ac:dyDescent="0.25">
      <c r="A1507" s="2">
        <f t="shared" si="47"/>
        <v>1502</v>
      </c>
      <c r="B1507" s="2">
        <v>87755</v>
      </c>
      <c r="C1507" s="2" t="s">
        <v>4013</v>
      </c>
      <c r="D1507" s="14" t="s">
        <v>1498</v>
      </c>
      <c r="E1507" s="14">
        <v>0</v>
      </c>
      <c r="F1507" s="14">
        <v>0</v>
      </c>
      <c r="G1507" s="14">
        <v>0</v>
      </c>
      <c r="H1507" s="16">
        <v>0</v>
      </c>
      <c r="I1507" s="16">
        <v>0</v>
      </c>
      <c r="J1507" s="3" t="s">
        <v>5011</v>
      </c>
      <c r="K1507" s="16">
        <v>0</v>
      </c>
      <c r="L1507" s="16">
        <v>0</v>
      </c>
      <c r="M1507" s="16">
        <v>0</v>
      </c>
    </row>
    <row r="1508" spans="1:13" x14ac:dyDescent="0.25">
      <c r="A1508" s="2">
        <f t="shared" si="47"/>
        <v>1503</v>
      </c>
      <c r="B1508" s="2">
        <v>87761</v>
      </c>
      <c r="C1508" s="2" t="s">
        <v>4014</v>
      </c>
      <c r="D1508" s="14" t="s">
        <v>1499</v>
      </c>
      <c r="E1508" s="14">
        <v>0.85324330000000004</v>
      </c>
      <c r="F1508" s="14">
        <v>0</v>
      </c>
      <c r="G1508" s="14">
        <v>0.85324330000000004</v>
      </c>
      <c r="H1508" s="16">
        <v>236.80942969999998</v>
      </c>
      <c r="I1508" s="16">
        <v>188.05785939999998</v>
      </c>
      <c r="J1508" s="3" t="s">
        <v>5011</v>
      </c>
      <c r="K1508" s="16">
        <v>1168.625439681</v>
      </c>
      <c r="L1508" s="16">
        <v>267.10727350000002</v>
      </c>
      <c r="M1508" s="16">
        <f t="shared" si="46"/>
        <v>1.1279418806860124</v>
      </c>
    </row>
    <row r="1509" spans="1:13" x14ac:dyDescent="0.25">
      <c r="A1509" s="2">
        <f t="shared" si="47"/>
        <v>1504</v>
      </c>
      <c r="B1509" s="2">
        <v>88114</v>
      </c>
      <c r="C1509" s="2" t="s">
        <v>4015</v>
      </c>
      <c r="D1509" s="14" t="s">
        <v>1500</v>
      </c>
      <c r="E1509" s="14">
        <v>0.54588280000000011</v>
      </c>
      <c r="F1509" s="14">
        <v>0</v>
      </c>
      <c r="G1509" s="14">
        <v>0.54588280000000011</v>
      </c>
      <c r="H1509" s="16">
        <v>39.716015400000003</v>
      </c>
      <c r="I1509" s="16">
        <v>39.179862900000003</v>
      </c>
      <c r="J1509" s="3" t="s">
        <v>5011</v>
      </c>
      <c r="K1509" s="16">
        <v>630.05805387689998</v>
      </c>
      <c r="L1509" s="16">
        <v>87.75669640000001</v>
      </c>
      <c r="M1509" s="16">
        <f t="shared" si="46"/>
        <v>2.2096047530488168</v>
      </c>
    </row>
    <row r="1510" spans="1:13" x14ac:dyDescent="0.25">
      <c r="A1510" s="2">
        <f t="shared" si="47"/>
        <v>1505</v>
      </c>
      <c r="B1510" s="2">
        <v>88200</v>
      </c>
      <c r="C1510" s="2" t="s">
        <v>4016</v>
      </c>
      <c r="D1510" s="14" t="s">
        <v>1501</v>
      </c>
      <c r="E1510" s="14">
        <v>2.9213355999999999</v>
      </c>
      <c r="F1510" s="14">
        <v>0</v>
      </c>
      <c r="G1510" s="14">
        <v>2.9213355999999999</v>
      </c>
      <c r="H1510" s="16">
        <v>456.4756089</v>
      </c>
      <c r="I1510" s="16">
        <v>367.48861480000005</v>
      </c>
      <c r="J1510" s="3" t="s">
        <v>5011</v>
      </c>
      <c r="K1510" s="16">
        <v>3257.8564712069001</v>
      </c>
      <c r="L1510" s="16">
        <v>586.71914530000004</v>
      </c>
      <c r="M1510" s="16">
        <f t="shared" si="46"/>
        <v>1.2853241966506308</v>
      </c>
    </row>
    <row r="1511" spans="1:13" x14ac:dyDescent="0.25">
      <c r="A1511" s="2">
        <f t="shared" si="47"/>
        <v>1506</v>
      </c>
      <c r="B1511" s="2">
        <v>88227</v>
      </c>
      <c r="C1511" s="2" t="s">
        <v>4017</v>
      </c>
      <c r="D1511" s="14" t="s">
        <v>1502</v>
      </c>
      <c r="E1511" s="14">
        <v>6.5157999999999995E-3</v>
      </c>
      <c r="F1511" s="14">
        <v>0</v>
      </c>
      <c r="G1511" s="14">
        <v>6.5157999999999995E-3</v>
      </c>
      <c r="H1511" s="16">
        <v>10.099494999999999</v>
      </c>
      <c r="I1511" s="16">
        <v>-1.1761627000000001</v>
      </c>
      <c r="J1511" s="3" t="s">
        <v>5011</v>
      </c>
      <c r="K1511" s="16">
        <v>10.665736084899999</v>
      </c>
      <c r="L1511" s="16">
        <v>9.7998500000000002E-2</v>
      </c>
      <c r="M1511" s="16">
        <f t="shared" si="46"/>
        <v>9.7033069475255945E-3</v>
      </c>
    </row>
    <row r="1512" spans="1:13" x14ac:dyDescent="0.25">
      <c r="A1512" s="2">
        <f t="shared" si="47"/>
        <v>1507</v>
      </c>
      <c r="B1512" s="2">
        <v>88254</v>
      </c>
      <c r="C1512" s="2" t="s">
        <v>4018</v>
      </c>
      <c r="D1512" s="14" t="s">
        <v>1503</v>
      </c>
      <c r="E1512" s="14">
        <v>14.706981400000002</v>
      </c>
      <c r="F1512" s="14">
        <v>0</v>
      </c>
      <c r="G1512" s="14">
        <v>14.706981400000002</v>
      </c>
      <c r="H1512" s="16">
        <v>473.16701420000004</v>
      </c>
      <c r="I1512" s="16">
        <v>311.37253670000001</v>
      </c>
      <c r="J1512" s="3" t="s">
        <v>5011</v>
      </c>
      <c r="K1512" s="16">
        <v>13127.868190749203</v>
      </c>
      <c r="L1512" s="16">
        <v>1521.3649356000001</v>
      </c>
      <c r="M1512" s="16">
        <f t="shared" si="46"/>
        <v>3.2152810528693019</v>
      </c>
    </row>
    <row r="1513" spans="1:13" x14ac:dyDescent="0.25">
      <c r="A1513" s="2">
        <f t="shared" si="47"/>
        <v>1508</v>
      </c>
      <c r="B1513" s="2">
        <v>88329</v>
      </c>
      <c r="C1513" s="2" t="s">
        <v>4019</v>
      </c>
      <c r="D1513" s="14" t="s">
        <v>1504</v>
      </c>
      <c r="E1513" s="14">
        <v>0</v>
      </c>
      <c r="F1513" s="14">
        <v>0</v>
      </c>
      <c r="G1513" s="14">
        <v>0</v>
      </c>
      <c r="H1513" s="16">
        <v>0</v>
      </c>
      <c r="I1513" s="16">
        <v>0</v>
      </c>
      <c r="J1513" s="3" t="s">
        <v>5011</v>
      </c>
      <c r="K1513" s="16">
        <v>0</v>
      </c>
      <c r="L1513" s="16">
        <v>0</v>
      </c>
      <c r="M1513" s="16">
        <v>0</v>
      </c>
    </row>
    <row r="1514" spans="1:13" x14ac:dyDescent="0.25">
      <c r="A1514" s="2">
        <f t="shared" si="47"/>
        <v>1509</v>
      </c>
      <c r="B1514" s="2">
        <v>88450</v>
      </c>
      <c r="C1514" s="2" t="s">
        <v>4020</v>
      </c>
      <c r="D1514" s="14" t="s">
        <v>1505</v>
      </c>
      <c r="E1514" s="14">
        <v>0.27662789999999998</v>
      </c>
      <c r="F1514" s="14">
        <v>0</v>
      </c>
      <c r="G1514" s="14">
        <v>0.27662789999999998</v>
      </c>
      <c r="H1514" s="16">
        <v>28.778561</v>
      </c>
      <c r="I1514" s="16">
        <v>28.778561</v>
      </c>
      <c r="J1514" s="3" t="s">
        <v>5011</v>
      </c>
      <c r="K1514" s="16">
        <v>234.0815766252</v>
      </c>
      <c r="L1514" s="16">
        <v>41.511189900000005</v>
      </c>
      <c r="M1514" s="16">
        <f t="shared" si="46"/>
        <v>1.4424345226990329</v>
      </c>
    </row>
    <row r="1515" spans="1:13" x14ac:dyDescent="0.25">
      <c r="A1515" s="2">
        <f t="shared" si="47"/>
        <v>1510</v>
      </c>
      <c r="B1515" s="2">
        <v>88627</v>
      </c>
      <c r="C1515" s="2" t="s">
        <v>4021</v>
      </c>
      <c r="D1515" s="14" t="s">
        <v>1506</v>
      </c>
      <c r="E1515" s="14">
        <v>0</v>
      </c>
      <c r="F1515" s="14">
        <v>0</v>
      </c>
      <c r="G1515" s="14">
        <v>0</v>
      </c>
      <c r="H1515" s="16">
        <v>0</v>
      </c>
      <c r="I1515" s="16">
        <v>0</v>
      </c>
      <c r="J1515" s="3" t="s">
        <v>5011</v>
      </c>
      <c r="K1515" s="16">
        <v>0</v>
      </c>
      <c r="L1515" s="16">
        <v>0</v>
      </c>
      <c r="M1515" s="16">
        <v>0</v>
      </c>
    </row>
    <row r="1516" spans="1:13" x14ac:dyDescent="0.25">
      <c r="A1516" s="2">
        <f t="shared" si="47"/>
        <v>1511</v>
      </c>
      <c r="B1516" s="2">
        <v>88692</v>
      </c>
      <c r="C1516" s="2" t="s">
        <v>4022</v>
      </c>
      <c r="D1516" s="14" t="s">
        <v>1507</v>
      </c>
      <c r="E1516" s="14">
        <v>0</v>
      </c>
      <c r="F1516" s="14">
        <v>0</v>
      </c>
      <c r="G1516" s="14">
        <v>0</v>
      </c>
      <c r="H1516" s="16">
        <v>7.4996400000000005E-2</v>
      </c>
      <c r="I1516" s="16">
        <v>7.4996400000000005E-2</v>
      </c>
      <c r="J1516" s="3" t="s">
        <v>5011</v>
      </c>
      <c r="K1516" s="16">
        <v>5.2356151994999998</v>
      </c>
      <c r="L1516" s="16">
        <v>0.59534849999999995</v>
      </c>
      <c r="M1516" s="16">
        <f t="shared" si="46"/>
        <v>7.9383610413299825</v>
      </c>
    </row>
    <row r="1517" spans="1:13" x14ac:dyDescent="0.25">
      <c r="A1517" s="2">
        <f t="shared" si="47"/>
        <v>1512</v>
      </c>
      <c r="B1517" s="2">
        <v>88704</v>
      </c>
      <c r="C1517" s="2" t="s">
        <v>4023</v>
      </c>
      <c r="D1517" s="14" t="s">
        <v>1508</v>
      </c>
      <c r="E1517" s="14">
        <v>0</v>
      </c>
      <c r="F1517" s="14">
        <v>0</v>
      </c>
      <c r="G1517" s="14">
        <v>0</v>
      </c>
      <c r="H1517" s="16">
        <v>0</v>
      </c>
      <c r="I1517" s="16">
        <v>0</v>
      </c>
      <c r="J1517" s="3" t="s">
        <v>5011</v>
      </c>
      <c r="K1517" s="16">
        <v>0</v>
      </c>
      <c r="L1517" s="16">
        <v>0</v>
      </c>
      <c r="M1517" s="16">
        <v>0</v>
      </c>
    </row>
    <row r="1518" spans="1:13" x14ac:dyDescent="0.25">
      <c r="A1518" s="2">
        <f t="shared" si="47"/>
        <v>1513</v>
      </c>
      <c r="B1518" s="2">
        <v>88705</v>
      </c>
      <c r="C1518" s="2" t="s">
        <v>4024</v>
      </c>
      <c r="D1518" s="14" t="s">
        <v>1509</v>
      </c>
      <c r="E1518" s="14">
        <v>0</v>
      </c>
      <c r="F1518" s="14">
        <v>0</v>
      </c>
      <c r="G1518" s="14">
        <v>0</v>
      </c>
      <c r="H1518" s="16">
        <v>0</v>
      </c>
      <c r="I1518" s="16">
        <v>0</v>
      </c>
      <c r="J1518" s="3" t="s">
        <v>5011</v>
      </c>
      <c r="K1518" s="16">
        <v>0</v>
      </c>
      <c r="L1518" s="16">
        <v>0</v>
      </c>
      <c r="M1518" s="16">
        <v>0</v>
      </c>
    </row>
    <row r="1519" spans="1:13" x14ac:dyDescent="0.25">
      <c r="A1519" s="2">
        <f t="shared" si="47"/>
        <v>1514</v>
      </c>
      <c r="B1519" s="2">
        <v>88737</v>
      </c>
      <c r="C1519" s="2" t="s">
        <v>4025</v>
      </c>
      <c r="D1519" s="14" t="s">
        <v>1510</v>
      </c>
      <c r="E1519" s="14">
        <v>0</v>
      </c>
      <c r="F1519" s="14">
        <v>0</v>
      </c>
      <c r="G1519" s="14">
        <v>0</v>
      </c>
      <c r="H1519" s="16">
        <v>0</v>
      </c>
      <c r="I1519" s="16">
        <v>0</v>
      </c>
      <c r="J1519" s="3" t="s">
        <v>5011</v>
      </c>
      <c r="K1519" s="16">
        <v>0</v>
      </c>
      <c r="L1519" s="16">
        <v>0</v>
      </c>
      <c r="M1519" s="16">
        <v>0</v>
      </c>
    </row>
    <row r="1520" spans="1:13" x14ac:dyDescent="0.25">
      <c r="A1520" s="2">
        <f t="shared" si="47"/>
        <v>1515</v>
      </c>
      <c r="B1520" s="2">
        <v>89057</v>
      </c>
      <c r="C1520" s="2" t="s">
        <v>4026</v>
      </c>
      <c r="D1520" s="14" t="s">
        <v>1511</v>
      </c>
      <c r="E1520" s="14">
        <v>5.4893295999999996</v>
      </c>
      <c r="F1520" s="14">
        <v>0</v>
      </c>
      <c r="G1520" s="14">
        <v>5.4893295999999996</v>
      </c>
      <c r="H1520" s="16">
        <v>1007.6432383</v>
      </c>
      <c r="I1520" s="16">
        <v>722.9941225</v>
      </c>
      <c r="J1520" s="3" t="s">
        <v>5011</v>
      </c>
      <c r="K1520" s="16">
        <v>5679.6133130720009</v>
      </c>
      <c r="L1520" s="16">
        <v>977.70962469999995</v>
      </c>
      <c r="M1520" s="16">
        <f t="shared" si="46"/>
        <v>0.97029344071171342</v>
      </c>
    </row>
    <row r="1521" spans="1:13" x14ac:dyDescent="0.25">
      <c r="A1521" s="2">
        <f t="shared" si="47"/>
        <v>1516</v>
      </c>
      <c r="B1521" s="2">
        <v>89068</v>
      </c>
      <c r="C1521" s="2" t="s">
        <v>4027</v>
      </c>
      <c r="D1521" s="14" t="s">
        <v>1512</v>
      </c>
      <c r="E1521" s="14">
        <v>4.0137999999999997E-3</v>
      </c>
      <c r="F1521" s="14">
        <v>0</v>
      </c>
      <c r="G1521" s="14">
        <v>4.0137999999999997E-3</v>
      </c>
      <c r="H1521" s="16">
        <v>3.9798009999999997</v>
      </c>
      <c r="I1521" s="16">
        <v>3.9798009999999997</v>
      </c>
      <c r="J1521" s="3" t="s">
        <v>5011</v>
      </c>
      <c r="K1521" s="16">
        <v>34.347326482599996</v>
      </c>
      <c r="L1521" s="16">
        <v>6.4361552</v>
      </c>
      <c r="M1521" s="16">
        <f t="shared" si="46"/>
        <v>1.6172052823746716</v>
      </c>
    </row>
    <row r="1522" spans="1:13" x14ac:dyDescent="0.25">
      <c r="A1522" s="2">
        <f t="shared" si="47"/>
        <v>1517</v>
      </c>
      <c r="B1522" s="2">
        <v>89264</v>
      </c>
      <c r="C1522" s="2" t="s">
        <v>4028</v>
      </c>
      <c r="D1522" s="14" t="s">
        <v>1513</v>
      </c>
      <c r="E1522" s="14">
        <v>0</v>
      </c>
      <c r="F1522" s="14">
        <v>0</v>
      </c>
      <c r="G1522" s="14">
        <v>0</v>
      </c>
      <c r="H1522" s="16">
        <v>0</v>
      </c>
      <c r="I1522" s="16">
        <v>0</v>
      </c>
      <c r="J1522" s="3" t="s">
        <v>5011</v>
      </c>
      <c r="K1522" s="16">
        <v>0</v>
      </c>
      <c r="L1522" s="16">
        <v>0</v>
      </c>
      <c r="M1522" s="16">
        <v>0</v>
      </c>
    </row>
    <row r="1523" spans="1:13" x14ac:dyDescent="0.25">
      <c r="A1523" s="2">
        <f t="shared" si="47"/>
        <v>1518</v>
      </c>
      <c r="B1523" s="2">
        <v>89299</v>
      </c>
      <c r="C1523" s="2" t="s">
        <v>4029</v>
      </c>
      <c r="D1523" s="14" t="s">
        <v>1514</v>
      </c>
      <c r="E1523" s="14">
        <v>0</v>
      </c>
      <c r="F1523" s="14">
        <v>0</v>
      </c>
      <c r="G1523" s="14">
        <v>0</v>
      </c>
      <c r="H1523" s="16">
        <v>0</v>
      </c>
      <c r="I1523" s="16">
        <v>0</v>
      </c>
      <c r="J1523" s="3" t="s">
        <v>5011</v>
      </c>
      <c r="K1523" s="16">
        <v>0</v>
      </c>
      <c r="L1523" s="16">
        <v>0</v>
      </c>
      <c r="M1523" s="16">
        <v>0</v>
      </c>
    </row>
    <row r="1524" spans="1:13" x14ac:dyDescent="0.25">
      <c r="A1524" s="2">
        <f t="shared" si="47"/>
        <v>1519</v>
      </c>
      <c r="B1524" s="2">
        <v>89339</v>
      </c>
      <c r="C1524" s="2" t="s">
        <v>4030</v>
      </c>
      <c r="D1524" s="14" t="s">
        <v>1515</v>
      </c>
      <c r="E1524" s="14">
        <v>0</v>
      </c>
      <c r="F1524" s="14">
        <v>0</v>
      </c>
      <c r="G1524" s="14">
        <v>0</v>
      </c>
      <c r="H1524" s="16">
        <v>0</v>
      </c>
      <c r="I1524" s="16">
        <v>0</v>
      </c>
      <c r="J1524" s="3" t="s">
        <v>5011</v>
      </c>
      <c r="K1524" s="16">
        <v>0</v>
      </c>
      <c r="L1524" s="16">
        <v>0</v>
      </c>
      <c r="M1524" s="16">
        <v>0</v>
      </c>
    </row>
    <row r="1525" spans="1:13" x14ac:dyDescent="0.25">
      <c r="A1525" s="2">
        <f t="shared" si="47"/>
        <v>1520</v>
      </c>
      <c r="B1525" s="2">
        <v>89368</v>
      </c>
      <c r="C1525" s="2" t="s">
        <v>4031</v>
      </c>
      <c r="D1525" s="14" t="s">
        <v>1516</v>
      </c>
      <c r="E1525" s="14">
        <v>0</v>
      </c>
      <c r="F1525" s="14">
        <v>0</v>
      </c>
      <c r="G1525" s="14">
        <v>0</v>
      </c>
      <c r="H1525" s="16">
        <v>0</v>
      </c>
      <c r="I1525" s="16">
        <v>0</v>
      </c>
      <c r="J1525" s="3" t="s">
        <v>5011</v>
      </c>
      <c r="K1525" s="16">
        <v>0</v>
      </c>
      <c r="L1525" s="16">
        <v>0</v>
      </c>
      <c r="M1525" s="16">
        <v>0</v>
      </c>
    </row>
    <row r="1526" spans="1:13" x14ac:dyDescent="0.25">
      <c r="A1526" s="2">
        <f t="shared" si="47"/>
        <v>1521</v>
      </c>
      <c r="B1526" s="2">
        <v>89445</v>
      </c>
      <c r="C1526" s="2" t="s">
        <v>4032</v>
      </c>
      <c r="D1526" s="14" t="s">
        <v>1517</v>
      </c>
      <c r="E1526" s="14">
        <v>0</v>
      </c>
      <c r="F1526" s="14">
        <v>0</v>
      </c>
      <c r="G1526" s="14">
        <v>0</v>
      </c>
      <c r="H1526" s="16">
        <v>0</v>
      </c>
      <c r="I1526" s="16">
        <v>0</v>
      </c>
      <c r="J1526" s="3" t="s">
        <v>5011</v>
      </c>
      <c r="K1526" s="16">
        <v>0</v>
      </c>
      <c r="L1526" s="16">
        <v>0</v>
      </c>
      <c r="M1526" s="16">
        <v>0</v>
      </c>
    </row>
    <row r="1527" spans="1:13" x14ac:dyDescent="0.25">
      <c r="A1527" s="2">
        <f t="shared" si="47"/>
        <v>1522</v>
      </c>
      <c r="B1527" s="2">
        <v>89485</v>
      </c>
      <c r="C1527" s="2" t="s">
        <v>4033</v>
      </c>
      <c r="D1527" s="14" t="s">
        <v>1518</v>
      </c>
      <c r="E1527" s="14">
        <v>0</v>
      </c>
      <c r="F1527" s="14">
        <v>0</v>
      </c>
      <c r="G1527" s="14">
        <v>0</v>
      </c>
      <c r="H1527" s="16">
        <v>0</v>
      </c>
      <c r="I1527" s="16">
        <v>0</v>
      </c>
      <c r="J1527" s="3" t="s">
        <v>5011</v>
      </c>
      <c r="K1527" s="16">
        <v>0</v>
      </c>
      <c r="L1527" s="16">
        <v>0</v>
      </c>
      <c r="M1527" s="16">
        <v>0</v>
      </c>
    </row>
    <row r="1528" spans="1:13" x14ac:dyDescent="0.25">
      <c r="A1528" s="2">
        <f t="shared" si="47"/>
        <v>1523</v>
      </c>
      <c r="B1528" s="2">
        <v>89611</v>
      </c>
      <c r="C1528" s="2" t="s">
        <v>4034</v>
      </c>
      <c r="D1528" s="14" t="s">
        <v>1519</v>
      </c>
      <c r="E1528" s="14">
        <v>0</v>
      </c>
      <c r="F1528" s="14">
        <v>0</v>
      </c>
      <c r="G1528" s="14">
        <v>0</v>
      </c>
      <c r="H1528" s="16">
        <v>0.159992</v>
      </c>
      <c r="I1528" s="16">
        <v>-3.5975499999999994E-2</v>
      </c>
      <c r="J1528" s="3" t="s">
        <v>5011</v>
      </c>
      <c r="K1528" s="16">
        <v>8.2586938409999995</v>
      </c>
      <c r="L1528" s="16">
        <v>0.72132380000000007</v>
      </c>
      <c r="M1528" s="16">
        <f t="shared" si="46"/>
        <v>4.5084991749587484</v>
      </c>
    </row>
    <row r="1529" spans="1:13" x14ac:dyDescent="0.25">
      <c r="A1529" s="2">
        <f t="shared" si="47"/>
        <v>1524</v>
      </c>
      <c r="B1529" s="2">
        <v>89738</v>
      </c>
      <c r="C1529" s="2" t="s">
        <v>4035</v>
      </c>
      <c r="D1529" s="14" t="s">
        <v>1520</v>
      </c>
      <c r="E1529" s="14">
        <v>11.004208900000002</v>
      </c>
      <c r="F1529" s="14">
        <v>0</v>
      </c>
      <c r="G1529" s="14">
        <v>11.004208900000002</v>
      </c>
      <c r="H1529" s="16">
        <v>321.32275720000001</v>
      </c>
      <c r="I1529" s="16">
        <v>110.58611189999998</v>
      </c>
      <c r="J1529" s="3" t="s">
        <v>5011</v>
      </c>
      <c r="K1529" s="16">
        <v>10372.722541357203</v>
      </c>
      <c r="L1529" s="16">
        <v>1167.4810464</v>
      </c>
      <c r="M1529" s="16">
        <f t="shared" si="46"/>
        <v>3.6333593567209683</v>
      </c>
    </row>
    <row r="1530" spans="1:13" x14ac:dyDescent="0.25">
      <c r="A1530" s="2">
        <f t="shared" si="47"/>
        <v>1525</v>
      </c>
      <c r="B1530" s="2">
        <v>89827</v>
      </c>
      <c r="C1530" s="2" t="s">
        <v>4036</v>
      </c>
      <c r="D1530" s="14" t="s">
        <v>1521</v>
      </c>
      <c r="E1530" s="14">
        <v>7.3340100000000005E-2</v>
      </c>
      <c r="F1530" s="14">
        <v>0</v>
      </c>
      <c r="G1530" s="14">
        <v>7.3340100000000005E-2</v>
      </c>
      <c r="H1530" s="16">
        <v>35.748212500000001</v>
      </c>
      <c r="I1530" s="16">
        <v>35.748212500000001</v>
      </c>
      <c r="J1530" s="3" t="s">
        <v>5011</v>
      </c>
      <c r="K1530" s="16">
        <v>120.5785522514</v>
      </c>
      <c r="L1530" s="16">
        <v>40.233831099999996</v>
      </c>
      <c r="M1530" s="16">
        <f t="shared" si="46"/>
        <v>1.1254781228571917</v>
      </c>
    </row>
    <row r="1531" spans="1:13" x14ac:dyDescent="0.25">
      <c r="A1531" s="2">
        <f t="shared" si="47"/>
        <v>1526</v>
      </c>
      <c r="B1531" s="2">
        <v>90061</v>
      </c>
      <c r="C1531" s="2" t="s">
        <v>4037</v>
      </c>
      <c r="D1531" s="14" t="s">
        <v>1522</v>
      </c>
      <c r="E1531" s="14">
        <v>0</v>
      </c>
      <c r="F1531" s="14">
        <v>0</v>
      </c>
      <c r="G1531" s="14">
        <v>0</v>
      </c>
      <c r="H1531" s="16">
        <v>0</v>
      </c>
      <c r="I1531" s="16">
        <v>0</v>
      </c>
      <c r="J1531" s="3" t="s">
        <v>5011</v>
      </c>
      <c r="K1531" s="16">
        <v>0</v>
      </c>
      <c r="L1531" s="16">
        <v>0</v>
      </c>
      <c r="M1531" s="16">
        <v>0</v>
      </c>
    </row>
    <row r="1532" spans="1:13" x14ac:dyDescent="0.25">
      <c r="A1532" s="2">
        <f t="shared" si="47"/>
        <v>1527</v>
      </c>
      <c r="B1532" s="2">
        <v>90158</v>
      </c>
      <c r="C1532" s="2" t="s">
        <v>4038</v>
      </c>
      <c r="D1532" s="14" t="s">
        <v>1523</v>
      </c>
      <c r="E1532" s="14">
        <v>0</v>
      </c>
      <c r="F1532" s="14">
        <v>0</v>
      </c>
      <c r="G1532" s="14">
        <v>0</v>
      </c>
      <c r="H1532" s="16">
        <v>0</v>
      </c>
      <c r="I1532" s="16">
        <v>0</v>
      </c>
      <c r="J1532" s="3" t="s">
        <v>5011</v>
      </c>
      <c r="K1532" s="16">
        <v>0</v>
      </c>
      <c r="L1532" s="16">
        <v>0</v>
      </c>
      <c r="M1532" s="16">
        <v>0</v>
      </c>
    </row>
    <row r="1533" spans="1:13" x14ac:dyDescent="0.25">
      <c r="A1533" s="2">
        <f t="shared" si="47"/>
        <v>1528</v>
      </c>
      <c r="B1533" s="2">
        <v>90164</v>
      </c>
      <c r="C1533" s="2" t="s">
        <v>4039</v>
      </c>
      <c r="D1533" s="14" t="s">
        <v>1524</v>
      </c>
      <c r="E1533" s="14">
        <v>4.0159399999999996</v>
      </c>
      <c r="F1533" s="14">
        <v>0</v>
      </c>
      <c r="G1533" s="14">
        <v>4.0159399999999996</v>
      </c>
      <c r="H1533" s="16">
        <v>416.17269549999997</v>
      </c>
      <c r="I1533" s="16">
        <v>269.41761439999999</v>
      </c>
      <c r="J1533" s="3" t="s">
        <v>5011</v>
      </c>
      <c r="K1533" s="16">
        <v>4304.5536955379002</v>
      </c>
      <c r="L1533" s="16">
        <v>576.1324674</v>
      </c>
      <c r="M1533" s="16">
        <f t="shared" si="46"/>
        <v>1.3843591221375551</v>
      </c>
    </row>
    <row r="1534" spans="1:13" x14ac:dyDescent="0.25">
      <c r="A1534" s="2">
        <f t="shared" si="47"/>
        <v>1529</v>
      </c>
      <c r="B1534" s="2">
        <v>90345</v>
      </c>
      <c r="C1534" s="2" t="s">
        <v>4040</v>
      </c>
      <c r="D1534" s="14" t="s">
        <v>1525</v>
      </c>
      <c r="E1534" s="14">
        <v>9.7749910000000018</v>
      </c>
      <c r="F1534" s="14">
        <v>0</v>
      </c>
      <c r="G1534" s="14">
        <v>9.7749910000000018</v>
      </c>
      <c r="H1534" s="16">
        <v>1200.7726478</v>
      </c>
      <c r="I1534" s="16">
        <v>1065.5654302</v>
      </c>
      <c r="J1534" s="3" t="s">
        <v>5011</v>
      </c>
      <c r="K1534" s="16">
        <v>10512.199770973104</v>
      </c>
      <c r="L1534" s="16">
        <v>1719.6330866000001</v>
      </c>
      <c r="M1534" s="16">
        <f t="shared" si="46"/>
        <v>1.432105477877625</v>
      </c>
    </row>
    <row r="1535" spans="1:13" x14ac:dyDescent="0.25">
      <c r="A1535" s="2">
        <f t="shared" si="47"/>
        <v>1530</v>
      </c>
      <c r="B1535" s="2">
        <v>90446</v>
      </c>
      <c r="C1535" s="2" t="s">
        <v>4041</v>
      </c>
      <c r="D1535" s="14" t="s">
        <v>1526</v>
      </c>
      <c r="E1535" s="14">
        <v>6.4920124000000001</v>
      </c>
      <c r="F1535" s="14">
        <v>0</v>
      </c>
      <c r="G1535" s="14">
        <v>6.4920124000000001</v>
      </c>
      <c r="H1535" s="16">
        <v>94.668742300000005</v>
      </c>
      <c r="I1535" s="16">
        <v>66.581771400000008</v>
      </c>
      <c r="J1535" s="3" t="s">
        <v>5011</v>
      </c>
      <c r="K1535" s="16">
        <v>4960.2789758928011</v>
      </c>
      <c r="L1535" s="16">
        <v>542.57342829999993</v>
      </c>
      <c r="M1535" s="16">
        <f t="shared" si="46"/>
        <v>5.7312837914399957</v>
      </c>
    </row>
    <row r="1536" spans="1:13" x14ac:dyDescent="0.25">
      <c r="A1536" s="2">
        <f t="shared" si="47"/>
        <v>1531</v>
      </c>
      <c r="B1536" s="2">
        <v>90535</v>
      </c>
      <c r="C1536" s="2" t="s">
        <v>4042</v>
      </c>
      <c r="D1536" s="14" t="s">
        <v>1527</v>
      </c>
      <c r="E1536" s="14">
        <v>0.18151880000000001</v>
      </c>
      <c r="F1536" s="14">
        <v>0</v>
      </c>
      <c r="G1536" s="14">
        <v>0.18151880000000001</v>
      </c>
      <c r="H1536" s="16">
        <v>151.03644750000001</v>
      </c>
      <c r="I1536" s="16">
        <v>140.267449</v>
      </c>
      <c r="J1536" s="3" t="s">
        <v>5011</v>
      </c>
      <c r="K1536" s="16">
        <v>354.41995616040003</v>
      </c>
      <c r="L1536" s="16">
        <v>149.04714490000001</v>
      </c>
      <c r="M1536" s="16">
        <f t="shared" si="46"/>
        <v>0.98682898973772537</v>
      </c>
    </row>
    <row r="1537" spans="1:13" x14ac:dyDescent="0.25">
      <c r="A1537" s="2">
        <f t="shared" si="47"/>
        <v>1532</v>
      </c>
      <c r="B1537" s="2">
        <v>90538</v>
      </c>
      <c r="C1537" s="2" t="s">
        <v>4043</v>
      </c>
      <c r="D1537" s="14" t="s">
        <v>1528</v>
      </c>
      <c r="E1537" s="14">
        <v>0</v>
      </c>
      <c r="F1537" s="14">
        <v>0</v>
      </c>
      <c r="G1537" s="14">
        <v>0</v>
      </c>
      <c r="H1537" s="16">
        <v>0.499975</v>
      </c>
      <c r="I1537" s="16">
        <v>0.499975</v>
      </c>
      <c r="J1537" s="3" t="s">
        <v>5011</v>
      </c>
      <c r="K1537" s="16">
        <v>28.008966159000003</v>
      </c>
      <c r="L1537" s="16">
        <v>3.3570652000000001</v>
      </c>
      <c r="M1537" s="16">
        <f t="shared" si="46"/>
        <v>6.7144661233061651</v>
      </c>
    </row>
    <row r="1538" spans="1:13" x14ac:dyDescent="0.25">
      <c r="A1538" s="2">
        <f t="shared" si="47"/>
        <v>1533</v>
      </c>
      <c r="B1538" s="2">
        <v>90577</v>
      </c>
      <c r="C1538" s="2" t="s">
        <v>4044</v>
      </c>
      <c r="D1538" s="14" t="s">
        <v>431</v>
      </c>
      <c r="E1538" s="14">
        <v>4.2071334999999994</v>
      </c>
      <c r="F1538" s="14">
        <v>0</v>
      </c>
      <c r="G1538" s="14">
        <v>4.2071334999999994</v>
      </c>
      <c r="H1538" s="16">
        <v>362.86449719999996</v>
      </c>
      <c r="I1538" s="16">
        <v>283.63751989999997</v>
      </c>
      <c r="J1538" s="3" t="s">
        <v>5011</v>
      </c>
      <c r="K1538" s="16">
        <v>3340.502045507199</v>
      </c>
      <c r="L1538" s="16">
        <v>563.65676399999995</v>
      </c>
      <c r="M1538" s="16">
        <f t="shared" si="46"/>
        <v>1.5533532995081891</v>
      </c>
    </row>
    <row r="1539" spans="1:13" x14ac:dyDescent="0.25">
      <c r="A1539" s="2">
        <f t="shared" si="47"/>
        <v>1534</v>
      </c>
      <c r="B1539" s="2">
        <v>90746</v>
      </c>
      <c r="C1539" s="2" t="s">
        <v>4045</v>
      </c>
      <c r="D1539" s="14" t="s">
        <v>1529</v>
      </c>
      <c r="E1539" s="14">
        <v>0.55496190000000001</v>
      </c>
      <c r="F1539" s="14">
        <v>0</v>
      </c>
      <c r="G1539" s="14">
        <v>0.55496190000000001</v>
      </c>
      <c r="H1539" s="16">
        <v>271.22450140000001</v>
      </c>
      <c r="I1539" s="16">
        <v>250.3271139</v>
      </c>
      <c r="J1539" s="3" t="s">
        <v>5011</v>
      </c>
      <c r="K1539" s="16">
        <v>1240.9588084487002</v>
      </c>
      <c r="L1539" s="16">
        <v>282.20388760000003</v>
      </c>
      <c r="M1539" s="16">
        <f t="shared" si="46"/>
        <v>1.0404808051755166</v>
      </c>
    </row>
    <row r="1540" spans="1:13" x14ac:dyDescent="0.25">
      <c r="A1540" s="2">
        <f t="shared" si="47"/>
        <v>1535</v>
      </c>
      <c r="B1540" s="2">
        <v>90748</v>
      </c>
      <c r="C1540" s="2" t="s">
        <v>4046</v>
      </c>
      <c r="D1540" s="14" t="s">
        <v>1530</v>
      </c>
      <c r="E1540" s="14">
        <v>7.1399187</v>
      </c>
      <c r="F1540" s="14">
        <v>0</v>
      </c>
      <c r="G1540" s="14">
        <v>7.1399187</v>
      </c>
      <c r="H1540" s="16">
        <v>675.98400900000001</v>
      </c>
      <c r="I1540" s="16">
        <v>449.89213790000008</v>
      </c>
      <c r="J1540" s="3" t="s">
        <v>5011</v>
      </c>
      <c r="K1540" s="16">
        <v>6128.6827139842007</v>
      </c>
      <c r="L1540" s="16">
        <v>865.47781760000009</v>
      </c>
      <c r="M1540" s="16">
        <f t="shared" si="46"/>
        <v>1.280322916041051</v>
      </c>
    </row>
    <row r="1541" spans="1:13" x14ac:dyDescent="0.25">
      <c r="A1541" s="2">
        <f t="shared" si="47"/>
        <v>1536</v>
      </c>
      <c r="B1541" s="2">
        <v>90793</v>
      </c>
      <c r="C1541" s="2" t="s">
        <v>4047</v>
      </c>
      <c r="D1541" s="14" t="s">
        <v>1531</v>
      </c>
      <c r="E1541" s="14">
        <v>0</v>
      </c>
      <c r="F1541" s="14">
        <v>0</v>
      </c>
      <c r="G1541" s="14">
        <v>0</v>
      </c>
      <c r="H1541" s="16">
        <v>0</v>
      </c>
      <c r="I1541" s="16">
        <v>0</v>
      </c>
      <c r="J1541" s="3" t="s">
        <v>5011</v>
      </c>
      <c r="K1541" s="16">
        <v>0</v>
      </c>
      <c r="L1541" s="16">
        <v>0</v>
      </c>
      <c r="M1541" s="16">
        <v>0</v>
      </c>
    </row>
    <row r="1542" spans="1:13" x14ac:dyDescent="0.25">
      <c r="A1542" s="2">
        <f t="shared" si="47"/>
        <v>1537</v>
      </c>
      <c r="B1542" s="2">
        <v>90796</v>
      </c>
      <c r="C1542" s="2" t="s">
        <v>4048</v>
      </c>
      <c r="D1542" s="14" t="s">
        <v>1532</v>
      </c>
      <c r="E1542" s="14">
        <v>0.83587909999999999</v>
      </c>
      <c r="F1542" s="14">
        <v>0</v>
      </c>
      <c r="G1542" s="14">
        <v>0.83587909999999999</v>
      </c>
      <c r="H1542" s="16">
        <v>5.8597069999999993</v>
      </c>
      <c r="I1542" s="16">
        <v>5.8597069999999993</v>
      </c>
      <c r="J1542" s="3" t="s">
        <v>5011</v>
      </c>
      <c r="K1542" s="16">
        <v>895.78912119720019</v>
      </c>
      <c r="L1542" s="16">
        <v>92.264165599999998</v>
      </c>
      <c r="M1542" s="16">
        <f t="shared" si="46"/>
        <v>15.745525433268252</v>
      </c>
    </row>
    <row r="1543" spans="1:13" x14ac:dyDescent="0.25">
      <c r="A1543" s="2">
        <f t="shared" si="47"/>
        <v>1538</v>
      </c>
      <c r="B1543" s="2">
        <v>90825</v>
      </c>
      <c r="C1543" s="2" t="s">
        <v>4049</v>
      </c>
      <c r="D1543" s="14" t="s">
        <v>1533</v>
      </c>
      <c r="E1543" s="14">
        <v>0</v>
      </c>
      <c r="F1543" s="14">
        <v>0</v>
      </c>
      <c r="G1543" s="14">
        <v>0</v>
      </c>
      <c r="H1543" s="16">
        <v>0</v>
      </c>
      <c r="I1543" s="16">
        <v>0</v>
      </c>
      <c r="J1543" s="3" t="s">
        <v>5011</v>
      </c>
      <c r="K1543" s="16">
        <v>0</v>
      </c>
      <c r="L1543" s="16">
        <v>0</v>
      </c>
      <c r="M1543" s="16">
        <v>0</v>
      </c>
    </row>
    <row r="1544" spans="1:13" x14ac:dyDescent="0.25">
      <c r="A1544" s="2">
        <f t="shared" ref="A1544:A1607" si="48">A1543+1</f>
        <v>1539</v>
      </c>
      <c r="B1544" s="2">
        <v>90876</v>
      </c>
      <c r="C1544" s="2" t="s">
        <v>4050</v>
      </c>
      <c r="D1544" s="14" t="s">
        <v>1534</v>
      </c>
      <c r="E1544" s="14">
        <v>1.5586900000000001E-2</v>
      </c>
      <c r="F1544" s="14">
        <v>0</v>
      </c>
      <c r="G1544" s="14">
        <v>1.5586900000000001E-2</v>
      </c>
      <c r="H1544" s="16">
        <v>24.002298199999998</v>
      </c>
      <c r="I1544" s="16">
        <v>15.861691399999996</v>
      </c>
      <c r="J1544" s="3" t="s">
        <v>5011</v>
      </c>
      <c r="K1544" s="16">
        <v>70.4010296525</v>
      </c>
      <c r="L1544" s="16">
        <v>130.2864208</v>
      </c>
      <c r="M1544" s="16">
        <f t="shared" ref="M1543:M1606" si="49">L1544/H1544</f>
        <v>5.4280810826689923</v>
      </c>
    </row>
    <row r="1545" spans="1:13" x14ac:dyDescent="0.25">
      <c r="A1545" s="2">
        <f t="shared" si="48"/>
        <v>1540</v>
      </c>
      <c r="B1545" s="2">
        <v>91019</v>
      </c>
      <c r="C1545" s="2" t="s">
        <v>4051</v>
      </c>
      <c r="D1545" s="14" t="s">
        <v>1535</v>
      </c>
      <c r="E1545" s="14">
        <v>0</v>
      </c>
      <c r="F1545" s="14">
        <v>0</v>
      </c>
      <c r="G1545" s="14">
        <v>0</v>
      </c>
      <c r="H1545" s="16">
        <v>0</v>
      </c>
      <c r="I1545" s="16">
        <v>0</v>
      </c>
      <c r="J1545" s="3" t="s">
        <v>5011</v>
      </c>
      <c r="K1545" s="16">
        <v>0</v>
      </c>
      <c r="L1545" s="16">
        <v>0</v>
      </c>
      <c r="M1545" s="16">
        <v>0</v>
      </c>
    </row>
    <row r="1546" spans="1:13" x14ac:dyDescent="0.25">
      <c r="A1546" s="2">
        <f t="shared" si="48"/>
        <v>1541</v>
      </c>
      <c r="B1546" s="2">
        <v>91034</v>
      </c>
      <c r="C1546" s="2" t="s">
        <v>4052</v>
      </c>
      <c r="D1546" s="14" t="s">
        <v>1536</v>
      </c>
      <c r="E1546" s="14">
        <v>17.5627022</v>
      </c>
      <c r="F1546" s="14">
        <v>0</v>
      </c>
      <c r="G1546" s="14">
        <v>17.5627022</v>
      </c>
      <c r="H1546" s="16">
        <v>698.39563700000008</v>
      </c>
      <c r="I1546" s="16">
        <v>387.79063170000001</v>
      </c>
      <c r="J1546" s="3" t="s">
        <v>5011</v>
      </c>
      <c r="K1546" s="16">
        <v>12642.1385236844</v>
      </c>
      <c r="L1546" s="16">
        <v>1559.3930505999999</v>
      </c>
      <c r="M1546" s="16">
        <f t="shared" si="49"/>
        <v>2.2328218677001841</v>
      </c>
    </row>
    <row r="1547" spans="1:13" x14ac:dyDescent="0.25">
      <c r="A1547" s="2">
        <f t="shared" si="48"/>
        <v>1542</v>
      </c>
      <c r="B1547" s="2">
        <v>91066</v>
      </c>
      <c r="C1547" s="2" t="s">
        <v>4053</v>
      </c>
      <c r="D1547" s="14" t="s">
        <v>1537</v>
      </c>
      <c r="E1547" s="14">
        <v>0</v>
      </c>
      <c r="F1547" s="14">
        <v>0</v>
      </c>
      <c r="G1547" s="14">
        <v>0</v>
      </c>
      <c r="H1547" s="16">
        <v>0</v>
      </c>
      <c r="I1547" s="16">
        <v>0</v>
      </c>
      <c r="J1547" s="3" t="s">
        <v>5011</v>
      </c>
      <c r="K1547" s="16">
        <v>0</v>
      </c>
      <c r="L1547" s="16">
        <v>0</v>
      </c>
      <c r="M1547" s="16">
        <v>0</v>
      </c>
    </row>
    <row r="1548" spans="1:13" x14ac:dyDescent="0.25">
      <c r="A1548" s="2">
        <f t="shared" si="48"/>
        <v>1543</v>
      </c>
      <c r="B1548" s="2">
        <v>91074</v>
      </c>
      <c r="C1548" s="2" t="s">
        <v>4054</v>
      </c>
      <c r="D1548" s="14" t="s">
        <v>1538</v>
      </c>
      <c r="E1548" s="14">
        <v>0</v>
      </c>
      <c r="F1548" s="14">
        <v>0</v>
      </c>
      <c r="G1548" s="14">
        <v>0</v>
      </c>
      <c r="H1548" s="16">
        <v>0</v>
      </c>
      <c r="I1548" s="16">
        <v>0</v>
      </c>
      <c r="J1548" s="3" t="s">
        <v>5011</v>
      </c>
      <c r="K1548" s="16">
        <v>0</v>
      </c>
      <c r="L1548" s="16">
        <v>0</v>
      </c>
      <c r="M1548" s="16">
        <v>0</v>
      </c>
    </row>
    <row r="1549" spans="1:13" x14ac:dyDescent="0.25">
      <c r="A1549" s="2">
        <f t="shared" si="48"/>
        <v>1544</v>
      </c>
      <c r="B1549" s="2">
        <v>91346</v>
      </c>
      <c r="C1549" s="2" t="s">
        <v>4055</v>
      </c>
      <c r="D1549" s="14" t="s">
        <v>1539</v>
      </c>
      <c r="E1549" s="14">
        <v>0</v>
      </c>
      <c r="F1549" s="14">
        <v>0</v>
      </c>
      <c r="G1549" s="14">
        <v>0</v>
      </c>
      <c r="H1549" s="16">
        <v>0</v>
      </c>
      <c r="I1549" s="16">
        <v>0</v>
      </c>
      <c r="J1549" s="3" t="s">
        <v>5011</v>
      </c>
      <c r="K1549" s="16">
        <v>0</v>
      </c>
      <c r="L1549" s="16">
        <v>0</v>
      </c>
      <c r="M1549" s="16">
        <v>0</v>
      </c>
    </row>
    <row r="1550" spans="1:13" x14ac:dyDescent="0.25">
      <c r="A1550" s="2">
        <f t="shared" si="48"/>
        <v>1545</v>
      </c>
      <c r="B1550" s="2">
        <v>91514</v>
      </c>
      <c r="C1550" s="2" t="s">
        <v>4056</v>
      </c>
      <c r="D1550" s="14" t="s">
        <v>1540</v>
      </c>
      <c r="E1550" s="14">
        <v>0.31032590000000004</v>
      </c>
      <c r="F1550" s="14">
        <v>0</v>
      </c>
      <c r="G1550" s="14">
        <v>0.31032590000000004</v>
      </c>
      <c r="H1550" s="16">
        <v>215.93550530000002</v>
      </c>
      <c r="I1550" s="16">
        <v>150.8536335</v>
      </c>
      <c r="J1550" s="3" t="s">
        <v>5011</v>
      </c>
      <c r="K1550" s="16">
        <v>732.62493055830009</v>
      </c>
      <c r="L1550" s="16">
        <v>170.14954100000003</v>
      </c>
      <c r="M1550" s="16">
        <f t="shared" si="49"/>
        <v>0.78796463214148427</v>
      </c>
    </row>
    <row r="1551" spans="1:13" x14ac:dyDescent="0.25">
      <c r="A1551" s="2">
        <f t="shared" si="48"/>
        <v>1546</v>
      </c>
      <c r="B1551" s="2">
        <v>91684</v>
      </c>
      <c r="C1551" s="2" t="s">
        <v>4057</v>
      </c>
      <c r="D1551" s="14" t="s">
        <v>1541</v>
      </c>
      <c r="E1551" s="14">
        <v>0</v>
      </c>
      <c r="F1551" s="14">
        <v>0</v>
      </c>
      <c r="G1551" s="14">
        <v>0</v>
      </c>
      <c r="H1551" s="16">
        <v>0</v>
      </c>
      <c r="I1551" s="16">
        <v>0</v>
      </c>
      <c r="J1551" s="3" t="s">
        <v>5011</v>
      </c>
      <c r="K1551" s="16">
        <v>0</v>
      </c>
      <c r="L1551" s="16">
        <v>0</v>
      </c>
      <c r="M1551" s="16">
        <v>0</v>
      </c>
    </row>
    <row r="1552" spans="1:13" x14ac:dyDescent="0.25">
      <c r="A1552" s="2">
        <f t="shared" si="48"/>
        <v>1547</v>
      </c>
      <c r="B1552" s="2">
        <v>91703</v>
      </c>
      <c r="C1552" s="2" t="s">
        <v>4058</v>
      </c>
      <c r="D1552" s="14" t="s">
        <v>1542</v>
      </c>
      <c r="E1552" s="14">
        <v>1.9382999999999998E-3</v>
      </c>
      <c r="F1552" s="14">
        <v>0</v>
      </c>
      <c r="G1552" s="14">
        <v>1.9382999999999998E-3</v>
      </c>
      <c r="H1552" s="16">
        <v>0</v>
      </c>
      <c r="I1552" s="16">
        <v>0</v>
      </c>
      <c r="J1552" s="3" t="s">
        <v>5011</v>
      </c>
      <c r="K1552" s="16">
        <v>1.607991822</v>
      </c>
      <c r="L1552" s="16">
        <v>0.16771919999999998</v>
      </c>
      <c r="M1552" s="16">
        <v>0</v>
      </c>
    </row>
    <row r="1553" spans="1:13" x14ac:dyDescent="0.25">
      <c r="A1553" s="2">
        <f t="shared" si="48"/>
        <v>1548</v>
      </c>
      <c r="B1553" s="2">
        <v>91802</v>
      </c>
      <c r="C1553" s="2" t="s">
        <v>4059</v>
      </c>
      <c r="D1553" s="14" t="s">
        <v>1543</v>
      </c>
      <c r="E1553" s="14">
        <v>0.37962270000000004</v>
      </c>
      <c r="F1553" s="14">
        <v>0</v>
      </c>
      <c r="G1553" s="14">
        <v>0.37962270000000004</v>
      </c>
      <c r="H1553" s="16">
        <v>42.965593499999997</v>
      </c>
      <c r="I1553" s="16">
        <v>24.855077199999997</v>
      </c>
      <c r="J1553" s="3" t="s">
        <v>5011</v>
      </c>
      <c r="K1553" s="16">
        <v>461.39831427730007</v>
      </c>
      <c r="L1553" s="16">
        <v>64.316882399999997</v>
      </c>
      <c r="M1553" s="16">
        <f t="shared" si="49"/>
        <v>1.496939228827364</v>
      </c>
    </row>
    <row r="1554" spans="1:13" x14ac:dyDescent="0.25">
      <c r="A1554" s="2">
        <f t="shared" si="48"/>
        <v>1549</v>
      </c>
      <c r="B1554" s="2">
        <v>91899</v>
      </c>
      <c r="C1554" s="2" t="s">
        <v>4060</v>
      </c>
      <c r="D1554" s="14" t="s">
        <v>1544</v>
      </c>
      <c r="E1554" s="14">
        <v>0</v>
      </c>
      <c r="F1554" s="14">
        <v>0</v>
      </c>
      <c r="G1554" s="14">
        <v>0</v>
      </c>
      <c r="H1554" s="16">
        <v>0</v>
      </c>
      <c r="I1554" s="16">
        <v>0</v>
      </c>
      <c r="J1554" s="3" t="s">
        <v>5011</v>
      </c>
      <c r="K1554" s="16">
        <v>0</v>
      </c>
      <c r="L1554" s="16">
        <v>0</v>
      </c>
      <c r="M1554" s="16">
        <v>0</v>
      </c>
    </row>
    <row r="1555" spans="1:13" x14ac:dyDescent="0.25">
      <c r="A1555" s="2">
        <f t="shared" si="48"/>
        <v>1550</v>
      </c>
      <c r="B1555" s="2">
        <v>92004</v>
      </c>
      <c r="C1555" s="2" t="s">
        <v>4061</v>
      </c>
      <c r="D1555" s="14" t="s">
        <v>1545</v>
      </c>
      <c r="E1555" s="14">
        <v>0</v>
      </c>
      <c r="F1555" s="14">
        <v>0</v>
      </c>
      <c r="G1555" s="14">
        <v>0</v>
      </c>
      <c r="H1555" s="16">
        <v>0</v>
      </c>
      <c r="I1555" s="16">
        <v>0</v>
      </c>
      <c r="J1555" s="3" t="s">
        <v>5011</v>
      </c>
      <c r="K1555" s="16">
        <v>0</v>
      </c>
      <c r="L1555" s="16">
        <v>0</v>
      </c>
      <c r="M1555" s="16">
        <v>0</v>
      </c>
    </row>
    <row r="1556" spans="1:13" x14ac:dyDescent="0.25">
      <c r="A1556" s="2">
        <f t="shared" si="48"/>
        <v>1551</v>
      </c>
      <c r="B1556" s="2">
        <v>92017</v>
      </c>
      <c r="C1556" s="2" t="s">
        <v>4062</v>
      </c>
      <c r="D1556" s="14" t="s">
        <v>1546</v>
      </c>
      <c r="E1556" s="14">
        <v>0</v>
      </c>
      <c r="F1556" s="14">
        <v>0</v>
      </c>
      <c r="G1556" s="14">
        <v>0</v>
      </c>
      <c r="H1556" s="16">
        <v>0</v>
      </c>
      <c r="I1556" s="16">
        <v>0</v>
      </c>
      <c r="J1556" s="3" t="s">
        <v>5011</v>
      </c>
      <c r="K1556" s="16">
        <v>0</v>
      </c>
      <c r="L1556" s="16">
        <v>0</v>
      </c>
      <c r="M1556" s="16">
        <v>0</v>
      </c>
    </row>
    <row r="1557" spans="1:13" x14ac:dyDescent="0.25">
      <c r="A1557" s="2">
        <f t="shared" si="48"/>
        <v>1552</v>
      </c>
      <c r="B1557" s="2">
        <v>92061</v>
      </c>
      <c r="C1557" s="2" t="s">
        <v>4063</v>
      </c>
      <c r="D1557" s="14" t="s">
        <v>1547</v>
      </c>
      <c r="E1557" s="14">
        <v>0</v>
      </c>
      <c r="F1557" s="14">
        <v>0</v>
      </c>
      <c r="G1557" s="14">
        <v>0</v>
      </c>
      <c r="H1557" s="16">
        <v>0</v>
      </c>
      <c r="I1557" s="16">
        <v>0</v>
      </c>
      <c r="J1557" s="3" t="s">
        <v>5011</v>
      </c>
      <c r="K1557" s="16">
        <v>0</v>
      </c>
      <c r="L1557" s="16">
        <v>0</v>
      </c>
      <c r="M1557" s="16">
        <v>0</v>
      </c>
    </row>
    <row r="1558" spans="1:13" x14ac:dyDescent="0.25">
      <c r="A1558" s="2">
        <f t="shared" si="48"/>
        <v>1553</v>
      </c>
      <c r="B1558" s="2">
        <v>92091</v>
      </c>
      <c r="C1558" s="2" t="s">
        <v>4064</v>
      </c>
      <c r="D1558" s="14" t="s">
        <v>1548</v>
      </c>
      <c r="E1558" s="14">
        <v>2.1509999999999997E-3</v>
      </c>
      <c r="F1558" s="14">
        <v>0</v>
      </c>
      <c r="G1558" s="14">
        <v>2.1509999999999997E-3</v>
      </c>
      <c r="H1558" s="16">
        <v>1.304935</v>
      </c>
      <c r="I1558" s="16">
        <v>0.96039040000000009</v>
      </c>
      <c r="J1558" s="3" t="s">
        <v>5011</v>
      </c>
      <c r="K1558" s="16">
        <v>11.804470703100002</v>
      </c>
      <c r="L1558" s="16">
        <v>2.4747778999999999</v>
      </c>
      <c r="M1558" s="16">
        <f t="shared" si="49"/>
        <v>1.8964759930571253</v>
      </c>
    </row>
    <row r="1559" spans="1:13" x14ac:dyDescent="0.25">
      <c r="A1559" s="2">
        <f t="shared" si="48"/>
        <v>1554</v>
      </c>
      <c r="B1559" s="2">
        <v>92092</v>
      </c>
      <c r="C1559" s="2" t="s">
        <v>4065</v>
      </c>
      <c r="D1559" s="14" t="s">
        <v>1549</v>
      </c>
      <c r="E1559" s="14">
        <v>2.2402679999999999</v>
      </c>
      <c r="F1559" s="14">
        <v>0</v>
      </c>
      <c r="G1559" s="14">
        <v>2.2402679999999999</v>
      </c>
      <c r="H1559" s="16">
        <v>69.4137743</v>
      </c>
      <c r="I1559" s="16">
        <v>51.816397099999996</v>
      </c>
      <c r="J1559" s="3" t="s">
        <v>5011</v>
      </c>
      <c r="K1559" s="16">
        <v>1953.2765643518001</v>
      </c>
      <c r="L1559" s="16">
        <v>228.05384280000001</v>
      </c>
      <c r="M1559" s="16">
        <f t="shared" si="49"/>
        <v>3.28542634512816</v>
      </c>
    </row>
    <row r="1560" spans="1:13" x14ac:dyDescent="0.25">
      <c r="A1560" s="2">
        <f t="shared" si="48"/>
        <v>1555</v>
      </c>
      <c r="B1560" s="2">
        <v>92117</v>
      </c>
      <c r="C1560" s="2" t="s">
        <v>4066</v>
      </c>
      <c r="D1560" s="14" t="s">
        <v>1550</v>
      </c>
      <c r="E1560" s="14">
        <v>0</v>
      </c>
      <c r="F1560" s="14">
        <v>0</v>
      </c>
      <c r="G1560" s="14">
        <v>0</v>
      </c>
      <c r="H1560" s="16">
        <v>0</v>
      </c>
      <c r="I1560" s="16">
        <v>0</v>
      </c>
      <c r="J1560" s="3" t="s">
        <v>5011</v>
      </c>
      <c r="K1560" s="16">
        <v>0</v>
      </c>
      <c r="L1560" s="16">
        <v>0</v>
      </c>
      <c r="M1560" s="16">
        <v>0</v>
      </c>
    </row>
    <row r="1561" spans="1:13" x14ac:dyDescent="0.25">
      <c r="A1561" s="2">
        <f t="shared" si="48"/>
        <v>1556</v>
      </c>
      <c r="B1561" s="2">
        <v>92166</v>
      </c>
      <c r="C1561" s="2" t="s">
        <v>4067</v>
      </c>
      <c r="D1561" s="14" t="s">
        <v>1551</v>
      </c>
      <c r="E1561" s="14">
        <v>0</v>
      </c>
      <c r="F1561" s="14">
        <v>0</v>
      </c>
      <c r="G1561" s="14">
        <v>0</v>
      </c>
      <c r="H1561" s="16">
        <v>0</v>
      </c>
      <c r="I1561" s="16">
        <v>0</v>
      </c>
      <c r="J1561" s="3" t="s">
        <v>5011</v>
      </c>
      <c r="K1561" s="16">
        <v>0</v>
      </c>
      <c r="L1561" s="16">
        <v>0</v>
      </c>
      <c r="M1561" s="16">
        <v>0</v>
      </c>
    </row>
    <row r="1562" spans="1:13" x14ac:dyDescent="0.25">
      <c r="A1562" s="2">
        <f t="shared" si="48"/>
        <v>1557</v>
      </c>
      <c r="B1562" s="2">
        <v>92316</v>
      </c>
      <c r="C1562" s="2" t="s">
        <v>4068</v>
      </c>
      <c r="D1562" s="14" t="s">
        <v>1552</v>
      </c>
      <c r="E1562" s="14">
        <v>8.3854974000000002</v>
      </c>
      <c r="F1562" s="14">
        <v>0</v>
      </c>
      <c r="G1562" s="14">
        <v>8.3854974000000002</v>
      </c>
      <c r="H1562" s="16">
        <v>1819.5486704</v>
      </c>
      <c r="I1562" s="16">
        <v>1105.3115339999999</v>
      </c>
      <c r="J1562" s="3" t="s">
        <v>5011</v>
      </c>
      <c r="K1562" s="16">
        <v>11031.7841690077</v>
      </c>
      <c r="L1562" s="16">
        <v>1700.7907555000002</v>
      </c>
      <c r="M1562" s="16">
        <f t="shared" si="49"/>
        <v>0.93473221308562593</v>
      </c>
    </row>
    <row r="1563" spans="1:13" x14ac:dyDescent="0.25">
      <c r="A1563" s="2">
        <f t="shared" si="48"/>
        <v>1558</v>
      </c>
      <c r="B1563" s="2">
        <v>92387</v>
      </c>
      <c r="C1563" s="2" t="s">
        <v>4069</v>
      </c>
      <c r="D1563" s="14" t="s">
        <v>1553</v>
      </c>
      <c r="E1563" s="14">
        <v>0.22044010000000003</v>
      </c>
      <c r="F1563" s="14">
        <v>0</v>
      </c>
      <c r="G1563" s="14">
        <v>0.22044010000000003</v>
      </c>
      <c r="H1563" s="16">
        <v>34.103393699999998</v>
      </c>
      <c r="I1563" s="16">
        <v>28.136206299999998</v>
      </c>
      <c r="J1563" s="3" t="s">
        <v>5011</v>
      </c>
      <c r="K1563" s="16">
        <v>289.11033526460005</v>
      </c>
      <c r="L1563" s="16">
        <v>47.226596500000007</v>
      </c>
      <c r="M1563" s="16">
        <f t="shared" si="49"/>
        <v>1.3848063601951734</v>
      </c>
    </row>
    <row r="1564" spans="1:13" x14ac:dyDescent="0.25">
      <c r="A1564" s="2">
        <f t="shared" si="48"/>
        <v>1559</v>
      </c>
      <c r="B1564" s="2">
        <v>92525</v>
      </c>
      <c r="C1564" s="2" t="s">
        <v>4070</v>
      </c>
      <c r="D1564" s="14" t="s">
        <v>1554</v>
      </c>
      <c r="E1564" s="14">
        <v>10.528632700000001</v>
      </c>
      <c r="F1564" s="14">
        <v>0</v>
      </c>
      <c r="G1564" s="14">
        <v>10.528632700000001</v>
      </c>
      <c r="H1564" s="16">
        <v>374.77605929999999</v>
      </c>
      <c r="I1564" s="16">
        <v>184.56814109999999</v>
      </c>
      <c r="J1564" s="3" t="s">
        <v>5011</v>
      </c>
      <c r="K1564" s="16">
        <v>9959.0578265646982</v>
      </c>
      <c r="L1564" s="16">
        <v>1078.4290412999999</v>
      </c>
      <c r="M1564" s="16">
        <f t="shared" si="49"/>
        <v>2.8775291658551252</v>
      </c>
    </row>
    <row r="1565" spans="1:13" x14ac:dyDescent="0.25">
      <c r="A1565" s="2">
        <f t="shared" si="48"/>
        <v>1560</v>
      </c>
      <c r="B1565" s="2">
        <v>92528</v>
      </c>
      <c r="C1565" s="2" t="s">
        <v>4071</v>
      </c>
      <c r="D1565" s="14" t="s">
        <v>1555</v>
      </c>
      <c r="E1565" s="14">
        <v>0</v>
      </c>
      <c r="F1565" s="14">
        <v>0</v>
      </c>
      <c r="G1565" s="14">
        <v>0</v>
      </c>
      <c r="H1565" s="16">
        <v>0</v>
      </c>
      <c r="I1565" s="16">
        <v>0</v>
      </c>
      <c r="J1565" s="3" t="s">
        <v>5011</v>
      </c>
      <c r="K1565" s="16">
        <v>0</v>
      </c>
      <c r="L1565" s="16">
        <v>0</v>
      </c>
      <c r="M1565" s="16">
        <v>0</v>
      </c>
    </row>
    <row r="1566" spans="1:13" x14ac:dyDescent="0.25">
      <c r="A1566" s="2">
        <f t="shared" si="48"/>
        <v>1561</v>
      </c>
      <c r="B1566" s="2">
        <v>92594</v>
      </c>
      <c r="C1566" s="2" t="s">
        <v>4072</v>
      </c>
      <c r="D1566" s="14" t="s">
        <v>1556</v>
      </c>
      <c r="E1566" s="14">
        <v>0</v>
      </c>
      <c r="F1566" s="14">
        <v>0</v>
      </c>
      <c r="G1566" s="14">
        <v>0</v>
      </c>
      <c r="H1566" s="16">
        <v>0</v>
      </c>
      <c r="I1566" s="16">
        <v>0</v>
      </c>
      <c r="J1566" s="3" t="s">
        <v>5011</v>
      </c>
      <c r="K1566" s="16">
        <v>0</v>
      </c>
      <c r="L1566" s="16">
        <v>0</v>
      </c>
      <c r="M1566" s="16">
        <v>0</v>
      </c>
    </row>
    <row r="1567" spans="1:13" x14ac:dyDescent="0.25">
      <c r="A1567" s="2">
        <f t="shared" si="48"/>
        <v>1562</v>
      </c>
      <c r="B1567" s="2">
        <v>92699</v>
      </c>
      <c r="C1567" s="2" t="s">
        <v>4073</v>
      </c>
      <c r="D1567" s="14" t="s">
        <v>1557</v>
      </c>
      <c r="E1567" s="14">
        <v>2.0966500000000002E-2</v>
      </c>
      <c r="F1567" s="14">
        <v>0</v>
      </c>
      <c r="G1567" s="14">
        <v>2.0966500000000002E-2</v>
      </c>
      <c r="H1567" s="16">
        <v>4.9997499999999997</v>
      </c>
      <c r="I1567" s="16">
        <v>4.9997499999999997</v>
      </c>
      <c r="J1567" s="3" t="s">
        <v>5011</v>
      </c>
      <c r="K1567" s="16">
        <v>33.659047320100001</v>
      </c>
      <c r="L1567" s="16">
        <v>6.0260775000000004</v>
      </c>
      <c r="M1567" s="16">
        <f t="shared" si="49"/>
        <v>1.2052757637881895</v>
      </c>
    </row>
    <row r="1568" spans="1:13" x14ac:dyDescent="0.25">
      <c r="A1568" s="2">
        <f t="shared" si="48"/>
        <v>1563</v>
      </c>
      <c r="B1568" s="2">
        <v>92709</v>
      </c>
      <c r="C1568" s="2" t="s">
        <v>4074</v>
      </c>
      <c r="D1568" s="14" t="s">
        <v>1558</v>
      </c>
      <c r="E1568" s="14">
        <v>2.5698099999999998E-2</v>
      </c>
      <c r="F1568" s="14">
        <v>0</v>
      </c>
      <c r="G1568" s="14">
        <v>2.5698099999999998E-2</v>
      </c>
      <c r="H1568" s="16">
        <v>49.745702599999994</v>
      </c>
      <c r="I1568" s="16">
        <v>39.8777568</v>
      </c>
      <c r="J1568" s="3" t="s">
        <v>5011</v>
      </c>
      <c r="K1568" s="16">
        <v>107.69663136719998</v>
      </c>
      <c r="L1568" s="16">
        <v>41.883165400000003</v>
      </c>
      <c r="M1568" s="16">
        <f t="shared" si="49"/>
        <v>0.84194539851569028</v>
      </c>
    </row>
    <row r="1569" spans="1:13" x14ac:dyDescent="0.25">
      <c r="A1569" s="2">
        <f t="shared" si="48"/>
        <v>1564</v>
      </c>
      <c r="B1569" s="2">
        <v>92722</v>
      </c>
      <c r="C1569" s="2" t="s">
        <v>4075</v>
      </c>
      <c r="D1569" s="14" t="s">
        <v>1559</v>
      </c>
      <c r="E1569" s="14">
        <v>5.7301999999999995E-3</v>
      </c>
      <c r="F1569" s="14">
        <v>0</v>
      </c>
      <c r="G1569" s="14">
        <v>5.7301999999999995E-3</v>
      </c>
      <c r="H1569" s="16">
        <v>1.9499028</v>
      </c>
      <c r="I1569" s="16">
        <v>1.9499028</v>
      </c>
      <c r="J1569" s="3" t="s">
        <v>5011</v>
      </c>
      <c r="K1569" s="16">
        <v>10.075422999099999</v>
      </c>
      <c r="L1569" s="16">
        <v>2.3742167000000003</v>
      </c>
      <c r="M1569" s="16">
        <f t="shared" si="49"/>
        <v>1.2176077187026966</v>
      </c>
    </row>
    <row r="1570" spans="1:13" x14ac:dyDescent="0.25">
      <c r="A1570" s="2">
        <f t="shared" si="48"/>
        <v>1565</v>
      </c>
      <c r="B1570" s="2">
        <v>92820</v>
      </c>
      <c r="C1570" s="2" t="s">
        <v>4076</v>
      </c>
      <c r="D1570" s="14" t="s">
        <v>1560</v>
      </c>
      <c r="E1570" s="14">
        <v>7.2627999999999989E-3</v>
      </c>
      <c r="F1570" s="14">
        <v>0</v>
      </c>
      <c r="G1570" s="14">
        <v>7.2627999999999989E-3</v>
      </c>
      <c r="H1570" s="16">
        <v>2.4598770000000001</v>
      </c>
      <c r="I1570" s="16">
        <v>2.4598770000000001</v>
      </c>
      <c r="J1570" s="3" t="s">
        <v>5011</v>
      </c>
      <c r="K1570" s="16">
        <v>9.5605103307999997</v>
      </c>
      <c r="L1570" s="16">
        <v>0.81775500000000001</v>
      </c>
      <c r="M1570" s="16">
        <f t="shared" si="49"/>
        <v>0.33243735357499582</v>
      </c>
    </row>
    <row r="1571" spans="1:13" x14ac:dyDescent="0.25">
      <c r="A1571" s="2">
        <f t="shared" si="48"/>
        <v>1566</v>
      </c>
      <c r="B1571" s="2">
        <v>93234</v>
      </c>
      <c r="C1571" s="2" t="s">
        <v>4077</v>
      </c>
      <c r="D1571" s="14" t="s">
        <v>1561</v>
      </c>
      <c r="E1571" s="14">
        <v>0</v>
      </c>
      <c r="F1571" s="14">
        <v>0</v>
      </c>
      <c r="G1571" s="14">
        <v>0</v>
      </c>
      <c r="H1571" s="16">
        <v>0</v>
      </c>
      <c r="I1571" s="16">
        <v>0</v>
      </c>
      <c r="J1571" s="3" t="s">
        <v>5011</v>
      </c>
      <c r="K1571" s="16">
        <v>0</v>
      </c>
      <c r="L1571" s="16">
        <v>0</v>
      </c>
      <c r="M1571" s="16">
        <v>0</v>
      </c>
    </row>
    <row r="1572" spans="1:13" x14ac:dyDescent="0.25">
      <c r="A1572" s="2">
        <f t="shared" si="48"/>
        <v>1567</v>
      </c>
      <c r="B1572" s="2">
        <v>93359</v>
      </c>
      <c r="C1572" s="2" t="s">
        <v>4078</v>
      </c>
      <c r="D1572" s="14" t="s">
        <v>1562</v>
      </c>
      <c r="E1572" s="14">
        <v>1.0595706</v>
      </c>
      <c r="F1572" s="14">
        <v>0</v>
      </c>
      <c r="G1572" s="14">
        <v>1.0595706</v>
      </c>
      <c r="H1572" s="16">
        <v>196.35593610000001</v>
      </c>
      <c r="I1572" s="16">
        <v>137.66018219999998</v>
      </c>
      <c r="J1572" s="3" t="s">
        <v>5011</v>
      </c>
      <c r="K1572" s="16">
        <v>1195.2241055710999</v>
      </c>
      <c r="L1572" s="16">
        <v>224.15730109999998</v>
      </c>
      <c r="M1572" s="16">
        <f t="shared" si="49"/>
        <v>1.1415865776822827</v>
      </c>
    </row>
    <row r="1573" spans="1:13" x14ac:dyDescent="0.25">
      <c r="A1573" s="2">
        <f t="shared" si="48"/>
        <v>1568</v>
      </c>
      <c r="B1573" s="2">
        <v>93442</v>
      </c>
      <c r="C1573" s="2" t="s">
        <v>4079</v>
      </c>
      <c r="D1573" s="14" t="s">
        <v>1563</v>
      </c>
      <c r="E1573" s="14">
        <v>5.2392299999999996E-2</v>
      </c>
      <c r="F1573" s="14">
        <v>0</v>
      </c>
      <c r="G1573" s="14">
        <v>5.2392299999999996E-2</v>
      </c>
      <c r="H1573" s="16">
        <v>0.69996499999999995</v>
      </c>
      <c r="I1573" s="16">
        <v>0.69996499999999995</v>
      </c>
      <c r="J1573" s="3" t="s">
        <v>5011</v>
      </c>
      <c r="K1573" s="16">
        <v>52.054208479499991</v>
      </c>
      <c r="L1573" s="16">
        <v>5.6718131999999999</v>
      </c>
      <c r="M1573" s="16">
        <f t="shared" si="49"/>
        <v>8.1029954354860596</v>
      </c>
    </row>
    <row r="1574" spans="1:13" x14ac:dyDescent="0.25">
      <c r="A1574" s="2">
        <f t="shared" si="48"/>
        <v>1569</v>
      </c>
      <c r="B1574" s="2">
        <v>93500</v>
      </c>
      <c r="C1574" s="2" t="s">
        <v>4080</v>
      </c>
      <c r="D1574" s="14" t="s">
        <v>1564</v>
      </c>
      <c r="E1574" s="14">
        <v>9.625207099999999</v>
      </c>
      <c r="F1574" s="14">
        <v>0</v>
      </c>
      <c r="G1574" s="14">
        <v>9.625207099999999</v>
      </c>
      <c r="H1574" s="16">
        <v>612.4359809</v>
      </c>
      <c r="I1574" s="16">
        <v>150.55534180000006</v>
      </c>
      <c r="J1574" s="3" t="s">
        <v>5011</v>
      </c>
      <c r="K1574" s="16">
        <v>13112.954116265402</v>
      </c>
      <c r="L1574" s="16">
        <v>1323.4734563</v>
      </c>
      <c r="M1574" s="16">
        <f t="shared" si="49"/>
        <v>2.1609988595952525</v>
      </c>
    </row>
    <row r="1575" spans="1:13" x14ac:dyDescent="0.25">
      <c r="A1575" s="2">
        <f t="shared" si="48"/>
        <v>1570</v>
      </c>
      <c r="B1575" s="2">
        <v>93674</v>
      </c>
      <c r="C1575" s="2" t="s">
        <v>4081</v>
      </c>
      <c r="D1575" s="14" t="s">
        <v>1565</v>
      </c>
      <c r="E1575" s="14">
        <v>3.2113966999999999</v>
      </c>
      <c r="F1575" s="14">
        <v>0</v>
      </c>
      <c r="G1575" s="14">
        <v>3.2113966999999999</v>
      </c>
      <c r="H1575" s="16">
        <v>55.379148099999995</v>
      </c>
      <c r="I1575" s="16">
        <v>46.781331599999994</v>
      </c>
      <c r="J1575" s="3" t="s">
        <v>5011</v>
      </c>
      <c r="K1575" s="16">
        <v>2669.5878371418994</v>
      </c>
      <c r="L1575" s="16">
        <v>298.4065976</v>
      </c>
      <c r="M1575" s="16">
        <f t="shared" si="49"/>
        <v>5.3884288191135976</v>
      </c>
    </row>
    <row r="1576" spans="1:13" x14ac:dyDescent="0.25">
      <c r="A1576" s="2">
        <f t="shared" si="48"/>
        <v>1571</v>
      </c>
      <c r="B1576" s="2">
        <v>93802</v>
      </c>
      <c r="C1576" s="2" t="s">
        <v>4082</v>
      </c>
      <c r="D1576" s="14" t="s">
        <v>1566</v>
      </c>
      <c r="E1576" s="14">
        <v>0</v>
      </c>
      <c r="F1576" s="14">
        <v>0</v>
      </c>
      <c r="G1576" s="14">
        <v>0</v>
      </c>
      <c r="H1576" s="16">
        <v>0</v>
      </c>
      <c r="I1576" s="16">
        <v>0</v>
      </c>
      <c r="J1576" s="3" t="s">
        <v>5011</v>
      </c>
      <c r="K1576" s="16">
        <v>0</v>
      </c>
      <c r="L1576" s="16">
        <v>0</v>
      </c>
      <c r="M1576" s="16">
        <v>0</v>
      </c>
    </row>
    <row r="1577" spans="1:13" x14ac:dyDescent="0.25">
      <c r="A1577" s="2">
        <f t="shared" si="48"/>
        <v>1572</v>
      </c>
      <c r="B1577" s="2">
        <v>93828</v>
      </c>
      <c r="C1577" s="2" t="s">
        <v>4083</v>
      </c>
      <c r="D1577" s="14" t="s">
        <v>1567</v>
      </c>
      <c r="E1577" s="14">
        <v>0</v>
      </c>
      <c r="F1577" s="14">
        <v>0</v>
      </c>
      <c r="G1577" s="14">
        <v>0</v>
      </c>
      <c r="H1577" s="16">
        <v>0</v>
      </c>
      <c r="I1577" s="16">
        <v>0</v>
      </c>
      <c r="J1577" s="3" t="s">
        <v>5011</v>
      </c>
      <c r="K1577" s="16">
        <v>0</v>
      </c>
      <c r="L1577" s="16">
        <v>0</v>
      </c>
      <c r="M1577" s="16">
        <v>0</v>
      </c>
    </row>
    <row r="1578" spans="1:13" x14ac:dyDescent="0.25">
      <c r="A1578" s="2">
        <f t="shared" si="48"/>
        <v>1573</v>
      </c>
      <c r="B1578" s="2">
        <v>93956</v>
      </c>
      <c r="C1578" s="2" t="s">
        <v>4084</v>
      </c>
      <c r="D1578" s="14" t="s">
        <v>1568</v>
      </c>
      <c r="E1578" s="14">
        <v>0</v>
      </c>
      <c r="F1578" s="14">
        <v>0</v>
      </c>
      <c r="G1578" s="14">
        <v>0</v>
      </c>
      <c r="H1578" s="16">
        <v>0</v>
      </c>
      <c r="I1578" s="16">
        <v>0</v>
      </c>
      <c r="J1578" s="3" t="s">
        <v>5011</v>
      </c>
      <c r="K1578" s="16">
        <v>0</v>
      </c>
      <c r="L1578" s="16">
        <v>0</v>
      </c>
      <c r="M1578" s="16">
        <v>0</v>
      </c>
    </row>
    <row r="1579" spans="1:13" x14ac:dyDescent="0.25">
      <c r="A1579" s="2">
        <f t="shared" si="48"/>
        <v>1574</v>
      </c>
      <c r="B1579" s="2">
        <v>93961</v>
      </c>
      <c r="C1579" s="2" t="s">
        <v>4085</v>
      </c>
      <c r="D1579" s="14" t="s">
        <v>1569</v>
      </c>
      <c r="E1579" s="14">
        <v>0</v>
      </c>
      <c r="F1579" s="14">
        <v>0</v>
      </c>
      <c r="G1579" s="14">
        <v>0</v>
      </c>
      <c r="H1579" s="16">
        <v>0</v>
      </c>
      <c r="I1579" s="16">
        <v>0</v>
      </c>
      <c r="J1579" s="3" t="s">
        <v>5011</v>
      </c>
      <c r="K1579" s="16">
        <v>0</v>
      </c>
      <c r="L1579" s="16">
        <v>0</v>
      </c>
      <c r="M1579" s="16">
        <v>0</v>
      </c>
    </row>
    <row r="1580" spans="1:13" x14ac:dyDescent="0.25">
      <c r="A1580" s="2">
        <f t="shared" si="48"/>
        <v>1575</v>
      </c>
      <c r="B1580" s="2">
        <v>94012</v>
      </c>
      <c r="C1580" s="2" t="s">
        <v>4086</v>
      </c>
      <c r="D1580" s="14" t="s">
        <v>1570</v>
      </c>
      <c r="E1580" s="14">
        <v>0</v>
      </c>
      <c r="F1580" s="14">
        <v>0</v>
      </c>
      <c r="G1580" s="14">
        <v>0</v>
      </c>
      <c r="H1580" s="16">
        <v>0</v>
      </c>
      <c r="I1580" s="16">
        <v>0</v>
      </c>
      <c r="J1580" s="3" t="s">
        <v>5011</v>
      </c>
      <c r="K1580" s="16">
        <v>0</v>
      </c>
      <c r="L1580" s="16">
        <v>0</v>
      </c>
      <c r="M1580" s="16">
        <v>0</v>
      </c>
    </row>
    <row r="1581" spans="1:13" x14ac:dyDescent="0.25">
      <c r="A1581" s="2">
        <f t="shared" si="48"/>
        <v>1576</v>
      </c>
      <c r="B1581" s="2">
        <v>94014</v>
      </c>
      <c r="C1581" s="2" t="s">
        <v>4087</v>
      </c>
      <c r="D1581" s="14" t="s">
        <v>1571</v>
      </c>
      <c r="E1581" s="14">
        <v>51.934918700000004</v>
      </c>
      <c r="F1581" s="14">
        <v>0</v>
      </c>
      <c r="G1581" s="14">
        <v>51.934918700000004</v>
      </c>
      <c r="H1581" s="16">
        <v>3754.0879324000002</v>
      </c>
      <c r="I1581" s="16">
        <v>1571.9101780000001</v>
      </c>
      <c r="J1581" s="3" t="s">
        <v>5011</v>
      </c>
      <c r="K1581" s="16">
        <v>46560.962635402975</v>
      </c>
      <c r="L1581" s="16">
        <v>5391.4366522999999</v>
      </c>
      <c r="M1581" s="16">
        <f t="shared" si="49"/>
        <v>1.4361508705666459</v>
      </c>
    </row>
    <row r="1582" spans="1:13" x14ac:dyDescent="0.25">
      <c r="A1582" s="2">
        <f t="shared" si="48"/>
        <v>1577</v>
      </c>
      <c r="B1582" s="2">
        <v>94133</v>
      </c>
      <c r="C1582" s="2" t="s">
        <v>4088</v>
      </c>
      <c r="D1582" s="14" t="s">
        <v>1572</v>
      </c>
      <c r="E1582" s="14">
        <v>0</v>
      </c>
      <c r="F1582" s="14">
        <v>0</v>
      </c>
      <c r="G1582" s="14">
        <v>0</v>
      </c>
      <c r="H1582" s="16">
        <v>0</v>
      </c>
      <c r="I1582" s="16">
        <v>0</v>
      </c>
      <c r="J1582" s="3" t="s">
        <v>5011</v>
      </c>
      <c r="K1582" s="16">
        <v>0</v>
      </c>
      <c r="L1582" s="16">
        <v>0</v>
      </c>
      <c r="M1582" s="16">
        <v>0</v>
      </c>
    </row>
    <row r="1583" spans="1:13" x14ac:dyDescent="0.25">
      <c r="A1583" s="2">
        <f t="shared" si="48"/>
        <v>1578</v>
      </c>
      <c r="B1583" s="2">
        <v>94144</v>
      </c>
      <c r="C1583" s="2" t="s">
        <v>4089</v>
      </c>
      <c r="D1583" s="14" t="s">
        <v>1573</v>
      </c>
      <c r="E1583" s="14">
        <v>0</v>
      </c>
      <c r="F1583" s="14">
        <v>0</v>
      </c>
      <c r="G1583" s="14">
        <v>0</v>
      </c>
      <c r="H1583" s="16">
        <v>0</v>
      </c>
      <c r="I1583" s="16">
        <v>0</v>
      </c>
      <c r="J1583" s="3" t="s">
        <v>5011</v>
      </c>
      <c r="K1583" s="16">
        <v>0</v>
      </c>
      <c r="L1583" s="16">
        <v>0</v>
      </c>
      <c r="M1583" s="16">
        <v>0</v>
      </c>
    </row>
    <row r="1584" spans="1:13" x14ac:dyDescent="0.25">
      <c r="A1584" s="2">
        <f t="shared" si="48"/>
        <v>1579</v>
      </c>
      <c r="B1584" s="2">
        <v>94348</v>
      </c>
      <c r="C1584" s="2" t="s">
        <v>4090</v>
      </c>
      <c r="D1584" s="14" t="s">
        <v>1574</v>
      </c>
      <c r="E1584" s="14">
        <v>14.109484300000002</v>
      </c>
      <c r="F1584" s="14">
        <v>0</v>
      </c>
      <c r="G1584" s="14">
        <v>14.109484300000002</v>
      </c>
      <c r="H1584" s="16">
        <v>1575.2802457</v>
      </c>
      <c r="I1584" s="16">
        <v>1197.0688881000001</v>
      </c>
      <c r="J1584" s="3" t="s">
        <v>5011</v>
      </c>
      <c r="K1584" s="16">
        <v>14683.437174599498</v>
      </c>
      <c r="L1584" s="16">
        <v>2179.6916587999999</v>
      </c>
      <c r="M1584" s="16">
        <f t="shared" si="49"/>
        <v>1.3836850076358447</v>
      </c>
    </row>
    <row r="1585" spans="1:13" x14ac:dyDescent="0.25">
      <c r="A1585" s="2">
        <f t="shared" si="48"/>
        <v>1580</v>
      </c>
      <c r="B1585" s="2">
        <v>94353</v>
      </c>
      <c r="C1585" s="2" t="s">
        <v>4091</v>
      </c>
      <c r="D1585" s="14" t="s">
        <v>1575</v>
      </c>
      <c r="E1585" s="14">
        <v>8.2737999999999996E-3</v>
      </c>
      <c r="F1585" s="14">
        <v>0</v>
      </c>
      <c r="G1585" s="14">
        <v>8.2737999999999996E-3</v>
      </c>
      <c r="H1585" s="16">
        <v>8.0495975000000008</v>
      </c>
      <c r="I1585" s="16">
        <v>8.0495975000000008</v>
      </c>
      <c r="J1585" s="3" t="s">
        <v>5011</v>
      </c>
      <c r="K1585" s="16">
        <v>25.042938632600002</v>
      </c>
      <c r="L1585" s="16">
        <v>8.7508610000000004</v>
      </c>
      <c r="M1585" s="16">
        <f t="shared" si="49"/>
        <v>1.0871178341525771</v>
      </c>
    </row>
    <row r="1586" spans="1:13" x14ac:dyDescent="0.25">
      <c r="A1586" s="2">
        <f t="shared" si="48"/>
        <v>1581</v>
      </c>
      <c r="B1586" s="2">
        <v>94355</v>
      </c>
      <c r="C1586" s="2" t="s">
        <v>4092</v>
      </c>
      <c r="D1586" s="14" t="s">
        <v>1576</v>
      </c>
      <c r="E1586" s="14">
        <v>0</v>
      </c>
      <c r="F1586" s="14">
        <v>0</v>
      </c>
      <c r="G1586" s="14">
        <v>0</v>
      </c>
      <c r="H1586" s="16">
        <v>0</v>
      </c>
      <c r="I1586" s="16">
        <v>0</v>
      </c>
      <c r="J1586" s="3" t="s">
        <v>5011</v>
      </c>
      <c r="K1586" s="16">
        <v>0</v>
      </c>
      <c r="L1586" s="16">
        <v>0</v>
      </c>
      <c r="M1586" s="16">
        <v>0</v>
      </c>
    </row>
    <row r="1587" spans="1:13" x14ac:dyDescent="0.25">
      <c r="A1587" s="2">
        <f t="shared" si="48"/>
        <v>1582</v>
      </c>
      <c r="B1587" s="2">
        <v>94379</v>
      </c>
      <c r="C1587" s="2" t="s">
        <v>4093</v>
      </c>
      <c r="D1587" s="14" t="s">
        <v>1577</v>
      </c>
      <c r="E1587" s="14">
        <v>0</v>
      </c>
      <c r="F1587" s="14">
        <v>0</v>
      </c>
      <c r="G1587" s="14">
        <v>0</v>
      </c>
      <c r="H1587" s="16">
        <v>0</v>
      </c>
      <c r="I1587" s="16">
        <v>0</v>
      </c>
      <c r="J1587" s="3" t="s">
        <v>5011</v>
      </c>
      <c r="K1587" s="16">
        <v>0</v>
      </c>
      <c r="L1587" s="16">
        <v>0</v>
      </c>
      <c r="M1587" s="16">
        <v>0</v>
      </c>
    </row>
    <row r="1588" spans="1:13" x14ac:dyDescent="0.25">
      <c r="A1588" s="2">
        <f t="shared" si="48"/>
        <v>1583</v>
      </c>
      <c r="B1588" s="2">
        <v>94634</v>
      </c>
      <c r="C1588" s="2" t="s">
        <v>4094</v>
      </c>
      <c r="D1588" s="14" t="s">
        <v>1578</v>
      </c>
      <c r="E1588" s="14">
        <v>4.1450038999999999</v>
      </c>
      <c r="F1588" s="14">
        <v>0</v>
      </c>
      <c r="G1588" s="14">
        <v>4.1450038999999999</v>
      </c>
      <c r="H1588" s="16">
        <v>467.77858079999999</v>
      </c>
      <c r="I1588" s="16">
        <v>288.59391919999996</v>
      </c>
      <c r="J1588" s="3" t="s">
        <v>5011</v>
      </c>
      <c r="K1588" s="16">
        <v>4673.1336528468019</v>
      </c>
      <c r="L1588" s="16">
        <v>664.33521050000002</v>
      </c>
      <c r="M1588" s="16">
        <f t="shared" si="49"/>
        <v>1.420191598691515</v>
      </c>
    </row>
    <row r="1589" spans="1:13" x14ac:dyDescent="0.25">
      <c r="A1589" s="2">
        <f t="shared" si="48"/>
        <v>1584</v>
      </c>
      <c r="B1589" s="2">
        <v>94637</v>
      </c>
      <c r="C1589" s="2" t="s">
        <v>4095</v>
      </c>
      <c r="D1589" s="14" t="s">
        <v>1579</v>
      </c>
      <c r="E1589" s="14">
        <v>0</v>
      </c>
      <c r="F1589" s="14">
        <v>0</v>
      </c>
      <c r="G1589" s="14">
        <v>0</v>
      </c>
      <c r="H1589" s="16">
        <v>0</v>
      </c>
      <c r="I1589" s="16">
        <v>0</v>
      </c>
      <c r="J1589" s="3" t="s">
        <v>5011</v>
      </c>
      <c r="K1589" s="16">
        <v>0</v>
      </c>
      <c r="L1589" s="16">
        <v>0</v>
      </c>
      <c r="M1589" s="16">
        <v>0</v>
      </c>
    </row>
    <row r="1590" spans="1:13" x14ac:dyDescent="0.25">
      <c r="A1590" s="2">
        <f t="shared" si="48"/>
        <v>1585</v>
      </c>
      <c r="B1590" s="2">
        <v>94638</v>
      </c>
      <c r="C1590" s="2" t="s">
        <v>4096</v>
      </c>
      <c r="D1590" s="14" t="s">
        <v>1580</v>
      </c>
      <c r="E1590" s="14">
        <v>0</v>
      </c>
      <c r="F1590" s="14">
        <v>0</v>
      </c>
      <c r="G1590" s="14">
        <v>0</v>
      </c>
      <c r="H1590" s="16">
        <v>0</v>
      </c>
      <c r="I1590" s="16">
        <v>0</v>
      </c>
      <c r="J1590" s="3" t="s">
        <v>5011</v>
      </c>
      <c r="K1590" s="16">
        <v>0</v>
      </c>
      <c r="L1590" s="16">
        <v>0</v>
      </c>
      <c r="M1590" s="16">
        <v>0</v>
      </c>
    </row>
    <row r="1591" spans="1:13" x14ac:dyDescent="0.25">
      <c r="A1591" s="2">
        <f t="shared" si="48"/>
        <v>1586</v>
      </c>
      <c r="B1591" s="2">
        <v>94798</v>
      </c>
      <c r="C1591" s="2" t="s">
        <v>4097</v>
      </c>
      <c r="D1591" s="14" t="s">
        <v>1581</v>
      </c>
      <c r="E1591" s="14">
        <v>4.8098700000000001E-2</v>
      </c>
      <c r="F1591" s="14">
        <v>0</v>
      </c>
      <c r="G1591" s="14">
        <v>4.8098700000000001E-2</v>
      </c>
      <c r="H1591" s="16">
        <v>7.8486096999999999</v>
      </c>
      <c r="I1591" s="16">
        <v>7.8486096999999999</v>
      </c>
      <c r="J1591" s="3" t="s">
        <v>5011</v>
      </c>
      <c r="K1591" s="16">
        <v>157.99777889259997</v>
      </c>
      <c r="L1591" s="16">
        <v>35.310402400000001</v>
      </c>
      <c r="M1591" s="16">
        <f t="shared" si="49"/>
        <v>4.4989372321571812</v>
      </c>
    </row>
    <row r="1592" spans="1:13" x14ac:dyDescent="0.25">
      <c r="A1592" s="2">
        <f t="shared" si="48"/>
        <v>1587</v>
      </c>
      <c r="B1592" s="2">
        <v>94862</v>
      </c>
      <c r="C1592" s="2" t="s">
        <v>4098</v>
      </c>
      <c r="D1592" s="14" t="s">
        <v>1582</v>
      </c>
      <c r="E1592" s="14">
        <v>45.341180800000004</v>
      </c>
      <c r="F1592" s="14">
        <v>0</v>
      </c>
      <c r="G1592" s="14">
        <v>45.341180800000004</v>
      </c>
      <c r="H1592" s="16">
        <v>1821.4382922999998</v>
      </c>
      <c r="I1592" s="16">
        <v>1136.0144490999999</v>
      </c>
      <c r="J1592" s="3" t="s">
        <v>5011</v>
      </c>
      <c r="K1592" s="16">
        <v>38660.779764106504</v>
      </c>
      <c r="L1592" s="16">
        <v>4463.9478736999999</v>
      </c>
      <c r="M1592" s="16">
        <f t="shared" si="49"/>
        <v>2.4507818313532885</v>
      </c>
    </row>
    <row r="1593" spans="1:13" x14ac:dyDescent="0.25">
      <c r="A1593" s="2">
        <f t="shared" si="48"/>
        <v>1588</v>
      </c>
      <c r="B1593" s="2">
        <v>94994</v>
      </c>
      <c r="C1593" s="2" t="s">
        <v>4099</v>
      </c>
      <c r="D1593" s="14" t="s">
        <v>1583</v>
      </c>
      <c r="E1593" s="14">
        <v>5.4052900000000008E-2</v>
      </c>
      <c r="F1593" s="14">
        <v>0</v>
      </c>
      <c r="G1593" s="14">
        <v>5.4052900000000008E-2</v>
      </c>
      <c r="H1593" s="16">
        <v>5.7497125000000002</v>
      </c>
      <c r="I1593" s="16">
        <v>5.2394552000000001</v>
      </c>
      <c r="J1593" s="3" t="s">
        <v>5011</v>
      </c>
      <c r="K1593" s="16">
        <v>47.778568750100007</v>
      </c>
      <c r="L1593" s="16">
        <v>8.5616760999999997</v>
      </c>
      <c r="M1593" s="16">
        <f t="shared" si="49"/>
        <v>1.4890616009061322</v>
      </c>
    </row>
    <row r="1594" spans="1:13" x14ac:dyDescent="0.25">
      <c r="A1594" s="2">
        <f t="shared" si="48"/>
        <v>1589</v>
      </c>
      <c r="B1594" s="2">
        <v>95024</v>
      </c>
      <c r="C1594" s="2" t="s">
        <v>4100</v>
      </c>
      <c r="D1594" s="14" t="s">
        <v>1584</v>
      </c>
      <c r="E1594" s="14">
        <v>0</v>
      </c>
      <c r="F1594" s="14">
        <v>0</v>
      </c>
      <c r="G1594" s="14">
        <v>0</v>
      </c>
      <c r="H1594" s="16">
        <v>0</v>
      </c>
      <c r="I1594" s="16">
        <v>0</v>
      </c>
      <c r="J1594" s="3" t="s">
        <v>5011</v>
      </c>
      <c r="K1594" s="16">
        <v>0</v>
      </c>
      <c r="L1594" s="16">
        <v>0</v>
      </c>
      <c r="M1594" s="16">
        <v>0</v>
      </c>
    </row>
    <row r="1595" spans="1:13" x14ac:dyDescent="0.25">
      <c r="A1595" s="2">
        <f t="shared" si="48"/>
        <v>1590</v>
      </c>
      <c r="B1595" s="2">
        <v>95025</v>
      </c>
      <c r="C1595" s="2" t="s">
        <v>4101</v>
      </c>
      <c r="D1595" s="14" t="s">
        <v>1585</v>
      </c>
      <c r="E1595" s="14">
        <v>0.64353320000000003</v>
      </c>
      <c r="F1595" s="14">
        <v>0</v>
      </c>
      <c r="G1595" s="14">
        <v>0.64353320000000003</v>
      </c>
      <c r="H1595" s="16">
        <v>151.84075250000001</v>
      </c>
      <c r="I1595" s="16">
        <v>108.36681160000001</v>
      </c>
      <c r="J1595" s="3" t="s">
        <v>5011</v>
      </c>
      <c r="K1595" s="16">
        <v>896.85072324939983</v>
      </c>
      <c r="L1595" s="16">
        <v>143.11621210000001</v>
      </c>
      <c r="M1595" s="16">
        <f t="shared" si="49"/>
        <v>0.94254150973072925</v>
      </c>
    </row>
    <row r="1596" spans="1:13" x14ac:dyDescent="0.25">
      <c r="A1596" s="2">
        <f t="shared" si="48"/>
        <v>1591</v>
      </c>
      <c r="B1596" s="2">
        <v>95067</v>
      </c>
      <c r="C1596" s="2" t="s">
        <v>4102</v>
      </c>
      <c r="D1596" s="14" t="s">
        <v>1586</v>
      </c>
      <c r="E1596" s="14">
        <v>22.5202715</v>
      </c>
      <c r="F1596" s="14">
        <v>0</v>
      </c>
      <c r="G1596" s="14">
        <v>22.5202715</v>
      </c>
      <c r="H1596" s="16">
        <v>30.9284535</v>
      </c>
      <c r="I1596" s="16">
        <v>12.896767000000002</v>
      </c>
      <c r="J1596" s="3" t="s">
        <v>5011</v>
      </c>
      <c r="K1596" s="16">
        <v>8915.2192135777987</v>
      </c>
      <c r="L1596" s="16">
        <v>935.35308700000007</v>
      </c>
      <c r="M1596" s="16">
        <f t="shared" si="49"/>
        <v>30.242478402613958</v>
      </c>
    </row>
    <row r="1597" spans="1:13" x14ac:dyDescent="0.25">
      <c r="A1597" s="2">
        <f t="shared" si="48"/>
        <v>1592</v>
      </c>
      <c r="B1597" s="2">
        <v>95073</v>
      </c>
      <c r="C1597" s="2" t="s">
        <v>4103</v>
      </c>
      <c r="D1597" s="14" t="s">
        <v>1587</v>
      </c>
      <c r="E1597" s="14">
        <v>1.5821999999999998E-3</v>
      </c>
      <c r="F1597" s="14">
        <v>0</v>
      </c>
      <c r="G1597" s="14">
        <v>1.5821999999999998E-3</v>
      </c>
      <c r="H1597" s="16">
        <v>0</v>
      </c>
      <c r="I1597" s="16">
        <v>0</v>
      </c>
      <c r="J1597" s="3" t="s">
        <v>5011</v>
      </c>
      <c r="K1597" s="16">
        <v>2.9278588895</v>
      </c>
      <c r="L1597" s="16">
        <v>0.8492497</v>
      </c>
      <c r="M1597" s="16">
        <v>0</v>
      </c>
    </row>
    <row r="1598" spans="1:13" x14ac:dyDescent="0.25">
      <c r="A1598" s="2">
        <f t="shared" si="48"/>
        <v>1593</v>
      </c>
      <c r="B1598" s="2">
        <v>95104</v>
      </c>
      <c r="C1598" s="2" t="s">
        <v>4104</v>
      </c>
      <c r="D1598" s="14" t="s">
        <v>1588</v>
      </c>
      <c r="E1598" s="14">
        <v>0</v>
      </c>
      <c r="F1598" s="14">
        <v>0</v>
      </c>
      <c r="G1598" s="14">
        <v>0</v>
      </c>
      <c r="H1598" s="16">
        <v>0</v>
      </c>
      <c r="I1598" s="16">
        <v>0</v>
      </c>
      <c r="J1598" s="3" t="s">
        <v>5011</v>
      </c>
      <c r="K1598" s="16">
        <v>0</v>
      </c>
      <c r="L1598" s="16">
        <v>0</v>
      </c>
      <c r="M1598" s="16">
        <v>0</v>
      </c>
    </row>
    <row r="1599" spans="1:13" x14ac:dyDescent="0.25">
      <c r="A1599" s="2">
        <f t="shared" si="48"/>
        <v>1594</v>
      </c>
      <c r="B1599" s="2">
        <v>95185</v>
      </c>
      <c r="C1599" s="2" t="s">
        <v>4105</v>
      </c>
      <c r="D1599" s="14" t="s">
        <v>1589</v>
      </c>
      <c r="E1599" s="14">
        <v>0.3258762</v>
      </c>
      <c r="F1599" s="14">
        <v>0</v>
      </c>
      <c r="G1599" s="14">
        <v>0.3258762</v>
      </c>
      <c r="H1599" s="16">
        <v>46.607880199999997</v>
      </c>
      <c r="I1599" s="16">
        <v>42.335138000000001</v>
      </c>
      <c r="J1599" s="3" t="s">
        <v>5011</v>
      </c>
      <c r="K1599" s="16">
        <v>410.74011486380004</v>
      </c>
      <c r="L1599" s="16">
        <v>66.859847299999998</v>
      </c>
      <c r="M1599" s="16">
        <f t="shared" si="49"/>
        <v>1.4345180903550299</v>
      </c>
    </row>
    <row r="1600" spans="1:13" x14ac:dyDescent="0.25">
      <c r="A1600" s="2">
        <f t="shared" si="48"/>
        <v>1595</v>
      </c>
      <c r="B1600" s="2">
        <v>95221</v>
      </c>
      <c r="C1600" s="2" t="s">
        <v>4106</v>
      </c>
      <c r="D1600" s="14" t="s">
        <v>1590</v>
      </c>
      <c r="E1600" s="14">
        <v>0.28440779999999999</v>
      </c>
      <c r="F1600" s="14">
        <v>0</v>
      </c>
      <c r="G1600" s="14">
        <v>0.28440779999999999</v>
      </c>
      <c r="H1600" s="16">
        <v>76.84143730000001</v>
      </c>
      <c r="I1600" s="16">
        <v>67.417379300000007</v>
      </c>
      <c r="J1600" s="3" t="s">
        <v>5011</v>
      </c>
      <c r="K1600" s="16">
        <v>417.18054868979993</v>
      </c>
      <c r="L1600" s="16">
        <v>87.848070100000001</v>
      </c>
      <c r="M1600" s="16">
        <f t="shared" si="49"/>
        <v>1.1432382473147726</v>
      </c>
    </row>
    <row r="1601" spans="1:13" x14ac:dyDescent="0.25">
      <c r="A1601" s="2">
        <f t="shared" si="48"/>
        <v>1596</v>
      </c>
      <c r="B1601" s="2">
        <v>95407</v>
      </c>
      <c r="C1601" s="2" t="s">
        <v>4107</v>
      </c>
      <c r="D1601" s="14" t="s">
        <v>1591</v>
      </c>
      <c r="E1601" s="14">
        <v>0</v>
      </c>
      <c r="F1601" s="14">
        <v>0</v>
      </c>
      <c r="G1601" s="14">
        <v>0</v>
      </c>
      <c r="H1601" s="16">
        <v>0</v>
      </c>
      <c r="I1601" s="16">
        <v>0</v>
      </c>
      <c r="J1601" s="3" t="s">
        <v>5011</v>
      </c>
      <c r="K1601" s="16">
        <v>0</v>
      </c>
      <c r="L1601" s="16">
        <v>0</v>
      </c>
      <c r="M1601" s="16">
        <v>0</v>
      </c>
    </row>
    <row r="1602" spans="1:13" x14ac:dyDescent="0.25">
      <c r="A1602" s="2">
        <f t="shared" si="48"/>
        <v>1597</v>
      </c>
      <c r="B1602" s="2">
        <v>95599</v>
      </c>
      <c r="C1602" s="2" t="s">
        <v>4108</v>
      </c>
      <c r="D1602" s="14" t="s">
        <v>1592</v>
      </c>
      <c r="E1602" s="14">
        <v>0</v>
      </c>
      <c r="F1602" s="14">
        <v>0</v>
      </c>
      <c r="G1602" s="14">
        <v>0</v>
      </c>
      <c r="H1602" s="16">
        <v>0</v>
      </c>
      <c r="I1602" s="16">
        <v>0</v>
      </c>
      <c r="J1602" s="3" t="s">
        <v>5011</v>
      </c>
      <c r="K1602" s="16">
        <v>0</v>
      </c>
      <c r="L1602" s="16">
        <v>0</v>
      </c>
      <c r="M1602" s="16">
        <v>0</v>
      </c>
    </row>
    <row r="1603" spans="1:13" x14ac:dyDescent="0.25">
      <c r="A1603" s="2">
        <f t="shared" si="48"/>
        <v>1598</v>
      </c>
      <c r="B1603" s="2">
        <v>95672</v>
      </c>
      <c r="C1603" s="2" t="s">
        <v>4109</v>
      </c>
      <c r="D1603" s="14" t="s">
        <v>1593</v>
      </c>
      <c r="E1603" s="14">
        <v>0</v>
      </c>
      <c r="F1603" s="14">
        <v>0</v>
      </c>
      <c r="G1603" s="14">
        <v>0</v>
      </c>
      <c r="H1603" s="16">
        <v>0</v>
      </c>
      <c r="I1603" s="16">
        <v>0</v>
      </c>
      <c r="J1603" s="3" t="s">
        <v>5011</v>
      </c>
      <c r="K1603" s="16">
        <v>0</v>
      </c>
      <c r="L1603" s="16">
        <v>0</v>
      </c>
      <c r="M1603" s="16">
        <v>0</v>
      </c>
    </row>
    <row r="1604" spans="1:13" x14ac:dyDescent="0.25">
      <c r="A1604" s="2">
        <f t="shared" si="48"/>
        <v>1599</v>
      </c>
      <c r="B1604" s="2">
        <v>95692</v>
      </c>
      <c r="C1604" s="2" t="s">
        <v>4110</v>
      </c>
      <c r="D1604" s="14" t="s">
        <v>1594</v>
      </c>
      <c r="E1604" s="14">
        <v>6.3464078000000006</v>
      </c>
      <c r="F1604" s="14">
        <v>0</v>
      </c>
      <c r="G1604" s="14">
        <v>6.3464078000000006</v>
      </c>
      <c r="H1604" s="16">
        <v>821.55324640000003</v>
      </c>
      <c r="I1604" s="16">
        <v>487.03857360000001</v>
      </c>
      <c r="J1604" s="3" t="s">
        <v>5011</v>
      </c>
      <c r="K1604" s="16">
        <v>7022.8947963188002</v>
      </c>
      <c r="L1604" s="16">
        <v>1001.9344298999999</v>
      </c>
      <c r="M1604" s="16">
        <f t="shared" si="49"/>
        <v>1.2195611596575391</v>
      </c>
    </row>
    <row r="1605" spans="1:13" x14ac:dyDescent="0.25">
      <c r="A1605" s="2">
        <f t="shared" si="48"/>
        <v>1600</v>
      </c>
      <c r="B1605" s="2">
        <v>95731</v>
      </c>
      <c r="C1605" s="2" t="s">
        <v>4111</v>
      </c>
      <c r="D1605" s="14" t="s">
        <v>1595</v>
      </c>
      <c r="E1605" s="14">
        <v>0.29861789999999999</v>
      </c>
      <c r="F1605" s="14">
        <v>0</v>
      </c>
      <c r="G1605" s="14">
        <v>0.29861789999999999</v>
      </c>
      <c r="H1605" s="16">
        <v>78.670976899999999</v>
      </c>
      <c r="I1605" s="16">
        <v>71.836070500000005</v>
      </c>
      <c r="J1605" s="3" t="s">
        <v>5011</v>
      </c>
      <c r="K1605" s="16">
        <v>394.43444452969999</v>
      </c>
      <c r="L1605" s="16">
        <v>102.4292499</v>
      </c>
      <c r="M1605" s="16">
        <f t="shared" si="49"/>
        <v>1.301995398254677</v>
      </c>
    </row>
    <row r="1606" spans="1:13" x14ac:dyDescent="0.25">
      <c r="A1606" s="2">
        <f t="shared" si="48"/>
        <v>1601</v>
      </c>
      <c r="B1606" s="2">
        <v>95748</v>
      </c>
      <c r="C1606" s="2" t="s">
        <v>4112</v>
      </c>
      <c r="D1606" s="14" t="s">
        <v>1596</v>
      </c>
      <c r="E1606" s="14">
        <v>0</v>
      </c>
      <c r="F1606" s="14">
        <v>0</v>
      </c>
      <c r="G1606" s="14">
        <v>0</v>
      </c>
      <c r="H1606" s="16">
        <v>0</v>
      </c>
      <c r="I1606" s="16">
        <v>0</v>
      </c>
      <c r="J1606" s="3" t="s">
        <v>5011</v>
      </c>
      <c r="K1606" s="16">
        <v>0</v>
      </c>
      <c r="L1606" s="16">
        <v>0</v>
      </c>
      <c r="M1606" s="16">
        <v>0</v>
      </c>
    </row>
    <row r="1607" spans="1:13" x14ac:dyDescent="0.25">
      <c r="A1607" s="2">
        <f t="shared" si="48"/>
        <v>1602</v>
      </c>
      <c r="B1607" s="2">
        <v>95768</v>
      </c>
      <c r="C1607" s="2" t="s">
        <v>4113</v>
      </c>
      <c r="D1607" s="14" t="s">
        <v>1597</v>
      </c>
      <c r="E1607" s="14">
        <v>0</v>
      </c>
      <c r="F1607" s="14">
        <v>0</v>
      </c>
      <c r="G1607" s="14">
        <v>0</v>
      </c>
      <c r="H1607" s="16">
        <v>0</v>
      </c>
      <c r="I1607" s="16">
        <v>0</v>
      </c>
      <c r="J1607" s="3" t="s">
        <v>5011</v>
      </c>
      <c r="K1607" s="16">
        <v>0</v>
      </c>
      <c r="L1607" s="16">
        <v>0</v>
      </c>
      <c r="M1607" s="16">
        <v>0</v>
      </c>
    </row>
    <row r="1608" spans="1:13" x14ac:dyDescent="0.25">
      <c r="A1608" s="2">
        <f t="shared" ref="A1608:A1671" si="50">A1607+1</f>
        <v>1603</v>
      </c>
      <c r="B1608" s="2">
        <v>95786</v>
      </c>
      <c r="C1608" s="2" t="s">
        <v>4114</v>
      </c>
      <c r="D1608" s="14" t="s">
        <v>1598</v>
      </c>
      <c r="E1608" s="14">
        <v>1.2521636</v>
      </c>
      <c r="F1608" s="14">
        <v>0</v>
      </c>
      <c r="G1608" s="14">
        <v>1.2521636</v>
      </c>
      <c r="H1608" s="16">
        <v>42.672866799999994</v>
      </c>
      <c r="I1608" s="16">
        <v>38.305428200000001</v>
      </c>
      <c r="J1608" s="3" t="s">
        <v>5011</v>
      </c>
      <c r="K1608" s="16">
        <v>1007.3490835893</v>
      </c>
      <c r="L1608" s="16">
        <v>124.81229900000001</v>
      </c>
      <c r="M1608" s="16">
        <f t="shared" ref="M1607:M1670" si="51">L1608/H1608</f>
        <v>2.9248632294842687</v>
      </c>
    </row>
    <row r="1609" spans="1:13" x14ac:dyDescent="0.25">
      <c r="A1609" s="2">
        <f t="shared" si="50"/>
        <v>1604</v>
      </c>
      <c r="B1609" s="2">
        <v>95861</v>
      </c>
      <c r="C1609" s="2" t="s">
        <v>4115</v>
      </c>
      <c r="D1609" s="14" t="s">
        <v>1599</v>
      </c>
      <c r="E1609" s="14">
        <v>2.2645016</v>
      </c>
      <c r="F1609" s="14">
        <v>0</v>
      </c>
      <c r="G1609" s="14">
        <v>2.2645016</v>
      </c>
      <c r="H1609" s="16">
        <v>260.54232469999999</v>
      </c>
      <c r="I1609" s="16">
        <v>145.79106849999999</v>
      </c>
      <c r="J1609" s="3" t="s">
        <v>5011</v>
      </c>
      <c r="K1609" s="16">
        <v>2072.6552763637001</v>
      </c>
      <c r="L1609" s="16">
        <v>290.09196470000001</v>
      </c>
      <c r="M1609" s="16">
        <f t="shared" si="51"/>
        <v>1.1134158913874157</v>
      </c>
    </row>
    <row r="1610" spans="1:13" x14ac:dyDescent="0.25">
      <c r="A1610" s="2">
        <f t="shared" si="50"/>
        <v>1605</v>
      </c>
      <c r="B1610" s="2">
        <v>96025</v>
      </c>
      <c r="C1610" s="2" t="s">
        <v>4116</v>
      </c>
      <c r="D1610" s="14" t="s">
        <v>1600</v>
      </c>
      <c r="E1610" s="14">
        <v>9.3470545999999999</v>
      </c>
      <c r="F1610" s="14">
        <v>0</v>
      </c>
      <c r="G1610" s="14">
        <v>9.3470545999999999</v>
      </c>
      <c r="H1610" s="16">
        <v>379.25057799999996</v>
      </c>
      <c r="I1610" s="16">
        <v>341.82575209999993</v>
      </c>
      <c r="J1610" s="3" t="s">
        <v>5011</v>
      </c>
      <c r="K1610" s="16">
        <v>8139.8415609650965</v>
      </c>
      <c r="L1610" s="16">
        <v>1057.5086633999999</v>
      </c>
      <c r="M1610" s="16">
        <f t="shared" si="51"/>
        <v>2.7884167480425042</v>
      </c>
    </row>
    <row r="1611" spans="1:13" x14ac:dyDescent="0.25">
      <c r="A1611" s="2">
        <f t="shared" si="50"/>
        <v>1606</v>
      </c>
      <c r="B1611" s="2">
        <v>96039</v>
      </c>
      <c r="C1611" s="2" t="s">
        <v>4117</v>
      </c>
      <c r="D1611" s="14" t="s">
        <v>1601</v>
      </c>
      <c r="E1611" s="14">
        <v>7.8292812999999999</v>
      </c>
      <c r="F1611" s="14">
        <v>0</v>
      </c>
      <c r="G1611" s="14">
        <v>7.8292812999999999</v>
      </c>
      <c r="H1611" s="16">
        <v>891.85621249999997</v>
      </c>
      <c r="I1611" s="16">
        <v>682.22198370000001</v>
      </c>
      <c r="J1611" s="3" t="s">
        <v>5011</v>
      </c>
      <c r="K1611" s="16">
        <v>10247.791881764704</v>
      </c>
      <c r="L1611" s="16">
        <v>1412.9509140999999</v>
      </c>
      <c r="M1611" s="16">
        <f t="shared" si="51"/>
        <v>1.5842810694106142</v>
      </c>
    </row>
    <row r="1612" spans="1:13" x14ac:dyDescent="0.25">
      <c r="A1612" s="2">
        <f t="shared" si="50"/>
        <v>1607</v>
      </c>
      <c r="B1612" s="2">
        <v>96040</v>
      </c>
      <c r="C1612" s="2" t="s">
        <v>4118</v>
      </c>
      <c r="D1612" s="14" t="s">
        <v>1602</v>
      </c>
      <c r="E1612" s="14">
        <v>4.6198324</v>
      </c>
      <c r="F1612" s="14">
        <v>0</v>
      </c>
      <c r="G1612" s="14">
        <v>4.6198324</v>
      </c>
      <c r="H1612" s="16">
        <v>1274.5874925000001</v>
      </c>
      <c r="I1612" s="16">
        <v>1139.6474351000002</v>
      </c>
      <c r="J1612" s="3" t="s">
        <v>5011</v>
      </c>
      <c r="K1612" s="16">
        <v>6466.2419282851997</v>
      </c>
      <c r="L1612" s="16">
        <v>1398.9448327</v>
      </c>
      <c r="M1612" s="16">
        <f t="shared" si="51"/>
        <v>1.0975667350666396</v>
      </c>
    </row>
    <row r="1613" spans="1:13" x14ac:dyDescent="0.25">
      <c r="A1613" s="2">
        <f t="shared" si="50"/>
        <v>1608</v>
      </c>
      <c r="B1613" s="2">
        <v>96083</v>
      </c>
      <c r="C1613" s="2" t="s">
        <v>4119</v>
      </c>
      <c r="D1613" s="14" t="s">
        <v>1603</v>
      </c>
      <c r="E1613" s="14">
        <v>2.4632E-3</v>
      </c>
      <c r="F1613" s="14">
        <v>0</v>
      </c>
      <c r="G1613" s="14">
        <v>2.4632E-3</v>
      </c>
      <c r="H1613" s="16">
        <v>43.477826399999998</v>
      </c>
      <c r="I1613" s="16">
        <v>39.427826399999994</v>
      </c>
      <c r="J1613" s="3" t="s">
        <v>5011</v>
      </c>
      <c r="K1613" s="16">
        <v>69.142360562099995</v>
      </c>
      <c r="L1613" s="16">
        <v>39.849312000000005</v>
      </c>
      <c r="M1613" s="16">
        <f t="shared" si="51"/>
        <v>0.91654333483423645</v>
      </c>
    </row>
    <row r="1614" spans="1:13" x14ac:dyDescent="0.25">
      <c r="A1614" s="2">
        <f t="shared" si="50"/>
        <v>1609</v>
      </c>
      <c r="B1614" s="2">
        <v>96137</v>
      </c>
      <c r="C1614" s="2" t="s">
        <v>4120</v>
      </c>
      <c r="D1614" s="14" t="s">
        <v>1604</v>
      </c>
      <c r="E1614" s="14">
        <v>5.1133699999999997E-2</v>
      </c>
      <c r="F1614" s="14">
        <v>0</v>
      </c>
      <c r="G1614" s="14">
        <v>5.1133699999999997E-2</v>
      </c>
      <c r="H1614" s="16">
        <v>2.3922262000000001</v>
      </c>
      <c r="I1614" s="16">
        <v>2.0798804</v>
      </c>
      <c r="J1614" s="3" t="s">
        <v>5011</v>
      </c>
      <c r="K1614" s="16">
        <v>59.382011060199993</v>
      </c>
      <c r="L1614" s="16">
        <v>8.4619862000000001</v>
      </c>
      <c r="M1614" s="16">
        <f t="shared" si="51"/>
        <v>3.5372851446907485</v>
      </c>
    </row>
    <row r="1615" spans="1:13" x14ac:dyDescent="0.25">
      <c r="A1615" s="2">
        <f t="shared" si="50"/>
        <v>1610</v>
      </c>
      <c r="B1615" s="2">
        <v>96139</v>
      </c>
      <c r="C1615" s="2" t="s">
        <v>4121</v>
      </c>
      <c r="D1615" s="14" t="s">
        <v>1605</v>
      </c>
      <c r="E1615" s="14">
        <v>14.249799699999997</v>
      </c>
      <c r="F1615" s="14">
        <v>0</v>
      </c>
      <c r="G1615" s="14">
        <v>14.249799699999997</v>
      </c>
      <c r="H1615" s="16">
        <v>2270.6969334</v>
      </c>
      <c r="I1615" s="16">
        <v>1810.9595404000002</v>
      </c>
      <c r="J1615" s="3" t="s">
        <v>5011</v>
      </c>
      <c r="K1615" s="16">
        <v>16430.953672499498</v>
      </c>
      <c r="L1615" s="16">
        <v>2881.5691381000001</v>
      </c>
      <c r="M1615" s="16">
        <f t="shared" si="51"/>
        <v>1.2690241025627838</v>
      </c>
    </row>
    <row r="1616" spans="1:13" x14ac:dyDescent="0.25">
      <c r="A1616" s="2">
        <f t="shared" si="50"/>
        <v>1611</v>
      </c>
      <c r="B1616" s="2">
        <v>96178</v>
      </c>
      <c r="C1616" s="2" t="s">
        <v>4122</v>
      </c>
      <c r="D1616" s="14" t="s">
        <v>1606</v>
      </c>
      <c r="E1616" s="14">
        <v>0.57424019999999998</v>
      </c>
      <c r="F1616" s="14">
        <v>0</v>
      </c>
      <c r="G1616" s="14">
        <v>0.57424019999999998</v>
      </c>
      <c r="H1616" s="16">
        <v>48.157592000000001</v>
      </c>
      <c r="I1616" s="16">
        <v>-39.73769999999999</v>
      </c>
      <c r="J1616" s="3" t="s">
        <v>5011</v>
      </c>
      <c r="K1616" s="16">
        <v>574.11220027929994</v>
      </c>
      <c r="L1616" s="16">
        <v>44.130040899999997</v>
      </c>
      <c r="M1616" s="16">
        <f t="shared" si="51"/>
        <v>0.91636726562241722</v>
      </c>
    </row>
    <row r="1617" spans="1:13" x14ac:dyDescent="0.25">
      <c r="A1617" s="2">
        <f t="shared" si="50"/>
        <v>1612</v>
      </c>
      <c r="B1617" s="2">
        <v>96338</v>
      </c>
      <c r="C1617" s="2" t="s">
        <v>4123</v>
      </c>
      <c r="D1617" s="14" t="s">
        <v>1607</v>
      </c>
      <c r="E1617" s="14">
        <v>0</v>
      </c>
      <c r="F1617" s="14">
        <v>0</v>
      </c>
      <c r="G1617" s="14">
        <v>0</v>
      </c>
      <c r="H1617" s="16">
        <v>0</v>
      </c>
      <c r="I1617" s="16">
        <v>0</v>
      </c>
      <c r="J1617" s="3" t="s">
        <v>5011</v>
      </c>
      <c r="K1617" s="16">
        <v>0</v>
      </c>
      <c r="L1617" s="16">
        <v>0</v>
      </c>
      <c r="M1617" s="16">
        <v>0</v>
      </c>
    </row>
    <row r="1618" spans="1:13" x14ac:dyDescent="0.25">
      <c r="A1618" s="2">
        <f t="shared" si="50"/>
        <v>1613</v>
      </c>
      <c r="B1618" s="2">
        <v>96366</v>
      </c>
      <c r="C1618" s="2" t="s">
        <v>4124</v>
      </c>
      <c r="D1618" s="14" t="s">
        <v>1608</v>
      </c>
      <c r="E1618" s="14">
        <v>0</v>
      </c>
      <c r="F1618" s="14">
        <v>0</v>
      </c>
      <c r="G1618" s="14">
        <v>0</v>
      </c>
      <c r="H1618" s="16">
        <v>0</v>
      </c>
      <c r="I1618" s="16">
        <v>0</v>
      </c>
      <c r="J1618" s="3" t="s">
        <v>5011</v>
      </c>
      <c r="K1618" s="16">
        <v>0</v>
      </c>
      <c r="L1618" s="16">
        <v>0</v>
      </c>
      <c r="M1618" s="16">
        <v>0</v>
      </c>
    </row>
    <row r="1619" spans="1:13" x14ac:dyDescent="0.25">
      <c r="A1619" s="2">
        <f t="shared" si="50"/>
        <v>1614</v>
      </c>
      <c r="B1619" s="2">
        <v>96373</v>
      </c>
      <c r="C1619" s="2" t="s">
        <v>4125</v>
      </c>
      <c r="D1619" s="14" t="s">
        <v>1609</v>
      </c>
      <c r="E1619" s="14">
        <v>1.5080929000000003</v>
      </c>
      <c r="F1619" s="14">
        <v>0</v>
      </c>
      <c r="G1619" s="14">
        <v>1.5080929000000003</v>
      </c>
      <c r="H1619" s="16">
        <v>100.4807763</v>
      </c>
      <c r="I1619" s="16">
        <v>71.221866599999998</v>
      </c>
      <c r="J1619" s="3" t="s">
        <v>5011</v>
      </c>
      <c r="K1619" s="16">
        <v>1593.2660548603999</v>
      </c>
      <c r="L1619" s="16">
        <v>211.92778000000001</v>
      </c>
      <c r="M1619" s="16">
        <f t="shared" si="51"/>
        <v>2.1091375664461305</v>
      </c>
    </row>
    <row r="1620" spans="1:13" x14ac:dyDescent="0.25">
      <c r="A1620" s="2">
        <f t="shared" si="50"/>
        <v>1615</v>
      </c>
      <c r="B1620" s="2">
        <v>96377</v>
      </c>
      <c r="C1620" s="2" t="s">
        <v>4126</v>
      </c>
      <c r="D1620" s="14" t="s">
        <v>1610</v>
      </c>
      <c r="E1620" s="14">
        <v>1.3090001</v>
      </c>
      <c r="F1620" s="14">
        <v>0</v>
      </c>
      <c r="G1620" s="14">
        <v>1.3090001</v>
      </c>
      <c r="H1620" s="16">
        <v>210.26801789999999</v>
      </c>
      <c r="I1620" s="16">
        <v>146.01377529999999</v>
      </c>
      <c r="J1620" s="3" t="s">
        <v>5011</v>
      </c>
      <c r="K1620" s="16">
        <v>1322.3818054959002</v>
      </c>
      <c r="L1620" s="16">
        <v>249.76380920000003</v>
      </c>
      <c r="M1620" s="16">
        <f t="shared" si="51"/>
        <v>1.1878354668220803</v>
      </c>
    </row>
    <row r="1621" spans="1:13" x14ac:dyDescent="0.25">
      <c r="A1621" s="2">
        <f t="shared" si="50"/>
        <v>1616</v>
      </c>
      <c r="B1621" s="2">
        <v>96400</v>
      </c>
      <c r="C1621" s="2" t="s">
        <v>4127</v>
      </c>
      <c r="D1621" s="14" t="s">
        <v>1611</v>
      </c>
      <c r="E1621" s="14">
        <v>1.9089E-3</v>
      </c>
      <c r="F1621" s="14">
        <v>0</v>
      </c>
      <c r="G1621" s="14">
        <v>1.9089E-3</v>
      </c>
      <c r="H1621" s="16">
        <v>0.11999399999999999</v>
      </c>
      <c r="I1621" s="16">
        <v>0.11999399999999999</v>
      </c>
      <c r="J1621" s="3" t="s">
        <v>5011</v>
      </c>
      <c r="K1621" s="16">
        <v>1.9849560029000002</v>
      </c>
      <c r="L1621" s="16">
        <v>0.2533165</v>
      </c>
      <c r="M1621" s="16">
        <f t="shared" si="51"/>
        <v>2.111076387152691</v>
      </c>
    </row>
    <row r="1622" spans="1:13" x14ac:dyDescent="0.25">
      <c r="A1622" s="2">
        <f t="shared" si="50"/>
        <v>1617</v>
      </c>
      <c r="B1622" s="2">
        <v>96404</v>
      </c>
      <c r="C1622" s="2" t="s">
        <v>4128</v>
      </c>
      <c r="D1622" s="14" t="s">
        <v>1612</v>
      </c>
      <c r="E1622" s="14">
        <v>0</v>
      </c>
      <c r="F1622" s="14">
        <v>0</v>
      </c>
      <c r="G1622" s="14">
        <v>0</v>
      </c>
      <c r="H1622" s="16">
        <v>0</v>
      </c>
      <c r="I1622" s="16">
        <v>0</v>
      </c>
      <c r="J1622" s="3" t="s">
        <v>5011</v>
      </c>
      <c r="K1622" s="16">
        <v>0</v>
      </c>
      <c r="L1622" s="16">
        <v>0</v>
      </c>
      <c r="M1622" s="16">
        <v>0</v>
      </c>
    </row>
    <row r="1623" spans="1:13" x14ac:dyDescent="0.25">
      <c r="A1623" s="2">
        <f t="shared" si="50"/>
        <v>1618</v>
      </c>
      <c r="B1623" s="2">
        <v>96447</v>
      </c>
      <c r="C1623" s="2" t="s">
        <v>4129</v>
      </c>
      <c r="D1623" s="14" t="s">
        <v>1613</v>
      </c>
      <c r="E1623" s="14">
        <v>0.190192</v>
      </c>
      <c r="F1623" s="14">
        <v>0</v>
      </c>
      <c r="G1623" s="14">
        <v>0.190192</v>
      </c>
      <c r="H1623" s="16">
        <v>59.672018499999993</v>
      </c>
      <c r="I1623" s="16">
        <v>45.559523499999997</v>
      </c>
      <c r="J1623" s="3" t="s">
        <v>5011</v>
      </c>
      <c r="K1623" s="16">
        <v>251.44191110849997</v>
      </c>
      <c r="L1623" s="16">
        <v>62.794872000000005</v>
      </c>
      <c r="M1623" s="16">
        <f t="shared" si="51"/>
        <v>1.0523336327226809</v>
      </c>
    </row>
    <row r="1624" spans="1:13" x14ac:dyDescent="0.25">
      <c r="A1624" s="2">
        <f t="shared" si="50"/>
        <v>1619</v>
      </c>
      <c r="B1624" s="2">
        <v>96545</v>
      </c>
      <c r="C1624" s="2" t="s">
        <v>4130</v>
      </c>
      <c r="D1624" s="14" t="s">
        <v>1614</v>
      </c>
      <c r="E1624" s="14">
        <v>2.1912859</v>
      </c>
      <c r="F1624" s="14">
        <v>0</v>
      </c>
      <c r="G1624" s="14">
        <v>2.1912859</v>
      </c>
      <c r="H1624" s="16">
        <v>52.350425899999998</v>
      </c>
      <c r="I1624" s="16">
        <v>38.483433699999999</v>
      </c>
      <c r="J1624" s="3" t="s">
        <v>5011</v>
      </c>
      <c r="K1624" s="16">
        <v>1835.7600816233999</v>
      </c>
      <c r="L1624" s="16">
        <v>215.77974979999999</v>
      </c>
      <c r="M1624" s="16">
        <f t="shared" si="51"/>
        <v>4.1218337022163558</v>
      </c>
    </row>
    <row r="1625" spans="1:13" x14ac:dyDescent="0.25">
      <c r="A1625" s="2">
        <f t="shared" si="50"/>
        <v>1620</v>
      </c>
      <c r="B1625" s="2">
        <v>96560</v>
      </c>
      <c r="C1625" s="2" t="s">
        <v>4131</v>
      </c>
      <c r="D1625" s="14" t="s">
        <v>1615</v>
      </c>
      <c r="E1625" s="14">
        <v>0.10185699999999999</v>
      </c>
      <c r="F1625" s="14">
        <v>0</v>
      </c>
      <c r="G1625" s="14">
        <v>0.10185699999999999</v>
      </c>
      <c r="H1625" s="16">
        <v>8.6429669999999987</v>
      </c>
      <c r="I1625" s="16">
        <v>6.9555622999999995</v>
      </c>
      <c r="J1625" s="3" t="s">
        <v>5011</v>
      </c>
      <c r="K1625" s="16">
        <v>135.79700242940001</v>
      </c>
      <c r="L1625" s="16">
        <v>18.194307599999998</v>
      </c>
      <c r="M1625" s="16">
        <f t="shared" si="51"/>
        <v>2.1050997417900592</v>
      </c>
    </row>
    <row r="1626" spans="1:13" x14ac:dyDescent="0.25">
      <c r="A1626" s="2">
        <f t="shared" si="50"/>
        <v>1621</v>
      </c>
      <c r="B1626" s="2">
        <v>96578</v>
      </c>
      <c r="C1626" s="2" t="s">
        <v>4132</v>
      </c>
      <c r="D1626" s="14" t="s">
        <v>1616</v>
      </c>
      <c r="E1626" s="14">
        <v>2.3578000000000002E-3</v>
      </c>
      <c r="F1626" s="14">
        <v>0</v>
      </c>
      <c r="G1626" s="14">
        <v>2.3578000000000002E-3</v>
      </c>
      <c r="H1626" s="16">
        <v>3.4998264000000003</v>
      </c>
      <c r="I1626" s="16">
        <v>3.4998264000000003</v>
      </c>
      <c r="J1626" s="3" t="s">
        <v>5011</v>
      </c>
      <c r="K1626" s="16">
        <v>10.388927429200001</v>
      </c>
      <c r="L1626" s="16">
        <v>3.7625540999999996</v>
      </c>
      <c r="M1626" s="16">
        <f t="shared" si="51"/>
        <v>1.0750687805543724</v>
      </c>
    </row>
    <row r="1627" spans="1:13" x14ac:dyDescent="0.25">
      <c r="A1627" s="2">
        <f t="shared" si="50"/>
        <v>1622</v>
      </c>
      <c r="B1627" s="2">
        <v>96623</v>
      </c>
      <c r="C1627" s="2" t="s">
        <v>4133</v>
      </c>
      <c r="D1627" s="14" t="s">
        <v>1617</v>
      </c>
      <c r="E1627" s="14">
        <v>11.3542571</v>
      </c>
      <c r="F1627" s="14">
        <v>0</v>
      </c>
      <c r="G1627" s="14">
        <v>11.3542571</v>
      </c>
      <c r="H1627" s="16">
        <v>1473.3145688</v>
      </c>
      <c r="I1627" s="16">
        <v>1164.0079259000001</v>
      </c>
      <c r="J1627" s="3" t="s">
        <v>5011</v>
      </c>
      <c r="K1627" s="16">
        <v>11151.337009973202</v>
      </c>
      <c r="L1627" s="16">
        <v>2065.6449018000003</v>
      </c>
      <c r="M1627" s="16">
        <f t="shared" si="51"/>
        <v>1.4020392830856532</v>
      </c>
    </row>
    <row r="1628" spans="1:13" x14ac:dyDescent="0.25">
      <c r="A1628" s="2">
        <f t="shared" si="50"/>
        <v>1623</v>
      </c>
      <c r="B1628" s="2">
        <v>96672</v>
      </c>
      <c r="C1628" s="2" t="s">
        <v>4134</v>
      </c>
      <c r="D1628" s="14" t="s">
        <v>1618</v>
      </c>
      <c r="E1628" s="14">
        <v>0.30394549999999998</v>
      </c>
      <c r="F1628" s="14">
        <v>0</v>
      </c>
      <c r="G1628" s="14">
        <v>0.30394549999999998</v>
      </c>
      <c r="H1628" s="16">
        <v>107.28554800000001</v>
      </c>
      <c r="I1628" s="16">
        <v>85.105365800000001</v>
      </c>
      <c r="J1628" s="3" t="s">
        <v>5011</v>
      </c>
      <c r="K1628" s="16">
        <v>592.73156789309985</v>
      </c>
      <c r="L1628" s="16">
        <v>122.1621983</v>
      </c>
      <c r="M1628" s="16">
        <f t="shared" si="51"/>
        <v>1.1386640659187386</v>
      </c>
    </row>
    <row r="1629" spans="1:13" x14ac:dyDescent="0.25">
      <c r="A1629" s="2">
        <f t="shared" si="50"/>
        <v>1624</v>
      </c>
      <c r="B1629" s="2">
        <v>96933</v>
      </c>
      <c r="C1629" s="2" t="s">
        <v>4135</v>
      </c>
      <c r="D1629" s="14" t="s">
        <v>1619</v>
      </c>
      <c r="E1629" s="14">
        <v>0</v>
      </c>
      <c r="F1629" s="14">
        <v>0</v>
      </c>
      <c r="G1629" s="14">
        <v>0</v>
      </c>
      <c r="H1629" s="16">
        <v>0</v>
      </c>
      <c r="I1629" s="16">
        <v>0</v>
      </c>
      <c r="J1629" s="3" t="s">
        <v>5011</v>
      </c>
      <c r="K1629" s="16">
        <v>0</v>
      </c>
      <c r="L1629" s="16">
        <v>0</v>
      </c>
      <c r="M1629" s="16">
        <v>0</v>
      </c>
    </row>
    <row r="1630" spans="1:13" x14ac:dyDescent="0.25">
      <c r="A1630" s="2">
        <f t="shared" si="50"/>
        <v>1625</v>
      </c>
      <c r="B1630" s="2">
        <v>96974</v>
      </c>
      <c r="C1630" s="2" t="s">
        <v>4136</v>
      </c>
      <c r="D1630" s="14" t="s">
        <v>1620</v>
      </c>
      <c r="E1630" s="14">
        <v>0.84361879999999989</v>
      </c>
      <c r="F1630" s="14">
        <v>0</v>
      </c>
      <c r="G1630" s="14">
        <v>0.84361879999999989</v>
      </c>
      <c r="H1630" s="16">
        <v>163.7060797</v>
      </c>
      <c r="I1630" s="16">
        <v>161.67681970000001</v>
      </c>
      <c r="J1630" s="3" t="s">
        <v>5011</v>
      </c>
      <c r="K1630" s="16">
        <v>1047.0012631002</v>
      </c>
      <c r="L1630" s="16">
        <v>216.75859170000001</v>
      </c>
      <c r="M1630" s="16">
        <f t="shared" si="51"/>
        <v>1.3240717271907159</v>
      </c>
    </row>
    <row r="1631" spans="1:13" x14ac:dyDescent="0.25">
      <c r="A1631" s="2">
        <f t="shared" si="50"/>
        <v>1626</v>
      </c>
      <c r="B1631" s="2">
        <v>96994</v>
      </c>
      <c r="C1631" s="2" t="s">
        <v>4137</v>
      </c>
      <c r="D1631" s="14" t="s">
        <v>1621</v>
      </c>
      <c r="E1631" s="14">
        <v>7.2876909999999997</v>
      </c>
      <c r="F1631" s="14">
        <v>0</v>
      </c>
      <c r="G1631" s="14">
        <v>7.2876909999999997</v>
      </c>
      <c r="H1631" s="16">
        <v>1787.9884800999998</v>
      </c>
      <c r="I1631" s="16">
        <v>1527.1191191</v>
      </c>
      <c r="J1631" s="3" t="s">
        <v>5011</v>
      </c>
      <c r="K1631" s="16">
        <v>19215.371959382002</v>
      </c>
      <c r="L1631" s="16">
        <v>3882.0672626</v>
      </c>
      <c r="M1631" s="16">
        <f t="shared" si="51"/>
        <v>2.171192547271267</v>
      </c>
    </row>
    <row r="1632" spans="1:13" x14ac:dyDescent="0.25">
      <c r="A1632" s="2">
        <f t="shared" si="50"/>
        <v>1627</v>
      </c>
      <c r="B1632" s="2">
        <v>97038</v>
      </c>
      <c r="C1632" s="2" t="s">
        <v>4138</v>
      </c>
      <c r="D1632" s="14" t="s">
        <v>1622</v>
      </c>
      <c r="E1632" s="14">
        <v>3.3408905000000004</v>
      </c>
      <c r="F1632" s="14">
        <v>0</v>
      </c>
      <c r="G1632" s="14">
        <v>3.3408905000000004</v>
      </c>
      <c r="H1632" s="16">
        <v>98.635178100000005</v>
      </c>
      <c r="I1632" s="16">
        <v>34.395296800000004</v>
      </c>
      <c r="J1632" s="3" t="s">
        <v>5011</v>
      </c>
      <c r="K1632" s="16">
        <v>3172.4480534526006</v>
      </c>
      <c r="L1632" s="16">
        <v>356.93298729999998</v>
      </c>
      <c r="M1632" s="16">
        <f t="shared" si="51"/>
        <v>3.6187189416146039</v>
      </c>
    </row>
    <row r="1633" spans="1:13" x14ac:dyDescent="0.25">
      <c r="A1633" s="2">
        <f t="shared" si="50"/>
        <v>1628</v>
      </c>
      <c r="B1633" s="2">
        <v>97198</v>
      </c>
      <c r="C1633" s="2" t="s">
        <v>4139</v>
      </c>
      <c r="D1633" s="14" t="s">
        <v>1623</v>
      </c>
      <c r="E1633" s="14">
        <v>5.4439000000000006E-3</v>
      </c>
      <c r="F1633" s="14">
        <v>0</v>
      </c>
      <c r="G1633" s="14">
        <v>5.4439000000000006E-3</v>
      </c>
      <c r="H1633" s="16">
        <v>0</v>
      </c>
      <c r="I1633" s="16">
        <v>0</v>
      </c>
      <c r="J1633" s="3" t="s">
        <v>5011</v>
      </c>
      <c r="K1633" s="16">
        <v>6.7728889885000001</v>
      </c>
      <c r="L1633" s="16">
        <v>0.69715240000000001</v>
      </c>
      <c r="M1633" s="16">
        <v>0</v>
      </c>
    </row>
    <row r="1634" spans="1:13" x14ac:dyDescent="0.25">
      <c r="A1634" s="2">
        <f t="shared" si="50"/>
        <v>1629</v>
      </c>
      <c r="B1634" s="2">
        <v>97237</v>
      </c>
      <c r="C1634" s="2" t="s">
        <v>4140</v>
      </c>
      <c r="D1634" s="14" t="s">
        <v>1624</v>
      </c>
      <c r="E1634" s="14">
        <v>3.4352847999999998</v>
      </c>
      <c r="F1634" s="14">
        <v>0</v>
      </c>
      <c r="G1634" s="14">
        <v>3.4352847999999998</v>
      </c>
      <c r="H1634" s="16">
        <v>276.49612769999999</v>
      </c>
      <c r="I1634" s="16">
        <v>232.8200215</v>
      </c>
      <c r="J1634" s="3" t="s">
        <v>5011</v>
      </c>
      <c r="K1634" s="16">
        <v>3382.3046781108997</v>
      </c>
      <c r="L1634" s="16">
        <v>542.1036795</v>
      </c>
      <c r="M1634" s="16">
        <f t="shared" si="51"/>
        <v>1.9606194271486719</v>
      </c>
    </row>
    <row r="1635" spans="1:13" x14ac:dyDescent="0.25">
      <c r="A1635" s="2">
        <f t="shared" si="50"/>
        <v>1630</v>
      </c>
      <c r="B1635" s="2">
        <v>97243</v>
      </c>
      <c r="C1635" s="2" t="s">
        <v>4141</v>
      </c>
      <c r="D1635" s="14" t="s">
        <v>1625</v>
      </c>
      <c r="E1635" s="14">
        <v>4.6368000000000008E-3</v>
      </c>
      <c r="F1635" s="14">
        <v>0</v>
      </c>
      <c r="G1635" s="14">
        <v>4.6368000000000008E-3</v>
      </c>
      <c r="H1635" s="16">
        <v>3.1398429999999999</v>
      </c>
      <c r="I1635" s="16">
        <v>3.1398429999999999</v>
      </c>
      <c r="J1635" s="3" t="s">
        <v>5011</v>
      </c>
      <c r="K1635" s="16">
        <v>22.2784796101</v>
      </c>
      <c r="L1635" s="16">
        <v>4.4859666999999996</v>
      </c>
      <c r="M1635" s="16">
        <f t="shared" si="51"/>
        <v>1.4287232514491965</v>
      </c>
    </row>
    <row r="1636" spans="1:13" x14ac:dyDescent="0.25">
      <c r="A1636" s="2">
        <f t="shared" si="50"/>
        <v>1631</v>
      </c>
      <c r="B1636" s="2">
        <v>97251</v>
      </c>
      <c r="C1636" s="2" t="s">
        <v>4142</v>
      </c>
      <c r="D1636" s="14" t="s">
        <v>1626</v>
      </c>
      <c r="E1636" s="14">
        <v>0</v>
      </c>
      <c r="F1636" s="14">
        <v>0</v>
      </c>
      <c r="G1636" s="14">
        <v>0</v>
      </c>
      <c r="H1636" s="16">
        <v>0</v>
      </c>
      <c r="I1636" s="16">
        <v>0</v>
      </c>
      <c r="J1636" s="3" t="s">
        <v>5011</v>
      </c>
      <c r="K1636" s="16">
        <v>0</v>
      </c>
      <c r="L1636" s="16">
        <v>0</v>
      </c>
      <c r="M1636" s="16">
        <v>0</v>
      </c>
    </row>
    <row r="1637" spans="1:13" x14ac:dyDescent="0.25">
      <c r="A1637" s="2">
        <f t="shared" si="50"/>
        <v>1632</v>
      </c>
      <c r="B1637" s="2">
        <v>97272</v>
      </c>
      <c r="C1637" s="2" t="s">
        <v>4143</v>
      </c>
      <c r="D1637" s="14" t="s">
        <v>1627</v>
      </c>
      <c r="E1637" s="14">
        <v>2.2089005999999998</v>
      </c>
      <c r="F1637" s="14">
        <v>0</v>
      </c>
      <c r="G1637" s="14">
        <v>2.2089005999999998</v>
      </c>
      <c r="H1637" s="16">
        <v>194.98633480000001</v>
      </c>
      <c r="I1637" s="16">
        <v>139.82643909999999</v>
      </c>
      <c r="J1637" s="3" t="s">
        <v>5011</v>
      </c>
      <c r="K1637" s="16">
        <v>2279.4187256269001</v>
      </c>
      <c r="L1637" s="16">
        <v>312.04772639999999</v>
      </c>
      <c r="M1637" s="16">
        <f t="shared" si="51"/>
        <v>1.6003569004980343</v>
      </c>
    </row>
    <row r="1638" spans="1:13" x14ac:dyDescent="0.25">
      <c r="A1638" s="2">
        <f t="shared" si="50"/>
        <v>1633</v>
      </c>
      <c r="B1638" s="2">
        <v>97274</v>
      </c>
      <c r="C1638" s="2" t="s">
        <v>4144</v>
      </c>
      <c r="D1638" s="14" t="s">
        <v>1628</v>
      </c>
      <c r="E1638" s="14">
        <v>0</v>
      </c>
      <c r="F1638" s="14">
        <v>0</v>
      </c>
      <c r="G1638" s="14">
        <v>0</v>
      </c>
      <c r="H1638" s="16">
        <v>0</v>
      </c>
      <c r="I1638" s="16">
        <v>0</v>
      </c>
      <c r="J1638" s="3" t="s">
        <v>5011</v>
      </c>
      <c r="K1638" s="16">
        <v>0</v>
      </c>
      <c r="L1638" s="16">
        <v>0</v>
      </c>
      <c r="M1638" s="16">
        <v>0</v>
      </c>
    </row>
    <row r="1639" spans="1:13" x14ac:dyDescent="0.25">
      <c r="A1639" s="2">
        <f t="shared" si="50"/>
        <v>1634</v>
      </c>
      <c r="B1639" s="2">
        <v>97408</v>
      </c>
      <c r="C1639" s="2" t="s">
        <v>4145</v>
      </c>
      <c r="D1639" s="14" t="s">
        <v>1629</v>
      </c>
      <c r="E1639" s="14">
        <v>0</v>
      </c>
      <c r="F1639" s="14">
        <v>0</v>
      </c>
      <c r="G1639" s="14">
        <v>0</v>
      </c>
      <c r="H1639" s="16">
        <v>0</v>
      </c>
      <c r="I1639" s="16">
        <v>0</v>
      </c>
      <c r="J1639" s="3" t="s">
        <v>5011</v>
      </c>
      <c r="K1639" s="16">
        <v>0</v>
      </c>
      <c r="L1639" s="16">
        <v>0</v>
      </c>
      <c r="M1639" s="16">
        <v>0</v>
      </c>
    </row>
    <row r="1640" spans="1:13" x14ac:dyDescent="0.25">
      <c r="A1640" s="2">
        <f t="shared" si="50"/>
        <v>1635</v>
      </c>
      <c r="B1640" s="2">
        <v>97525</v>
      </c>
      <c r="C1640" s="2" t="s">
        <v>4146</v>
      </c>
      <c r="D1640" s="14" t="s">
        <v>1630</v>
      </c>
      <c r="E1640" s="14">
        <v>2.9148152000000001</v>
      </c>
      <c r="F1640" s="14">
        <v>0</v>
      </c>
      <c r="G1640" s="14">
        <v>2.9148152000000001</v>
      </c>
      <c r="H1640" s="16">
        <v>285.12574319999999</v>
      </c>
      <c r="I1640" s="16">
        <v>285.12574319999999</v>
      </c>
      <c r="J1640" s="3" t="s">
        <v>5011</v>
      </c>
      <c r="K1640" s="16">
        <v>2864.0185418498004</v>
      </c>
      <c r="L1640" s="16">
        <v>447.18882619999999</v>
      </c>
      <c r="M1640" s="16">
        <f t="shared" si="51"/>
        <v>1.5683916197153818</v>
      </c>
    </row>
    <row r="1641" spans="1:13" x14ac:dyDescent="0.25">
      <c r="A1641" s="2">
        <f t="shared" si="50"/>
        <v>1636</v>
      </c>
      <c r="B1641" s="2">
        <v>97534</v>
      </c>
      <c r="C1641" s="2" t="s">
        <v>4147</v>
      </c>
      <c r="D1641" s="14" t="s">
        <v>1631</v>
      </c>
      <c r="E1641" s="14">
        <v>7.8299604</v>
      </c>
      <c r="F1641" s="14">
        <v>0</v>
      </c>
      <c r="G1641" s="14">
        <v>7.8299604</v>
      </c>
      <c r="H1641" s="16">
        <v>2532.5940168000002</v>
      </c>
      <c r="I1641" s="16">
        <v>1817.3331082</v>
      </c>
      <c r="J1641" s="3" t="s">
        <v>5011</v>
      </c>
      <c r="K1641" s="16">
        <v>11642.275206514099</v>
      </c>
      <c r="L1641" s="16">
        <v>2209.9763186</v>
      </c>
      <c r="M1641" s="16">
        <f t="shared" si="51"/>
        <v>0.87261373277362619</v>
      </c>
    </row>
    <row r="1642" spans="1:13" x14ac:dyDescent="0.25">
      <c r="A1642" s="2">
        <f t="shared" si="50"/>
        <v>1637</v>
      </c>
      <c r="B1642" s="2">
        <v>97613</v>
      </c>
      <c r="C1642" s="2" t="s">
        <v>4148</v>
      </c>
      <c r="D1642" s="14" t="s">
        <v>1632</v>
      </c>
      <c r="E1642" s="14">
        <v>0</v>
      </c>
      <c r="F1642" s="14">
        <v>0</v>
      </c>
      <c r="G1642" s="14">
        <v>0</v>
      </c>
      <c r="H1642" s="16">
        <v>0</v>
      </c>
      <c r="I1642" s="16">
        <v>0</v>
      </c>
      <c r="J1642" s="3" t="s">
        <v>5011</v>
      </c>
      <c r="K1642" s="16">
        <v>0</v>
      </c>
      <c r="L1642" s="16">
        <v>0</v>
      </c>
      <c r="M1642" s="16">
        <v>0</v>
      </c>
    </row>
    <row r="1643" spans="1:13" x14ac:dyDescent="0.25">
      <c r="A1643" s="2">
        <f t="shared" si="50"/>
        <v>1638</v>
      </c>
      <c r="B1643" s="2">
        <v>97628</v>
      </c>
      <c r="C1643" s="2" t="s">
        <v>4149</v>
      </c>
      <c r="D1643" s="14" t="s">
        <v>1633</v>
      </c>
      <c r="E1643" s="14">
        <v>0.13776070000000001</v>
      </c>
      <c r="F1643" s="14">
        <v>0</v>
      </c>
      <c r="G1643" s="14">
        <v>0.13776070000000001</v>
      </c>
      <c r="H1643" s="16">
        <v>34.998252000000001</v>
      </c>
      <c r="I1643" s="16">
        <v>34.098892900000003</v>
      </c>
      <c r="J1643" s="3" t="s">
        <v>5011</v>
      </c>
      <c r="K1643" s="16">
        <v>158.83885768069999</v>
      </c>
      <c r="L1643" s="16">
        <v>43.276956599999998</v>
      </c>
      <c r="M1643" s="16">
        <f t="shared" si="51"/>
        <v>1.2365462309374764</v>
      </c>
    </row>
    <row r="1644" spans="1:13" x14ac:dyDescent="0.25">
      <c r="A1644" s="2">
        <f t="shared" si="50"/>
        <v>1639</v>
      </c>
      <c r="B1644" s="2">
        <v>97654</v>
      </c>
      <c r="C1644" s="2" t="s">
        <v>4150</v>
      </c>
      <c r="D1644" s="14" t="s">
        <v>1634</v>
      </c>
      <c r="E1644" s="14">
        <v>0</v>
      </c>
      <c r="F1644" s="14">
        <v>0</v>
      </c>
      <c r="G1644" s="14">
        <v>0</v>
      </c>
      <c r="H1644" s="16">
        <v>0</v>
      </c>
      <c r="I1644" s="16">
        <v>0</v>
      </c>
      <c r="J1644" s="3" t="s">
        <v>5011</v>
      </c>
      <c r="K1644" s="16">
        <v>0</v>
      </c>
      <c r="L1644" s="16">
        <v>0</v>
      </c>
      <c r="M1644" s="16">
        <v>0</v>
      </c>
    </row>
    <row r="1645" spans="1:13" x14ac:dyDescent="0.25">
      <c r="A1645" s="2">
        <f t="shared" si="50"/>
        <v>1640</v>
      </c>
      <c r="B1645" s="2">
        <v>97776</v>
      </c>
      <c r="C1645" s="2" t="s">
        <v>4151</v>
      </c>
      <c r="D1645" s="14" t="s">
        <v>333</v>
      </c>
      <c r="E1645" s="14">
        <v>0</v>
      </c>
      <c r="F1645" s="14">
        <v>0</v>
      </c>
      <c r="G1645" s="14">
        <v>0</v>
      </c>
      <c r="H1645" s="16">
        <v>0</v>
      </c>
      <c r="I1645" s="16">
        <v>0</v>
      </c>
      <c r="J1645" s="3" t="s">
        <v>5011</v>
      </c>
      <c r="K1645" s="16">
        <v>0</v>
      </c>
      <c r="L1645" s="16">
        <v>0</v>
      </c>
      <c r="M1645" s="16">
        <v>0</v>
      </c>
    </row>
    <row r="1646" spans="1:13" x14ac:dyDescent="0.25">
      <c r="A1646" s="2">
        <f t="shared" si="50"/>
        <v>1641</v>
      </c>
      <c r="B1646" s="2">
        <v>97797</v>
      </c>
      <c r="C1646" s="2" t="s">
        <v>4152</v>
      </c>
      <c r="D1646" s="14" t="s">
        <v>1635</v>
      </c>
      <c r="E1646" s="14">
        <v>14.8916156</v>
      </c>
      <c r="F1646" s="14">
        <v>0</v>
      </c>
      <c r="G1646" s="14">
        <v>14.8916156</v>
      </c>
      <c r="H1646" s="16">
        <v>1016.9343720999999</v>
      </c>
      <c r="I1646" s="16">
        <v>751.04605099999992</v>
      </c>
      <c r="J1646" s="3" t="s">
        <v>5011</v>
      </c>
      <c r="K1646" s="16">
        <v>13950.708817056602</v>
      </c>
      <c r="L1646" s="16">
        <v>1864.0333066000001</v>
      </c>
      <c r="M1646" s="16">
        <f t="shared" si="51"/>
        <v>1.8329927257259635</v>
      </c>
    </row>
    <row r="1647" spans="1:13" x14ac:dyDescent="0.25">
      <c r="A1647" s="2">
        <f t="shared" si="50"/>
        <v>1642</v>
      </c>
      <c r="B1647" s="2">
        <v>97835</v>
      </c>
      <c r="C1647" s="2" t="s">
        <v>4153</v>
      </c>
      <c r="D1647" s="14" t="s">
        <v>1636</v>
      </c>
      <c r="E1647" s="14">
        <v>0.6135796</v>
      </c>
      <c r="F1647" s="14">
        <v>0</v>
      </c>
      <c r="G1647" s="14">
        <v>0.6135796</v>
      </c>
      <c r="H1647" s="16">
        <v>49.572521799999997</v>
      </c>
      <c r="I1647" s="16">
        <v>44.7234196</v>
      </c>
      <c r="J1647" s="3" t="s">
        <v>5011</v>
      </c>
      <c r="K1647" s="16">
        <v>728.56914176880014</v>
      </c>
      <c r="L1647" s="16">
        <v>96.454538400000004</v>
      </c>
      <c r="M1647" s="16">
        <f t="shared" si="51"/>
        <v>1.9457258759024845</v>
      </c>
    </row>
    <row r="1648" spans="1:13" x14ac:dyDescent="0.25">
      <c r="A1648" s="2">
        <f t="shared" si="50"/>
        <v>1643</v>
      </c>
      <c r="B1648" s="2">
        <v>97927</v>
      </c>
      <c r="C1648" s="2" t="s">
        <v>4154</v>
      </c>
      <c r="D1648" s="14" t="s">
        <v>1637</v>
      </c>
      <c r="E1648" s="14">
        <v>3.3459593000000001</v>
      </c>
      <c r="F1648" s="14">
        <v>0</v>
      </c>
      <c r="G1648" s="14">
        <v>3.3459593000000001</v>
      </c>
      <c r="H1648" s="16">
        <v>267.24970819999999</v>
      </c>
      <c r="I1648" s="16">
        <v>159.13732390000001</v>
      </c>
      <c r="J1648" s="3" t="s">
        <v>5011</v>
      </c>
      <c r="K1648" s="16">
        <v>3936.8042201202998</v>
      </c>
      <c r="L1648" s="16">
        <v>457.39146579999999</v>
      </c>
      <c r="M1648" s="16">
        <f t="shared" si="51"/>
        <v>1.7114760157481812</v>
      </c>
    </row>
    <row r="1649" spans="1:13" x14ac:dyDescent="0.25">
      <c r="A1649" s="2">
        <f t="shared" si="50"/>
        <v>1644</v>
      </c>
      <c r="B1649" s="2">
        <v>98012</v>
      </c>
      <c r="C1649" s="2" t="s">
        <v>4155</v>
      </c>
      <c r="D1649" s="14" t="s">
        <v>1638</v>
      </c>
      <c r="E1649" s="14">
        <v>26.503937000000001</v>
      </c>
      <c r="F1649" s="14">
        <v>0</v>
      </c>
      <c r="G1649" s="14">
        <v>26.503937000000001</v>
      </c>
      <c r="H1649" s="16">
        <v>1635.4226633000001</v>
      </c>
      <c r="I1649" s="16">
        <v>1037.2814586000002</v>
      </c>
      <c r="J1649" s="3" t="s">
        <v>5011</v>
      </c>
      <c r="K1649" s="16">
        <v>26361.090358358422</v>
      </c>
      <c r="L1649" s="16">
        <v>3194.1190526</v>
      </c>
      <c r="M1649" s="16">
        <f t="shared" si="51"/>
        <v>1.9530847433377376</v>
      </c>
    </row>
    <row r="1650" spans="1:13" x14ac:dyDescent="0.25">
      <c r="A1650" s="2">
        <f t="shared" si="50"/>
        <v>1645</v>
      </c>
      <c r="B1650" s="2">
        <v>98013</v>
      </c>
      <c r="C1650" s="2" t="s">
        <v>4156</v>
      </c>
      <c r="D1650" s="14" t="s">
        <v>1639</v>
      </c>
      <c r="E1650" s="14">
        <v>1.7204799999999999E-2</v>
      </c>
      <c r="F1650" s="14">
        <v>0</v>
      </c>
      <c r="G1650" s="14">
        <v>1.7204799999999999E-2</v>
      </c>
      <c r="H1650" s="16">
        <v>15.458523300000001</v>
      </c>
      <c r="I1650" s="16">
        <v>12.138583700000002</v>
      </c>
      <c r="J1650" s="3" t="s">
        <v>5011</v>
      </c>
      <c r="K1650" s="16">
        <v>44.629922982000011</v>
      </c>
      <c r="L1650" s="16">
        <v>13.2142868</v>
      </c>
      <c r="M1650" s="16">
        <f t="shared" si="51"/>
        <v>0.85482206440766562</v>
      </c>
    </row>
    <row r="1651" spans="1:13" x14ac:dyDescent="0.25">
      <c r="A1651" s="2">
        <f t="shared" si="50"/>
        <v>1646</v>
      </c>
      <c r="B1651" s="2">
        <v>98133</v>
      </c>
      <c r="C1651" s="2" t="s">
        <v>4157</v>
      </c>
      <c r="D1651" s="14" t="s">
        <v>1640</v>
      </c>
      <c r="E1651" s="14">
        <v>0</v>
      </c>
      <c r="F1651" s="14">
        <v>0</v>
      </c>
      <c r="G1651" s="14">
        <v>0</v>
      </c>
      <c r="H1651" s="16">
        <v>0</v>
      </c>
      <c r="I1651" s="16">
        <v>0</v>
      </c>
      <c r="J1651" s="3" t="s">
        <v>5011</v>
      </c>
      <c r="K1651" s="16">
        <v>0</v>
      </c>
      <c r="L1651" s="16">
        <v>0</v>
      </c>
      <c r="M1651" s="16">
        <v>0</v>
      </c>
    </row>
    <row r="1652" spans="1:13" x14ac:dyDescent="0.25">
      <c r="A1652" s="2">
        <f t="shared" si="50"/>
        <v>1647</v>
      </c>
      <c r="B1652" s="2">
        <v>98218</v>
      </c>
      <c r="C1652" s="2" t="s">
        <v>4158</v>
      </c>
      <c r="D1652" s="14" t="s">
        <v>1641</v>
      </c>
      <c r="E1652" s="14">
        <v>0</v>
      </c>
      <c r="F1652" s="14">
        <v>0</v>
      </c>
      <c r="G1652" s="14">
        <v>0</v>
      </c>
      <c r="H1652" s="16">
        <v>0</v>
      </c>
      <c r="I1652" s="16">
        <v>0</v>
      </c>
      <c r="J1652" s="3" t="s">
        <v>5011</v>
      </c>
      <c r="K1652" s="16">
        <v>0</v>
      </c>
      <c r="L1652" s="16">
        <v>0</v>
      </c>
      <c r="M1652" s="16">
        <v>0</v>
      </c>
    </row>
    <row r="1653" spans="1:13" x14ac:dyDescent="0.25">
      <c r="A1653" s="2">
        <f t="shared" si="50"/>
        <v>1648</v>
      </c>
      <c r="B1653" s="2">
        <v>98267</v>
      </c>
      <c r="C1653" s="2" t="s">
        <v>4159</v>
      </c>
      <c r="D1653" s="14" t="s">
        <v>1642</v>
      </c>
      <c r="E1653" s="14">
        <v>3.7771228000000003</v>
      </c>
      <c r="F1653" s="14">
        <v>0</v>
      </c>
      <c r="G1653" s="14">
        <v>3.7771228000000003</v>
      </c>
      <c r="H1653" s="16">
        <v>167.97458269999998</v>
      </c>
      <c r="I1653" s="16">
        <v>54.40269279999999</v>
      </c>
      <c r="J1653" s="3" t="s">
        <v>5011</v>
      </c>
      <c r="K1653" s="16">
        <v>4054.1678448947009</v>
      </c>
      <c r="L1653" s="16">
        <v>424.58960430000002</v>
      </c>
      <c r="M1653" s="16">
        <f t="shared" si="51"/>
        <v>2.5277014979004919</v>
      </c>
    </row>
    <row r="1654" spans="1:13" x14ac:dyDescent="0.25">
      <c r="A1654" s="2">
        <f t="shared" si="50"/>
        <v>1649</v>
      </c>
      <c r="B1654" s="2">
        <v>98307</v>
      </c>
      <c r="C1654" s="2" t="s">
        <v>4160</v>
      </c>
      <c r="D1654" s="14" t="s">
        <v>1643</v>
      </c>
      <c r="E1654" s="14">
        <v>4.3294724999999996</v>
      </c>
      <c r="F1654" s="14">
        <v>0</v>
      </c>
      <c r="G1654" s="14">
        <v>4.3294724999999996</v>
      </c>
      <c r="H1654" s="16">
        <v>233.17478789999998</v>
      </c>
      <c r="I1654" s="16">
        <v>222.36724039999999</v>
      </c>
      <c r="J1654" s="3" t="s">
        <v>5011</v>
      </c>
      <c r="K1654" s="16">
        <v>3931.0811938717015</v>
      </c>
      <c r="L1654" s="16">
        <v>529.77818309999998</v>
      </c>
      <c r="M1654" s="16">
        <f t="shared" si="51"/>
        <v>2.272021721864725</v>
      </c>
    </row>
    <row r="1655" spans="1:13" x14ac:dyDescent="0.25">
      <c r="A1655" s="2">
        <f t="shared" si="50"/>
        <v>1650</v>
      </c>
      <c r="B1655" s="2">
        <v>98335</v>
      </c>
      <c r="C1655" s="2" t="s">
        <v>4161</v>
      </c>
      <c r="D1655" s="14" t="s">
        <v>1644</v>
      </c>
      <c r="E1655" s="14">
        <v>0</v>
      </c>
      <c r="F1655" s="14">
        <v>0</v>
      </c>
      <c r="G1655" s="14">
        <v>0</v>
      </c>
      <c r="H1655" s="16">
        <v>0</v>
      </c>
      <c r="I1655" s="16">
        <v>0</v>
      </c>
      <c r="J1655" s="3" t="s">
        <v>5011</v>
      </c>
      <c r="K1655" s="16">
        <v>0</v>
      </c>
      <c r="L1655" s="16">
        <v>0</v>
      </c>
      <c r="M1655" s="16">
        <v>0</v>
      </c>
    </row>
    <row r="1656" spans="1:13" x14ac:dyDescent="0.25">
      <c r="A1656" s="2">
        <f t="shared" si="50"/>
        <v>1651</v>
      </c>
      <c r="B1656" s="2">
        <v>98654</v>
      </c>
      <c r="C1656" s="2" t="s">
        <v>4162</v>
      </c>
      <c r="D1656" s="14" t="s">
        <v>1645</v>
      </c>
      <c r="E1656" s="14">
        <v>0.22904199999999997</v>
      </c>
      <c r="F1656" s="14">
        <v>0</v>
      </c>
      <c r="G1656" s="14">
        <v>0.22904199999999997</v>
      </c>
      <c r="H1656" s="16">
        <v>33.483325800000003</v>
      </c>
      <c r="I1656" s="16">
        <v>33.483325800000003</v>
      </c>
      <c r="J1656" s="3" t="s">
        <v>5011</v>
      </c>
      <c r="K1656" s="16">
        <v>321.06589846719999</v>
      </c>
      <c r="L1656" s="16">
        <v>51.9690729</v>
      </c>
      <c r="M1656" s="16">
        <f t="shared" si="51"/>
        <v>1.5520881411368042</v>
      </c>
    </row>
    <row r="1657" spans="1:13" x14ac:dyDescent="0.25">
      <c r="A1657" s="2">
        <f t="shared" si="50"/>
        <v>1652</v>
      </c>
      <c r="B1657" s="2">
        <v>98659</v>
      </c>
      <c r="C1657" s="2" t="s">
        <v>4163</v>
      </c>
      <c r="D1657" s="14" t="s">
        <v>1646</v>
      </c>
      <c r="E1657" s="14">
        <v>6.9755300000000006E-2</v>
      </c>
      <c r="F1657" s="14">
        <v>0</v>
      </c>
      <c r="G1657" s="14">
        <v>6.9755300000000006E-2</v>
      </c>
      <c r="H1657" s="16">
        <v>17.280989299999998</v>
      </c>
      <c r="I1657" s="16">
        <v>12.4750227</v>
      </c>
      <c r="J1657" s="3" t="s">
        <v>5011</v>
      </c>
      <c r="K1657" s="16">
        <v>110.84970313380001</v>
      </c>
      <c r="L1657" s="16">
        <v>19.813323799999999</v>
      </c>
      <c r="M1657" s="16">
        <f t="shared" si="51"/>
        <v>1.1465387459038587</v>
      </c>
    </row>
    <row r="1658" spans="1:13" x14ac:dyDescent="0.25">
      <c r="A1658" s="2">
        <f t="shared" si="50"/>
        <v>1653</v>
      </c>
      <c r="B1658" s="2">
        <v>98661</v>
      </c>
      <c r="C1658" s="2" t="s">
        <v>4164</v>
      </c>
      <c r="D1658" s="14" t="s">
        <v>1647</v>
      </c>
      <c r="E1658" s="14">
        <v>5.2983599999999999E-2</v>
      </c>
      <c r="F1658" s="14">
        <v>0</v>
      </c>
      <c r="G1658" s="14">
        <v>5.2983599999999999E-2</v>
      </c>
      <c r="H1658" s="16">
        <v>40.097998699999998</v>
      </c>
      <c r="I1658" s="16">
        <v>28.692540000000001</v>
      </c>
      <c r="J1658" s="3" t="s">
        <v>5011</v>
      </c>
      <c r="K1658" s="16">
        <v>141.58475750330001</v>
      </c>
      <c r="L1658" s="16">
        <v>32.551256699999996</v>
      </c>
      <c r="M1658" s="16">
        <f t="shared" si="51"/>
        <v>0.81179255213053803</v>
      </c>
    </row>
    <row r="1659" spans="1:13" x14ac:dyDescent="0.25">
      <c r="A1659" s="2">
        <f t="shared" si="50"/>
        <v>1654</v>
      </c>
      <c r="B1659" s="2">
        <v>98691</v>
      </c>
      <c r="C1659" s="2" t="s">
        <v>4165</v>
      </c>
      <c r="D1659" s="14" t="s">
        <v>1648</v>
      </c>
      <c r="E1659" s="14">
        <v>6.0283504000000008</v>
      </c>
      <c r="F1659" s="14">
        <v>0</v>
      </c>
      <c r="G1659" s="14">
        <v>6.0283504000000008</v>
      </c>
      <c r="H1659" s="16">
        <v>818.47544230000005</v>
      </c>
      <c r="I1659" s="16">
        <v>573.3888445</v>
      </c>
      <c r="J1659" s="3" t="s">
        <v>5011</v>
      </c>
      <c r="K1659" s="16">
        <v>6951.4816133062977</v>
      </c>
      <c r="L1659" s="16">
        <v>1074.5693927</v>
      </c>
      <c r="M1659" s="16">
        <f t="shared" si="51"/>
        <v>1.3128914285813507</v>
      </c>
    </row>
    <row r="1660" spans="1:13" x14ac:dyDescent="0.25">
      <c r="A1660" s="2">
        <f t="shared" si="50"/>
        <v>1655</v>
      </c>
      <c r="B1660" s="2">
        <v>98730</v>
      </c>
      <c r="C1660" s="2" t="s">
        <v>4166</v>
      </c>
      <c r="D1660" s="14" t="s">
        <v>1649</v>
      </c>
      <c r="E1660" s="14">
        <v>0</v>
      </c>
      <c r="F1660" s="14">
        <v>0</v>
      </c>
      <c r="G1660" s="14">
        <v>0</v>
      </c>
      <c r="H1660" s="16">
        <v>0</v>
      </c>
      <c r="I1660" s="16">
        <v>0</v>
      </c>
      <c r="J1660" s="3" t="s">
        <v>5011</v>
      </c>
      <c r="K1660" s="16">
        <v>0</v>
      </c>
      <c r="L1660" s="16">
        <v>0</v>
      </c>
      <c r="M1660" s="16">
        <v>0</v>
      </c>
    </row>
    <row r="1661" spans="1:13" x14ac:dyDescent="0.25">
      <c r="A1661" s="2">
        <f t="shared" si="50"/>
        <v>1656</v>
      </c>
      <c r="B1661" s="2">
        <v>98763</v>
      </c>
      <c r="C1661" s="2" t="s">
        <v>4167</v>
      </c>
      <c r="D1661" s="14" t="s">
        <v>1650</v>
      </c>
      <c r="E1661" s="14">
        <v>0</v>
      </c>
      <c r="F1661" s="14">
        <v>0</v>
      </c>
      <c r="G1661" s="14">
        <v>0</v>
      </c>
      <c r="H1661" s="16">
        <v>0</v>
      </c>
      <c r="I1661" s="16">
        <v>0</v>
      </c>
      <c r="J1661" s="3" t="s">
        <v>5011</v>
      </c>
      <c r="K1661" s="16">
        <v>0</v>
      </c>
      <c r="L1661" s="16">
        <v>0</v>
      </c>
      <c r="M1661" s="16">
        <v>0</v>
      </c>
    </row>
    <row r="1662" spans="1:13" x14ac:dyDescent="0.25">
      <c r="A1662" s="2">
        <f t="shared" si="50"/>
        <v>1657</v>
      </c>
      <c r="B1662" s="2">
        <v>98783</v>
      </c>
      <c r="C1662" s="2" t="s">
        <v>4168</v>
      </c>
      <c r="D1662" s="14" t="s">
        <v>1651</v>
      </c>
      <c r="E1662" s="14">
        <v>6.1095099999999999E-2</v>
      </c>
      <c r="F1662" s="14">
        <v>0</v>
      </c>
      <c r="G1662" s="14">
        <v>6.1095099999999999E-2</v>
      </c>
      <c r="H1662" s="16">
        <v>63.801810499999995</v>
      </c>
      <c r="I1662" s="16">
        <v>50.875460400000001</v>
      </c>
      <c r="J1662" s="3" t="s">
        <v>5011</v>
      </c>
      <c r="K1662" s="16">
        <v>195.2833871874</v>
      </c>
      <c r="L1662" s="16">
        <v>54.161556399999995</v>
      </c>
      <c r="M1662" s="16">
        <f t="shared" si="51"/>
        <v>0.84890312634623433</v>
      </c>
    </row>
    <row r="1663" spans="1:13" x14ac:dyDescent="0.25">
      <c r="A1663" s="2">
        <f t="shared" si="50"/>
        <v>1658</v>
      </c>
      <c r="B1663" s="2">
        <v>98788</v>
      </c>
      <c r="C1663" s="2" t="s">
        <v>4169</v>
      </c>
      <c r="D1663" s="14" t="s">
        <v>1652</v>
      </c>
      <c r="E1663" s="14">
        <v>0.318471</v>
      </c>
      <c r="F1663" s="14">
        <v>0</v>
      </c>
      <c r="G1663" s="14">
        <v>0.318471</v>
      </c>
      <c r="H1663" s="16">
        <v>61.366260999999994</v>
      </c>
      <c r="I1663" s="16">
        <v>59.974997399999992</v>
      </c>
      <c r="J1663" s="3" t="s">
        <v>5011</v>
      </c>
      <c r="K1663" s="16">
        <v>430.61080241749988</v>
      </c>
      <c r="L1663" s="16">
        <v>82.365320499999996</v>
      </c>
      <c r="M1663" s="16">
        <f t="shared" si="51"/>
        <v>1.3421922593589335</v>
      </c>
    </row>
    <row r="1664" spans="1:13" x14ac:dyDescent="0.25">
      <c r="A1664" s="2">
        <f t="shared" si="50"/>
        <v>1659</v>
      </c>
      <c r="B1664" s="2">
        <v>99071</v>
      </c>
      <c r="C1664" s="2" t="s">
        <v>4170</v>
      </c>
      <c r="D1664" s="14" t="s">
        <v>1653</v>
      </c>
      <c r="E1664" s="14">
        <v>4.9209175999999992</v>
      </c>
      <c r="F1664" s="14">
        <v>0</v>
      </c>
      <c r="G1664" s="14">
        <v>4.9209175999999992</v>
      </c>
      <c r="H1664" s="16">
        <v>142.8427073</v>
      </c>
      <c r="I1664" s="16">
        <v>71.032685299999997</v>
      </c>
      <c r="J1664" s="3" t="s">
        <v>5011</v>
      </c>
      <c r="K1664" s="16">
        <v>4056.1047505477009</v>
      </c>
      <c r="L1664" s="16">
        <v>453.1872535</v>
      </c>
      <c r="M1664" s="16">
        <f t="shared" si="51"/>
        <v>3.1726313654095799</v>
      </c>
    </row>
    <row r="1665" spans="1:13" x14ac:dyDescent="0.25">
      <c r="A1665" s="2">
        <f t="shared" si="50"/>
        <v>1660</v>
      </c>
      <c r="B1665" s="2">
        <v>99075</v>
      </c>
      <c r="C1665" s="2" t="s">
        <v>4171</v>
      </c>
      <c r="D1665" s="14" t="s">
        <v>1654</v>
      </c>
      <c r="E1665" s="14">
        <v>0</v>
      </c>
      <c r="F1665" s="14">
        <v>0</v>
      </c>
      <c r="G1665" s="14">
        <v>0</v>
      </c>
      <c r="H1665" s="16">
        <v>0</v>
      </c>
      <c r="I1665" s="16">
        <v>0</v>
      </c>
      <c r="J1665" s="3" t="s">
        <v>5011</v>
      </c>
      <c r="K1665" s="16">
        <v>0</v>
      </c>
      <c r="L1665" s="16">
        <v>0</v>
      </c>
      <c r="M1665" s="16">
        <v>0</v>
      </c>
    </row>
    <row r="1666" spans="1:13" x14ac:dyDescent="0.25">
      <c r="A1666" s="2">
        <f t="shared" si="50"/>
        <v>1661</v>
      </c>
      <c r="B1666" s="2">
        <v>99236</v>
      </c>
      <c r="C1666" s="2" t="s">
        <v>4172</v>
      </c>
      <c r="D1666" s="14" t="s">
        <v>1655</v>
      </c>
      <c r="E1666" s="14">
        <v>0</v>
      </c>
      <c r="F1666" s="14">
        <v>0</v>
      </c>
      <c r="G1666" s="14">
        <v>0</v>
      </c>
      <c r="H1666" s="16">
        <v>1.2499374999999999</v>
      </c>
      <c r="I1666" s="16">
        <v>1.2499374999999999</v>
      </c>
      <c r="J1666" s="3" t="s">
        <v>5011</v>
      </c>
      <c r="K1666" s="16">
        <v>0.50597463879999993</v>
      </c>
      <c r="L1666" s="16">
        <v>1.279115</v>
      </c>
      <c r="M1666" s="16">
        <f t="shared" si="51"/>
        <v>1.0233431671583579</v>
      </c>
    </row>
    <row r="1667" spans="1:13" x14ac:dyDescent="0.25">
      <c r="A1667" s="2">
        <f t="shared" si="50"/>
        <v>1662</v>
      </c>
      <c r="B1667" s="2">
        <v>99625</v>
      </c>
      <c r="C1667" s="2" t="s">
        <v>4173</v>
      </c>
      <c r="D1667" s="14" t="s">
        <v>1656</v>
      </c>
      <c r="E1667" s="14">
        <v>0.71503000000000005</v>
      </c>
      <c r="F1667" s="14">
        <v>0</v>
      </c>
      <c r="G1667" s="14">
        <v>0.71503000000000005</v>
      </c>
      <c r="H1667" s="16">
        <v>2.8948559</v>
      </c>
      <c r="I1667" s="16">
        <v>1.6282463</v>
      </c>
      <c r="J1667" s="3" t="s">
        <v>5011</v>
      </c>
      <c r="K1667" s="16">
        <v>4211.2223721646997</v>
      </c>
      <c r="L1667" s="16">
        <v>363.43517560000004</v>
      </c>
      <c r="M1667" s="16">
        <f t="shared" si="51"/>
        <v>125.54516983038776</v>
      </c>
    </row>
    <row r="1668" spans="1:13" x14ac:dyDescent="0.25">
      <c r="A1668" s="2">
        <f t="shared" si="50"/>
        <v>1663</v>
      </c>
      <c r="B1668" s="2">
        <v>99653</v>
      </c>
      <c r="C1668" s="2" t="s">
        <v>4174</v>
      </c>
      <c r="D1668" s="14" t="s">
        <v>1657</v>
      </c>
      <c r="E1668" s="14">
        <v>0</v>
      </c>
      <c r="F1668" s="14">
        <v>0</v>
      </c>
      <c r="G1668" s="14">
        <v>0</v>
      </c>
      <c r="H1668" s="16">
        <v>0</v>
      </c>
      <c r="I1668" s="16">
        <v>0</v>
      </c>
      <c r="J1668" s="3" t="s">
        <v>5011</v>
      </c>
      <c r="K1668" s="16">
        <v>0</v>
      </c>
      <c r="L1668" s="16">
        <v>0</v>
      </c>
      <c r="M1668" s="16">
        <v>0</v>
      </c>
    </row>
    <row r="1669" spans="1:13" x14ac:dyDescent="0.25">
      <c r="A1669" s="2">
        <f t="shared" si="50"/>
        <v>1664</v>
      </c>
      <c r="B1669" s="2">
        <v>99699</v>
      </c>
      <c r="C1669" s="2" t="s">
        <v>4175</v>
      </c>
      <c r="D1669" s="14" t="s">
        <v>1658</v>
      </c>
      <c r="E1669" s="14">
        <v>0.21649549999999998</v>
      </c>
      <c r="F1669" s="14">
        <v>0</v>
      </c>
      <c r="G1669" s="14">
        <v>0.21649549999999998</v>
      </c>
      <c r="H1669" s="16">
        <v>12.399380000000001</v>
      </c>
      <c r="I1669" s="16">
        <v>-1.223146000000001</v>
      </c>
      <c r="J1669" s="3" t="s">
        <v>5011</v>
      </c>
      <c r="K1669" s="16">
        <v>290.87375790999999</v>
      </c>
      <c r="L1669" s="16">
        <v>20.907201799999999</v>
      </c>
      <c r="M1669" s="16">
        <f t="shared" si="51"/>
        <v>1.6861489687387594</v>
      </c>
    </row>
    <row r="1670" spans="1:13" x14ac:dyDescent="0.25">
      <c r="A1670" s="2">
        <f t="shared" si="50"/>
        <v>1665</v>
      </c>
      <c r="B1670" s="2">
        <v>99790</v>
      </c>
      <c r="C1670" s="2" t="s">
        <v>4176</v>
      </c>
      <c r="D1670" s="14" t="s">
        <v>1659</v>
      </c>
      <c r="E1670" s="14">
        <v>2.27884E-2</v>
      </c>
      <c r="F1670" s="14">
        <v>0</v>
      </c>
      <c r="G1670" s="14">
        <v>2.27884E-2</v>
      </c>
      <c r="H1670" s="16">
        <v>190.1337819</v>
      </c>
      <c r="I1670" s="16">
        <v>112.52556350000002</v>
      </c>
      <c r="J1670" s="3" t="s">
        <v>5011</v>
      </c>
      <c r="K1670" s="16">
        <v>188.27119489339998</v>
      </c>
      <c r="L1670" s="16">
        <v>113.86306689999999</v>
      </c>
      <c r="M1670" s="16">
        <f t="shared" si="51"/>
        <v>0.59885763467265252</v>
      </c>
    </row>
    <row r="1671" spans="1:13" x14ac:dyDescent="0.25">
      <c r="A1671" s="2">
        <f t="shared" si="50"/>
        <v>1666</v>
      </c>
      <c r="B1671" s="2">
        <v>99930</v>
      </c>
      <c r="C1671" s="2" t="s">
        <v>4177</v>
      </c>
      <c r="D1671" s="14" t="s">
        <v>1660</v>
      </c>
      <c r="E1671" s="14">
        <v>0.66018790000000005</v>
      </c>
      <c r="F1671" s="14">
        <v>0</v>
      </c>
      <c r="G1671" s="14">
        <v>0.66018790000000005</v>
      </c>
      <c r="H1671" s="16">
        <v>382.46481200000005</v>
      </c>
      <c r="I1671" s="16">
        <v>316.63478590000005</v>
      </c>
      <c r="J1671" s="3" t="s">
        <v>5011</v>
      </c>
      <c r="K1671" s="16">
        <v>1323.9265213167</v>
      </c>
      <c r="L1671" s="16">
        <v>352.44938579999996</v>
      </c>
      <c r="M1671" s="16">
        <f t="shared" ref="M1671:M1734" si="52">L1671/H1671</f>
        <v>0.92152107786585058</v>
      </c>
    </row>
    <row r="1672" spans="1:13" x14ac:dyDescent="0.25">
      <c r="A1672" s="2">
        <f t="shared" ref="A1672:A1735" si="53">A1671+1</f>
        <v>1667</v>
      </c>
      <c r="B1672" s="2">
        <v>99944</v>
      </c>
      <c r="C1672" s="2" t="s">
        <v>4178</v>
      </c>
      <c r="D1672" s="14" t="s">
        <v>1661</v>
      </c>
      <c r="E1672" s="14">
        <v>4.3506161000000008</v>
      </c>
      <c r="F1672" s="14">
        <v>0</v>
      </c>
      <c r="G1672" s="14">
        <v>4.3506161000000008</v>
      </c>
      <c r="H1672" s="16">
        <v>735.55512180000005</v>
      </c>
      <c r="I1672" s="16">
        <v>348.65577810000008</v>
      </c>
      <c r="J1672" s="3" t="s">
        <v>5011</v>
      </c>
      <c r="K1672" s="16">
        <v>6117.041666911</v>
      </c>
      <c r="L1672" s="16">
        <v>768.51032370000007</v>
      </c>
      <c r="M1672" s="16">
        <f t="shared" si="52"/>
        <v>1.0448031709973744</v>
      </c>
    </row>
    <row r="1673" spans="1:13" x14ac:dyDescent="0.25">
      <c r="A1673" s="2">
        <f t="shared" si="53"/>
        <v>1668</v>
      </c>
      <c r="B1673" s="2">
        <v>99968</v>
      </c>
      <c r="C1673" s="2" t="s">
        <v>4179</v>
      </c>
      <c r="D1673" s="14" t="s">
        <v>1662</v>
      </c>
      <c r="E1673" s="14">
        <v>0</v>
      </c>
      <c r="F1673" s="14">
        <v>0</v>
      </c>
      <c r="G1673" s="14">
        <v>0</v>
      </c>
      <c r="H1673" s="16">
        <v>0</v>
      </c>
      <c r="I1673" s="16">
        <v>0</v>
      </c>
      <c r="J1673" s="3" t="s">
        <v>5011</v>
      </c>
      <c r="K1673" s="16">
        <v>0</v>
      </c>
      <c r="L1673" s="16">
        <v>0</v>
      </c>
      <c r="M1673" s="16">
        <v>0</v>
      </c>
    </row>
    <row r="1674" spans="1:13" x14ac:dyDescent="0.25">
      <c r="A1674" s="2">
        <f t="shared" si="53"/>
        <v>1669</v>
      </c>
      <c r="B1674" s="2">
        <v>100283</v>
      </c>
      <c r="C1674" s="2" t="s">
        <v>4180</v>
      </c>
      <c r="D1674" s="14" t="s">
        <v>1663</v>
      </c>
      <c r="E1674" s="14">
        <v>1.1825669999999999</v>
      </c>
      <c r="F1674" s="14">
        <v>0</v>
      </c>
      <c r="G1674" s="14">
        <v>1.1825669999999999</v>
      </c>
      <c r="H1674" s="16">
        <v>877.46697739999991</v>
      </c>
      <c r="I1674" s="16">
        <v>822.10448369999995</v>
      </c>
      <c r="J1674" s="3" t="s">
        <v>5011</v>
      </c>
      <c r="K1674" s="16">
        <v>2091.1837117738005</v>
      </c>
      <c r="L1674" s="16">
        <v>889.27390860000003</v>
      </c>
      <c r="M1674" s="16">
        <f t="shared" si="52"/>
        <v>1.0134556986235368</v>
      </c>
    </row>
    <row r="1675" spans="1:13" x14ac:dyDescent="0.25">
      <c r="A1675" s="2">
        <f t="shared" si="53"/>
        <v>1670</v>
      </c>
      <c r="B1675" s="2">
        <v>100284</v>
      </c>
      <c r="C1675" s="2" t="s">
        <v>4181</v>
      </c>
      <c r="D1675" s="14" t="s">
        <v>1664</v>
      </c>
      <c r="E1675" s="14">
        <v>20.850797499999999</v>
      </c>
      <c r="F1675" s="14">
        <v>0</v>
      </c>
      <c r="G1675" s="14">
        <v>20.850797499999999</v>
      </c>
      <c r="H1675" s="16">
        <v>3057.6604737000002</v>
      </c>
      <c r="I1675" s="16">
        <v>2905.2050128000005</v>
      </c>
      <c r="J1675" s="3" t="s">
        <v>5011</v>
      </c>
      <c r="K1675" s="16">
        <v>23584.810521798208</v>
      </c>
      <c r="L1675" s="16">
        <v>3644.1912336</v>
      </c>
      <c r="M1675" s="16">
        <f t="shared" si="52"/>
        <v>1.1918233776918512</v>
      </c>
    </row>
    <row r="1676" spans="1:13" x14ac:dyDescent="0.25">
      <c r="A1676" s="2">
        <f t="shared" si="53"/>
        <v>1671</v>
      </c>
      <c r="B1676" s="2">
        <v>100416</v>
      </c>
      <c r="C1676" s="2" t="s">
        <v>4182</v>
      </c>
      <c r="D1676" s="14" t="s">
        <v>1665</v>
      </c>
      <c r="E1676" s="14">
        <v>2.0847677999999998</v>
      </c>
      <c r="F1676" s="14">
        <v>0</v>
      </c>
      <c r="G1676" s="14">
        <v>2.0847677999999998</v>
      </c>
      <c r="H1676" s="16">
        <v>128.00112710000002</v>
      </c>
      <c r="I1676" s="16">
        <v>107.44587940000001</v>
      </c>
      <c r="J1676" s="3" t="s">
        <v>5011</v>
      </c>
      <c r="K1676" s="16">
        <v>1700.2517781792003</v>
      </c>
      <c r="L1676" s="16">
        <v>232.16100359999999</v>
      </c>
      <c r="M1676" s="16">
        <f t="shared" si="52"/>
        <v>1.8137418697776446</v>
      </c>
    </row>
    <row r="1677" spans="1:13" x14ac:dyDescent="0.25">
      <c r="A1677" s="2">
        <f t="shared" si="53"/>
        <v>1672</v>
      </c>
      <c r="B1677" s="2">
        <v>100424</v>
      </c>
      <c r="C1677" s="2" t="s">
        <v>4183</v>
      </c>
      <c r="D1677" s="14" t="s">
        <v>1666</v>
      </c>
      <c r="E1677" s="14">
        <v>0</v>
      </c>
      <c r="F1677" s="14">
        <v>0</v>
      </c>
      <c r="G1677" s="14">
        <v>0</v>
      </c>
      <c r="H1677" s="16">
        <v>0</v>
      </c>
      <c r="I1677" s="16">
        <v>0</v>
      </c>
      <c r="J1677" s="3" t="s">
        <v>5011</v>
      </c>
      <c r="K1677" s="16">
        <v>0</v>
      </c>
      <c r="L1677" s="16">
        <v>0</v>
      </c>
      <c r="M1677" s="16">
        <v>0</v>
      </c>
    </row>
    <row r="1678" spans="1:13" x14ac:dyDescent="0.25">
      <c r="A1678" s="2">
        <f t="shared" si="53"/>
        <v>1673</v>
      </c>
      <c r="B1678" s="2">
        <v>100481</v>
      </c>
      <c r="C1678" s="2" t="s">
        <v>4184</v>
      </c>
      <c r="D1678" s="14" t="s">
        <v>1667</v>
      </c>
      <c r="E1678" s="14">
        <v>1.3003476</v>
      </c>
      <c r="F1678" s="14">
        <v>0</v>
      </c>
      <c r="G1678" s="14">
        <v>1.3003476</v>
      </c>
      <c r="H1678" s="16">
        <v>82.449409400000008</v>
      </c>
      <c r="I1678" s="16">
        <v>80.162080399999994</v>
      </c>
      <c r="J1678" s="3" t="s">
        <v>5011</v>
      </c>
      <c r="K1678" s="16">
        <v>1356.9610630941997</v>
      </c>
      <c r="L1678" s="16">
        <v>188.71057199999998</v>
      </c>
      <c r="M1678" s="16">
        <f t="shared" si="52"/>
        <v>2.2888044119816335</v>
      </c>
    </row>
    <row r="1679" spans="1:13" x14ac:dyDescent="0.25">
      <c r="A1679" s="2">
        <f t="shared" si="53"/>
        <v>1674</v>
      </c>
      <c r="B1679" s="2">
        <v>100604</v>
      </c>
      <c r="C1679" s="2" t="s">
        <v>4185</v>
      </c>
      <c r="D1679" s="14" t="s">
        <v>1668</v>
      </c>
      <c r="E1679" s="14">
        <v>0</v>
      </c>
      <c r="F1679" s="14">
        <v>0</v>
      </c>
      <c r="G1679" s="14">
        <v>0</v>
      </c>
      <c r="H1679" s="16">
        <v>0</v>
      </c>
      <c r="I1679" s="16">
        <v>0</v>
      </c>
      <c r="J1679" s="3" t="s">
        <v>5011</v>
      </c>
      <c r="K1679" s="16">
        <v>0</v>
      </c>
      <c r="L1679" s="16">
        <v>0</v>
      </c>
      <c r="M1679" s="16">
        <v>0</v>
      </c>
    </row>
    <row r="1680" spans="1:13" x14ac:dyDescent="0.25">
      <c r="A1680" s="2">
        <f t="shared" si="53"/>
        <v>1675</v>
      </c>
      <c r="B1680" s="2">
        <v>100762</v>
      </c>
      <c r="C1680" s="2" t="s">
        <v>4186</v>
      </c>
      <c r="D1680" s="14" t="s">
        <v>1669</v>
      </c>
      <c r="E1680" s="14">
        <v>1.2878719000000001</v>
      </c>
      <c r="F1680" s="14">
        <v>0</v>
      </c>
      <c r="G1680" s="14">
        <v>1.2878719000000001</v>
      </c>
      <c r="H1680" s="16">
        <v>74.431287600000005</v>
      </c>
      <c r="I1680" s="16">
        <v>42.726680899999998</v>
      </c>
      <c r="J1680" s="3" t="s">
        <v>5011</v>
      </c>
      <c r="K1680" s="16">
        <v>1300.1222389828006</v>
      </c>
      <c r="L1680" s="16">
        <v>150.6129009</v>
      </c>
      <c r="M1680" s="16">
        <f t="shared" si="52"/>
        <v>2.0235159938305296</v>
      </c>
    </row>
    <row r="1681" spans="1:13" x14ac:dyDescent="0.25">
      <c r="A1681" s="2">
        <f t="shared" si="53"/>
        <v>1676</v>
      </c>
      <c r="B1681" s="2">
        <v>100924</v>
      </c>
      <c r="C1681" s="2" t="s">
        <v>4187</v>
      </c>
      <c r="D1681" s="14" t="s">
        <v>1670</v>
      </c>
      <c r="E1681" s="14">
        <v>5.8872965000000006</v>
      </c>
      <c r="F1681" s="14">
        <v>0</v>
      </c>
      <c r="G1681" s="14">
        <v>5.8872965000000006</v>
      </c>
      <c r="H1681" s="16">
        <v>779.8778969</v>
      </c>
      <c r="I1681" s="16">
        <v>534.98722739999994</v>
      </c>
      <c r="J1681" s="3" t="s">
        <v>5011</v>
      </c>
      <c r="K1681" s="16">
        <v>7111.4480511246002</v>
      </c>
      <c r="L1681" s="16">
        <v>1021.2854418000001</v>
      </c>
      <c r="M1681" s="16">
        <f t="shared" si="52"/>
        <v>1.3095453094126537</v>
      </c>
    </row>
    <row r="1682" spans="1:13" x14ac:dyDescent="0.25">
      <c r="A1682" s="2">
        <f t="shared" si="53"/>
        <v>1677</v>
      </c>
      <c r="B1682" s="2">
        <v>101186</v>
      </c>
      <c r="C1682" s="2" t="s">
        <v>4188</v>
      </c>
      <c r="D1682" s="14" t="s">
        <v>1671</v>
      </c>
      <c r="E1682" s="14">
        <v>1.5283823000000001</v>
      </c>
      <c r="F1682" s="14">
        <v>0</v>
      </c>
      <c r="G1682" s="14">
        <v>1.5283823000000001</v>
      </c>
      <c r="H1682" s="16">
        <v>139.33007019999999</v>
      </c>
      <c r="I1682" s="16">
        <v>77.283260200000001</v>
      </c>
      <c r="J1682" s="3" t="s">
        <v>5011</v>
      </c>
      <c r="K1682" s="16">
        <v>1723.3290791049999</v>
      </c>
      <c r="L1682" s="16">
        <v>211.10123160000001</v>
      </c>
      <c r="M1682" s="16">
        <f t="shared" si="52"/>
        <v>1.5151160930083276</v>
      </c>
    </row>
    <row r="1683" spans="1:13" x14ac:dyDescent="0.25">
      <c r="A1683" s="2">
        <f t="shared" si="53"/>
        <v>1678</v>
      </c>
      <c r="B1683" s="2">
        <v>101258</v>
      </c>
      <c r="C1683" s="2" t="s">
        <v>4189</v>
      </c>
      <c r="D1683" s="14" t="s">
        <v>1672</v>
      </c>
      <c r="E1683" s="14">
        <v>1.7782060999999998</v>
      </c>
      <c r="F1683" s="14">
        <v>0</v>
      </c>
      <c r="G1683" s="14">
        <v>1.7782060999999998</v>
      </c>
      <c r="H1683" s="16">
        <v>168.76431640000001</v>
      </c>
      <c r="I1683" s="16">
        <v>135.74517010000002</v>
      </c>
      <c r="J1683" s="3" t="s">
        <v>5011</v>
      </c>
      <c r="K1683" s="16">
        <v>1814.2892905555998</v>
      </c>
      <c r="L1683" s="16">
        <v>270.77877100000001</v>
      </c>
      <c r="M1683" s="16">
        <f t="shared" si="52"/>
        <v>1.6044788186040968</v>
      </c>
    </row>
    <row r="1684" spans="1:13" x14ac:dyDescent="0.25">
      <c r="A1684" s="2">
        <f t="shared" si="53"/>
        <v>1679</v>
      </c>
      <c r="B1684" s="2">
        <v>101259</v>
      </c>
      <c r="C1684" s="2" t="s">
        <v>4190</v>
      </c>
      <c r="D1684" s="14" t="s">
        <v>1673</v>
      </c>
      <c r="E1684" s="14">
        <v>31.8464046</v>
      </c>
      <c r="F1684" s="14">
        <v>0</v>
      </c>
      <c r="G1684" s="14">
        <v>31.8464046</v>
      </c>
      <c r="H1684" s="16">
        <v>1132.0393776999999</v>
      </c>
      <c r="I1684" s="16">
        <v>659.64804679999997</v>
      </c>
      <c r="J1684" s="3" t="s">
        <v>5011</v>
      </c>
      <c r="K1684" s="16">
        <v>22525.805602237</v>
      </c>
      <c r="L1684" s="16">
        <v>2680.9425022</v>
      </c>
      <c r="M1684" s="16">
        <f t="shared" si="52"/>
        <v>2.3682413836583631</v>
      </c>
    </row>
    <row r="1685" spans="1:13" x14ac:dyDescent="0.25">
      <c r="A1685" s="2">
        <f t="shared" si="53"/>
        <v>1680</v>
      </c>
      <c r="B1685" s="2">
        <v>101576</v>
      </c>
      <c r="C1685" s="2" t="s">
        <v>4191</v>
      </c>
      <c r="D1685" s="14" t="s">
        <v>1674</v>
      </c>
      <c r="E1685" s="14">
        <v>0.63834370000000007</v>
      </c>
      <c r="F1685" s="14">
        <v>0</v>
      </c>
      <c r="G1685" s="14">
        <v>0.63834370000000007</v>
      </c>
      <c r="H1685" s="16">
        <v>175.33447079999999</v>
      </c>
      <c r="I1685" s="16">
        <v>62.752561799999981</v>
      </c>
      <c r="J1685" s="3" t="s">
        <v>5011</v>
      </c>
      <c r="K1685" s="16">
        <v>883.5604862926001</v>
      </c>
      <c r="L1685" s="16">
        <v>90.120183100000006</v>
      </c>
      <c r="M1685" s="16">
        <f t="shared" si="52"/>
        <v>0.5139901052474618</v>
      </c>
    </row>
    <row r="1686" spans="1:13" x14ac:dyDescent="0.25">
      <c r="A1686" s="2">
        <f t="shared" si="53"/>
        <v>1681</v>
      </c>
      <c r="B1686" s="2">
        <v>101856</v>
      </c>
      <c r="C1686" s="2" t="s">
        <v>4192</v>
      </c>
      <c r="D1686" s="14" t="s">
        <v>1675</v>
      </c>
      <c r="E1686" s="14">
        <v>1.1834600000000001E-2</v>
      </c>
      <c r="F1686" s="14">
        <v>0</v>
      </c>
      <c r="G1686" s="14">
        <v>1.1834600000000001E-2</v>
      </c>
      <c r="H1686" s="16">
        <v>17.349533700000002</v>
      </c>
      <c r="I1686" s="16">
        <v>13.8527848</v>
      </c>
      <c r="J1686" s="3" t="s">
        <v>5011</v>
      </c>
      <c r="K1686" s="16">
        <v>38.417043548300001</v>
      </c>
      <c r="L1686" s="16">
        <v>15.4883249</v>
      </c>
      <c r="M1686" s="16">
        <f t="shared" si="52"/>
        <v>0.89272283438949129</v>
      </c>
    </row>
    <row r="1687" spans="1:13" x14ac:dyDescent="0.25">
      <c r="A1687" s="2">
        <f t="shared" si="53"/>
        <v>1682</v>
      </c>
      <c r="B1687" s="2">
        <v>101865</v>
      </c>
      <c r="C1687" s="2" t="s">
        <v>4193</v>
      </c>
      <c r="D1687" s="14" t="s">
        <v>1676</v>
      </c>
      <c r="E1687" s="14">
        <v>18.252931499999999</v>
      </c>
      <c r="F1687" s="14">
        <v>0</v>
      </c>
      <c r="G1687" s="14">
        <v>18.252931499999999</v>
      </c>
      <c r="H1687" s="16">
        <v>1626.8283411000002</v>
      </c>
      <c r="I1687" s="16">
        <v>1599.5318029000002</v>
      </c>
      <c r="J1687" s="3" t="s">
        <v>5011</v>
      </c>
      <c r="K1687" s="16">
        <v>14114.043999924897</v>
      </c>
      <c r="L1687" s="16">
        <v>2204.0993787000002</v>
      </c>
      <c r="M1687" s="16">
        <f t="shared" si="52"/>
        <v>1.3548444682305394</v>
      </c>
    </row>
    <row r="1688" spans="1:13" x14ac:dyDescent="0.25">
      <c r="A1688" s="2">
        <f t="shared" si="53"/>
        <v>1683</v>
      </c>
      <c r="B1688" s="2">
        <v>101883</v>
      </c>
      <c r="C1688" s="2" t="s">
        <v>4194</v>
      </c>
      <c r="D1688" s="14" t="s">
        <v>1677</v>
      </c>
      <c r="E1688" s="14">
        <v>19.679844800000001</v>
      </c>
      <c r="F1688" s="14">
        <v>0</v>
      </c>
      <c r="G1688" s="14">
        <v>19.679844800000001</v>
      </c>
      <c r="H1688" s="16">
        <v>1118.4048964999999</v>
      </c>
      <c r="I1688" s="16">
        <v>643.90468870000007</v>
      </c>
      <c r="J1688" s="3" t="s">
        <v>5011</v>
      </c>
      <c r="K1688" s="16">
        <v>16008.063354965603</v>
      </c>
      <c r="L1688" s="16">
        <v>1967.9112347</v>
      </c>
      <c r="M1688" s="16">
        <f t="shared" si="52"/>
        <v>1.759569580621914</v>
      </c>
    </row>
    <row r="1689" spans="1:13" x14ac:dyDescent="0.25">
      <c r="A1689" s="2">
        <f t="shared" si="53"/>
        <v>1684</v>
      </c>
      <c r="B1689" s="2">
        <v>101887</v>
      </c>
      <c r="C1689" s="2" t="s">
        <v>4195</v>
      </c>
      <c r="D1689" s="14" t="s">
        <v>1678</v>
      </c>
      <c r="E1689" s="14">
        <v>4.2958300999999999</v>
      </c>
      <c r="F1689" s="14">
        <v>0</v>
      </c>
      <c r="G1689" s="14">
        <v>4.2958300999999999</v>
      </c>
      <c r="H1689" s="16">
        <v>325.5873742</v>
      </c>
      <c r="I1689" s="16">
        <v>199.08851050000004</v>
      </c>
      <c r="J1689" s="3" t="s">
        <v>5011</v>
      </c>
      <c r="K1689" s="16">
        <v>3755.1429714829014</v>
      </c>
      <c r="L1689" s="16">
        <v>473.0176629</v>
      </c>
      <c r="M1689" s="16">
        <f t="shared" si="52"/>
        <v>1.4528132857186205</v>
      </c>
    </row>
    <row r="1690" spans="1:13" x14ac:dyDescent="0.25">
      <c r="A1690" s="2">
        <f t="shared" si="53"/>
        <v>1685</v>
      </c>
      <c r="B1690" s="2">
        <v>102054</v>
      </c>
      <c r="C1690" s="2" t="s">
        <v>4196</v>
      </c>
      <c r="D1690" s="14" t="s">
        <v>1679</v>
      </c>
      <c r="E1690" s="14">
        <v>0.14714869999999999</v>
      </c>
      <c r="F1690" s="14">
        <v>0</v>
      </c>
      <c r="G1690" s="14">
        <v>0.14714869999999999</v>
      </c>
      <c r="H1690" s="16">
        <v>57.562123600000007</v>
      </c>
      <c r="I1690" s="16">
        <v>57.474953900000003</v>
      </c>
      <c r="J1690" s="3" t="s">
        <v>5011</v>
      </c>
      <c r="K1690" s="16">
        <v>242.61050294790002</v>
      </c>
      <c r="L1690" s="16">
        <v>74.164574999999999</v>
      </c>
      <c r="M1690" s="16">
        <f t="shared" si="52"/>
        <v>1.2884266660377344</v>
      </c>
    </row>
    <row r="1691" spans="1:13" x14ac:dyDescent="0.25">
      <c r="A1691" s="2">
        <f t="shared" si="53"/>
        <v>1686</v>
      </c>
      <c r="B1691" s="2">
        <v>102124</v>
      </c>
      <c r="C1691" s="2" t="s">
        <v>4197</v>
      </c>
      <c r="D1691" s="14" t="s">
        <v>1680</v>
      </c>
      <c r="E1691" s="14">
        <v>2.8037110999999997</v>
      </c>
      <c r="F1691" s="14">
        <v>0</v>
      </c>
      <c r="G1691" s="14">
        <v>2.8037110999999997</v>
      </c>
      <c r="H1691" s="16">
        <v>59.653211399999996</v>
      </c>
      <c r="I1691" s="16">
        <v>43.660148999999997</v>
      </c>
      <c r="J1691" s="3" t="s">
        <v>5011</v>
      </c>
      <c r="K1691" s="16">
        <v>2178.7602680485002</v>
      </c>
      <c r="L1691" s="16">
        <v>248.83287280000002</v>
      </c>
      <c r="M1691" s="16">
        <f t="shared" si="52"/>
        <v>4.1713240068748423</v>
      </c>
    </row>
    <row r="1692" spans="1:13" x14ac:dyDescent="0.25">
      <c r="A1692" s="2">
        <f t="shared" si="53"/>
        <v>1687</v>
      </c>
      <c r="B1692" s="2">
        <v>102202</v>
      </c>
      <c r="C1692" s="2" t="s">
        <v>4198</v>
      </c>
      <c r="D1692" s="14" t="s">
        <v>1681</v>
      </c>
      <c r="E1692" s="14">
        <v>0</v>
      </c>
      <c r="F1692" s="14">
        <v>0</v>
      </c>
      <c r="G1692" s="14">
        <v>0</v>
      </c>
      <c r="H1692" s="16">
        <v>0</v>
      </c>
      <c r="I1692" s="16">
        <v>0</v>
      </c>
      <c r="J1692" s="3" t="s">
        <v>5011</v>
      </c>
      <c r="K1692" s="16">
        <v>0</v>
      </c>
      <c r="L1692" s="16">
        <v>0</v>
      </c>
      <c r="M1692" s="16">
        <v>0</v>
      </c>
    </row>
    <row r="1693" spans="1:13" x14ac:dyDescent="0.25">
      <c r="A1693" s="2">
        <f t="shared" si="53"/>
        <v>1688</v>
      </c>
      <c r="B1693" s="2">
        <v>102214</v>
      </c>
      <c r="C1693" s="2" t="s">
        <v>4199</v>
      </c>
      <c r="D1693" s="14" t="s">
        <v>1682</v>
      </c>
      <c r="E1693" s="14">
        <v>8.7972999999999992E-3</v>
      </c>
      <c r="F1693" s="14">
        <v>0</v>
      </c>
      <c r="G1693" s="14">
        <v>8.7972999999999992E-3</v>
      </c>
      <c r="H1693" s="16">
        <v>2.5548723</v>
      </c>
      <c r="I1693" s="16">
        <v>2.5548723</v>
      </c>
      <c r="J1693" s="3" t="s">
        <v>5011</v>
      </c>
      <c r="K1693" s="16">
        <v>12.4028637957</v>
      </c>
      <c r="L1693" s="16">
        <v>2.8785427000000001</v>
      </c>
      <c r="M1693" s="16">
        <f t="shared" si="52"/>
        <v>1.1266875060643933</v>
      </c>
    </row>
    <row r="1694" spans="1:13" x14ac:dyDescent="0.25">
      <c r="A1694" s="2">
        <f t="shared" si="53"/>
        <v>1689</v>
      </c>
      <c r="B1694" s="2">
        <v>102292</v>
      </c>
      <c r="C1694" s="2" t="s">
        <v>4200</v>
      </c>
      <c r="D1694" s="14" t="s">
        <v>1683</v>
      </c>
      <c r="E1694" s="14">
        <v>0</v>
      </c>
      <c r="F1694" s="14">
        <v>0</v>
      </c>
      <c r="G1694" s="14">
        <v>0</v>
      </c>
      <c r="H1694" s="16">
        <v>0</v>
      </c>
      <c r="I1694" s="16">
        <v>0</v>
      </c>
      <c r="J1694" s="3" t="s">
        <v>5011</v>
      </c>
      <c r="K1694" s="16">
        <v>0</v>
      </c>
      <c r="L1694" s="16">
        <v>0</v>
      </c>
      <c r="M1694" s="16">
        <v>0</v>
      </c>
    </row>
    <row r="1695" spans="1:13" x14ac:dyDescent="0.25">
      <c r="A1695" s="2">
        <f t="shared" si="53"/>
        <v>1690</v>
      </c>
      <c r="B1695" s="2">
        <v>102294</v>
      </c>
      <c r="C1695" s="2" t="s">
        <v>4201</v>
      </c>
      <c r="D1695" s="14" t="s">
        <v>1684</v>
      </c>
      <c r="E1695" s="14">
        <v>1.1048E-3</v>
      </c>
      <c r="F1695" s="14">
        <v>0</v>
      </c>
      <c r="G1695" s="14">
        <v>1.1048E-3</v>
      </c>
      <c r="H1695" s="16">
        <v>33.353332299999998</v>
      </c>
      <c r="I1695" s="16">
        <v>33.353332299999998</v>
      </c>
      <c r="J1695" s="3" t="s">
        <v>5011</v>
      </c>
      <c r="K1695" s="16">
        <v>25.437588080899999</v>
      </c>
      <c r="L1695" s="16">
        <v>33.349596300000002</v>
      </c>
      <c r="M1695" s="16">
        <f t="shared" si="52"/>
        <v>0.99988798720420524</v>
      </c>
    </row>
    <row r="1696" spans="1:13" x14ac:dyDescent="0.25">
      <c r="A1696" s="2">
        <f t="shared" si="53"/>
        <v>1691</v>
      </c>
      <c r="B1696" s="2">
        <v>102338</v>
      </c>
      <c r="C1696" s="2" t="s">
        <v>4202</v>
      </c>
      <c r="D1696" s="14" t="s">
        <v>1685</v>
      </c>
      <c r="E1696" s="14">
        <v>1.9056099</v>
      </c>
      <c r="F1696" s="14">
        <v>0</v>
      </c>
      <c r="G1696" s="14">
        <v>1.9056099</v>
      </c>
      <c r="H1696" s="16">
        <v>379.34060200000005</v>
      </c>
      <c r="I1696" s="16">
        <v>258.27472710000001</v>
      </c>
      <c r="J1696" s="3" t="s">
        <v>5011</v>
      </c>
      <c r="K1696" s="16">
        <v>2913.4024627297995</v>
      </c>
      <c r="L1696" s="16">
        <v>430.97092070000002</v>
      </c>
      <c r="M1696" s="16">
        <f t="shared" si="52"/>
        <v>1.136105437772253</v>
      </c>
    </row>
    <row r="1697" spans="1:13" x14ac:dyDescent="0.25">
      <c r="A1697" s="2">
        <f t="shared" si="53"/>
        <v>1692</v>
      </c>
      <c r="B1697" s="2">
        <v>102345</v>
      </c>
      <c r="C1697" s="2" t="s">
        <v>4203</v>
      </c>
      <c r="D1697" s="14" t="s">
        <v>1686</v>
      </c>
      <c r="E1697" s="14">
        <v>2.5816083000000001</v>
      </c>
      <c r="F1697" s="14">
        <v>0</v>
      </c>
      <c r="G1697" s="14">
        <v>2.5816083000000001</v>
      </c>
      <c r="H1697" s="16">
        <v>545.55075049999994</v>
      </c>
      <c r="I1697" s="16">
        <v>267.46700379999993</v>
      </c>
      <c r="J1697" s="3" t="s">
        <v>5011</v>
      </c>
      <c r="K1697" s="16">
        <v>2451.6113779903008</v>
      </c>
      <c r="L1697" s="16">
        <v>369.46140000000003</v>
      </c>
      <c r="M1697" s="16">
        <f t="shared" si="52"/>
        <v>0.67722645356346201</v>
      </c>
    </row>
    <row r="1698" spans="1:13" x14ac:dyDescent="0.25">
      <c r="A1698" s="2">
        <f t="shared" si="53"/>
        <v>1693</v>
      </c>
      <c r="B1698" s="2">
        <v>102395</v>
      </c>
      <c r="C1698" s="2" t="s">
        <v>4204</v>
      </c>
      <c r="D1698" s="14" t="s">
        <v>1687</v>
      </c>
      <c r="E1698" s="14">
        <v>6.7421E-3</v>
      </c>
      <c r="F1698" s="14">
        <v>0</v>
      </c>
      <c r="G1698" s="14">
        <v>6.7421E-3</v>
      </c>
      <c r="H1698" s="16">
        <v>1.7883388</v>
      </c>
      <c r="I1698" s="16">
        <v>0.77944340000000012</v>
      </c>
      <c r="J1698" s="3" t="s">
        <v>5011</v>
      </c>
      <c r="K1698" s="16">
        <v>55.818900648099998</v>
      </c>
      <c r="L1698" s="16">
        <v>6.3513209999999996</v>
      </c>
      <c r="M1698" s="16">
        <f t="shared" si="52"/>
        <v>3.5515199916257476</v>
      </c>
    </row>
    <row r="1699" spans="1:13" x14ac:dyDescent="0.25">
      <c r="A1699" s="2">
        <f t="shared" si="53"/>
        <v>1694</v>
      </c>
      <c r="B1699" s="2">
        <v>102461</v>
      </c>
      <c r="C1699" s="2" t="s">
        <v>4205</v>
      </c>
      <c r="D1699" s="14" t="s">
        <v>1688</v>
      </c>
      <c r="E1699" s="14">
        <v>0</v>
      </c>
      <c r="F1699" s="14">
        <v>0</v>
      </c>
      <c r="G1699" s="14">
        <v>0</v>
      </c>
      <c r="H1699" s="16">
        <v>0</v>
      </c>
      <c r="I1699" s="16">
        <v>0</v>
      </c>
      <c r="J1699" s="3" t="s">
        <v>5011</v>
      </c>
      <c r="K1699" s="16">
        <v>0</v>
      </c>
      <c r="L1699" s="16">
        <v>0</v>
      </c>
      <c r="M1699" s="16">
        <v>0</v>
      </c>
    </row>
    <row r="1700" spans="1:13" x14ac:dyDescent="0.25">
      <c r="A1700" s="2">
        <f t="shared" si="53"/>
        <v>1695</v>
      </c>
      <c r="B1700" s="2">
        <v>102475</v>
      </c>
      <c r="C1700" s="2" t="s">
        <v>4206</v>
      </c>
      <c r="D1700" s="14" t="s">
        <v>1689</v>
      </c>
      <c r="E1700" s="14">
        <v>0</v>
      </c>
      <c r="F1700" s="14">
        <v>0</v>
      </c>
      <c r="G1700" s="14">
        <v>0</v>
      </c>
      <c r="H1700" s="16">
        <v>0</v>
      </c>
      <c r="I1700" s="16">
        <v>0</v>
      </c>
      <c r="J1700" s="3" t="s">
        <v>5011</v>
      </c>
      <c r="K1700" s="16">
        <v>0</v>
      </c>
      <c r="L1700" s="16">
        <v>0</v>
      </c>
      <c r="M1700" s="16">
        <v>0</v>
      </c>
    </row>
    <row r="1701" spans="1:13" x14ac:dyDescent="0.25">
      <c r="A1701" s="2">
        <f t="shared" si="53"/>
        <v>1696</v>
      </c>
      <c r="B1701" s="2">
        <v>102486</v>
      </c>
      <c r="C1701" s="2" t="s">
        <v>4207</v>
      </c>
      <c r="D1701" s="14" t="s">
        <v>1690</v>
      </c>
      <c r="E1701" s="14">
        <v>35.973250899999996</v>
      </c>
      <c r="F1701" s="14">
        <v>0</v>
      </c>
      <c r="G1701" s="14">
        <v>35.973250899999996</v>
      </c>
      <c r="H1701" s="16">
        <v>540.34702340000001</v>
      </c>
      <c r="I1701" s="16">
        <v>365.83331160000006</v>
      </c>
      <c r="J1701" s="3" t="s">
        <v>5011</v>
      </c>
      <c r="K1701" s="16">
        <v>24670.973290109392</v>
      </c>
      <c r="L1701" s="16">
        <v>2756.1817477999998</v>
      </c>
      <c r="M1701" s="16">
        <f t="shared" si="52"/>
        <v>5.1007623405740405</v>
      </c>
    </row>
    <row r="1702" spans="1:13" x14ac:dyDescent="0.25">
      <c r="A1702" s="2">
        <f t="shared" si="53"/>
        <v>1697</v>
      </c>
      <c r="B1702" s="2">
        <v>102489</v>
      </c>
      <c r="C1702" s="2" t="s">
        <v>4208</v>
      </c>
      <c r="D1702" s="14" t="s">
        <v>1691</v>
      </c>
      <c r="E1702" s="14">
        <v>3.4448360999999998</v>
      </c>
      <c r="F1702" s="14">
        <v>0</v>
      </c>
      <c r="G1702" s="14">
        <v>3.4448360999999998</v>
      </c>
      <c r="H1702" s="16">
        <v>266.31762760000004</v>
      </c>
      <c r="I1702" s="16">
        <v>97.108205300000009</v>
      </c>
      <c r="J1702" s="3" t="s">
        <v>5011</v>
      </c>
      <c r="K1702" s="16">
        <v>3442.4308319977999</v>
      </c>
      <c r="L1702" s="16">
        <v>470.75676850000002</v>
      </c>
      <c r="M1702" s="16">
        <f t="shared" si="52"/>
        <v>1.767651554808308</v>
      </c>
    </row>
    <row r="1703" spans="1:13" x14ac:dyDescent="0.25">
      <c r="A1703" s="2">
        <f t="shared" si="53"/>
        <v>1698</v>
      </c>
      <c r="B1703" s="2">
        <v>102495</v>
      </c>
      <c r="C1703" s="2" t="s">
        <v>4209</v>
      </c>
      <c r="D1703" s="14" t="s">
        <v>1692</v>
      </c>
      <c r="E1703" s="14">
        <v>10.574088699999999</v>
      </c>
      <c r="F1703" s="14">
        <v>0</v>
      </c>
      <c r="G1703" s="14">
        <v>10.574088699999999</v>
      </c>
      <c r="H1703" s="16">
        <v>728.91572849999989</v>
      </c>
      <c r="I1703" s="16">
        <v>429.3276436999999</v>
      </c>
      <c r="J1703" s="3" t="s">
        <v>5011</v>
      </c>
      <c r="K1703" s="16">
        <v>10931.089673633503</v>
      </c>
      <c r="L1703" s="16">
        <v>1415.1719731999999</v>
      </c>
      <c r="M1703" s="16">
        <f t="shared" si="52"/>
        <v>1.941475424206051</v>
      </c>
    </row>
    <row r="1704" spans="1:13" x14ac:dyDescent="0.25">
      <c r="A1704" s="2">
        <f t="shared" si="53"/>
        <v>1699</v>
      </c>
      <c r="B1704" s="2">
        <v>102602</v>
      </c>
      <c r="C1704" s="2" t="s">
        <v>4210</v>
      </c>
      <c r="D1704" s="14" t="s">
        <v>1693</v>
      </c>
      <c r="E1704" s="14">
        <v>0</v>
      </c>
      <c r="F1704" s="14">
        <v>0</v>
      </c>
      <c r="G1704" s="14">
        <v>0</v>
      </c>
      <c r="H1704" s="16">
        <v>0</v>
      </c>
      <c r="I1704" s="16">
        <v>0</v>
      </c>
      <c r="J1704" s="3" t="s">
        <v>5011</v>
      </c>
      <c r="K1704" s="16">
        <v>0</v>
      </c>
      <c r="L1704" s="16">
        <v>0</v>
      </c>
      <c r="M1704" s="16">
        <v>0</v>
      </c>
    </row>
    <row r="1705" spans="1:13" x14ac:dyDescent="0.25">
      <c r="A1705" s="2">
        <f t="shared" si="53"/>
        <v>1700</v>
      </c>
      <c r="B1705" s="2">
        <v>102669</v>
      </c>
      <c r="C1705" s="2" t="s">
        <v>4211</v>
      </c>
      <c r="D1705" s="14" t="s">
        <v>1694</v>
      </c>
      <c r="E1705" s="14">
        <v>0.58303079999999996</v>
      </c>
      <c r="F1705" s="14">
        <v>0</v>
      </c>
      <c r="G1705" s="14">
        <v>0.58303079999999996</v>
      </c>
      <c r="H1705" s="16">
        <v>22.404312599999997</v>
      </c>
      <c r="I1705" s="16">
        <v>18.632060499999998</v>
      </c>
      <c r="J1705" s="3" t="s">
        <v>5011</v>
      </c>
      <c r="K1705" s="16">
        <v>507.65818435460005</v>
      </c>
      <c r="L1705" s="16">
        <v>61.783047000000003</v>
      </c>
      <c r="M1705" s="16">
        <f t="shared" si="52"/>
        <v>2.7576408213479406</v>
      </c>
    </row>
    <row r="1706" spans="1:13" x14ac:dyDescent="0.25">
      <c r="A1706" s="2">
        <f t="shared" si="53"/>
        <v>1701</v>
      </c>
      <c r="B1706" s="2">
        <v>102672</v>
      </c>
      <c r="C1706" s="2" t="s">
        <v>4212</v>
      </c>
      <c r="D1706" s="14" t="s">
        <v>1695</v>
      </c>
      <c r="E1706" s="14">
        <v>11.211050699999998</v>
      </c>
      <c r="F1706" s="14">
        <v>0</v>
      </c>
      <c r="G1706" s="14">
        <v>11.211050699999998</v>
      </c>
      <c r="H1706" s="16">
        <v>230.2441019</v>
      </c>
      <c r="I1706" s="16">
        <v>132.34611360000002</v>
      </c>
      <c r="J1706" s="3" t="s">
        <v>5011</v>
      </c>
      <c r="K1706" s="16">
        <v>9875.2881178776024</v>
      </c>
      <c r="L1706" s="16">
        <v>1090.6430273000001</v>
      </c>
      <c r="M1706" s="16">
        <f t="shared" si="52"/>
        <v>4.7368988751498611</v>
      </c>
    </row>
    <row r="1707" spans="1:13" x14ac:dyDescent="0.25">
      <c r="A1707" s="2">
        <f t="shared" si="53"/>
        <v>1702</v>
      </c>
      <c r="B1707" s="2">
        <v>102793</v>
      </c>
      <c r="C1707" s="2" t="s">
        <v>4213</v>
      </c>
      <c r="D1707" s="14" t="s">
        <v>1696</v>
      </c>
      <c r="E1707" s="14">
        <v>0.94542209999999993</v>
      </c>
      <c r="F1707" s="14">
        <v>0</v>
      </c>
      <c r="G1707" s="14">
        <v>0.94542209999999993</v>
      </c>
      <c r="H1707" s="16">
        <v>203.56910809999999</v>
      </c>
      <c r="I1707" s="16">
        <v>144.03743369999998</v>
      </c>
      <c r="J1707" s="3" t="s">
        <v>5011</v>
      </c>
      <c r="K1707" s="16">
        <v>1281.5974585227002</v>
      </c>
      <c r="L1707" s="16">
        <v>211.21275359999998</v>
      </c>
      <c r="M1707" s="16">
        <f t="shared" si="52"/>
        <v>1.0375481602849346</v>
      </c>
    </row>
    <row r="1708" spans="1:13" x14ac:dyDescent="0.25">
      <c r="A1708" s="2">
        <f t="shared" si="53"/>
        <v>1703</v>
      </c>
      <c r="B1708" s="2">
        <v>102841</v>
      </c>
      <c r="C1708" s="2" t="s">
        <v>4214</v>
      </c>
      <c r="D1708" s="14" t="s">
        <v>1697</v>
      </c>
      <c r="E1708" s="14">
        <v>1.2723235999999998</v>
      </c>
      <c r="F1708" s="14">
        <v>0</v>
      </c>
      <c r="G1708" s="14">
        <v>1.2723235999999998</v>
      </c>
      <c r="H1708" s="16">
        <v>377.04786789999997</v>
      </c>
      <c r="I1708" s="16">
        <v>255.80847219999998</v>
      </c>
      <c r="J1708" s="3" t="s">
        <v>5011</v>
      </c>
      <c r="K1708" s="16">
        <v>1608.9485860539999</v>
      </c>
      <c r="L1708" s="16">
        <v>322.61374649999999</v>
      </c>
      <c r="M1708" s="16">
        <f t="shared" si="52"/>
        <v>0.85563074072484369</v>
      </c>
    </row>
    <row r="1709" spans="1:13" x14ac:dyDescent="0.25">
      <c r="A1709" s="2">
        <f t="shared" si="53"/>
        <v>1704</v>
      </c>
      <c r="B1709" s="2">
        <v>103044</v>
      </c>
      <c r="C1709" s="2" t="s">
        <v>4215</v>
      </c>
      <c r="D1709" s="14" t="s">
        <v>1698</v>
      </c>
      <c r="E1709" s="14">
        <v>2.5698200000000001E-2</v>
      </c>
      <c r="F1709" s="14">
        <v>0</v>
      </c>
      <c r="G1709" s="14">
        <v>2.5698200000000001E-2</v>
      </c>
      <c r="H1709" s="16">
        <v>15.6105245</v>
      </c>
      <c r="I1709" s="16">
        <v>9.5592221999999989</v>
      </c>
      <c r="J1709" s="3" t="s">
        <v>5011</v>
      </c>
      <c r="K1709" s="16">
        <v>61.525876362400005</v>
      </c>
      <c r="L1709" s="16">
        <v>12.045743400000001</v>
      </c>
      <c r="M1709" s="16">
        <f t="shared" si="52"/>
        <v>0.77164245185996161</v>
      </c>
    </row>
    <row r="1710" spans="1:13" x14ac:dyDescent="0.25">
      <c r="A1710" s="2">
        <f t="shared" si="53"/>
        <v>1705</v>
      </c>
      <c r="B1710" s="2">
        <v>103055</v>
      </c>
      <c r="C1710" s="2" t="s">
        <v>4216</v>
      </c>
      <c r="D1710" s="14" t="s">
        <v>1699</v>
      </c>
      <c r="E1710" s="14">
        <v>11.670203999999998</v>
      </c>
      <c r="F1710" s="14">
        <v>0</v>
      </c>
      <c r="G1710" s="14">
        <v>11.670203999999998</v>
      </c>
      <c r="H1710" s="16">
        <v>2659.1453381000001</v>
      </c>
      <c r="I1710" s="16">
        <v>1604.3168737000001</v>
      </c>
      <c r="J1710" s="3" t="s">
        <v>5011</v>
      </c>
      <c r="K1710" s="16">
        <v>17506.120627766995</v>
      </c>
      <c r="L1710" s="16">
        <v>2359.3724879000001</v>
      </c>
      <c r="M1710" s="16">
        <f t="shared" si="52"/>
        <v>0.88726721856647661</v>
      </c>
    </row>
    <row r="1711" spans="1:13" x14ac:dyDescent="0.25">
      <c r="A1711" s="2">
        <f t="shared" si="53"/>
        <v>1706</v>
      </c>
      <c r="B1711" s="2">
        <v>103100</v>
      </c>
      <c r="C1711" s="2" t="s">
        <v>4217</v>
      </c>
      <c r="D1711" s="14" t="s">
        <v>1700</v>
      </c>
      <c r="E1711" s="14">
        <v>0</v>
      </c>
      <c r="F1711" s="14">
        <v>0</v>
      </c>
      <c r="G1711" s="14">
        <v>0</v>
      </c>
      <c r="H1711" s="16">
        <v>0</v>
      </c>
      <c r="I1711" s="16">
        <v>0</v>
      </c>
      <c r="J1711" s="3" t="s">
        <v>5011</v>
      </c>
      <c r="K1711" s="16">
        <v>0</v>
      </c>
      <c r="L1711" s="16">
        <v>0</v>
      </c>
      <c r="M1711" s="16">
        <v>0</v>
      </c>
    </row>
    <row r="1712" spans="1:13" x14ac:dyDescent="0.25">
      <c r="A1712" s="2">
        <f t="shared" si="53"/>
        <v>1707</v>
      </c>
      <c r="B1712" s="2">
        <v>103121</v>
      </c>
      <c r="C1712" s="2" t="s">
        <v>4218</v>
      </c>
      <c r="D1712" s="14" t="s">
        <v>1701</v>
      </c>
      <c r="E1712" s="14">
        <v>0</v>
      </c>
      <c r="F1712" s="14">
        <v>0</v>
      </c>
      <c r="G1712" s="14">
        <v>0</v>
      </c>
      <c r="H1712" s="16">
        <v>0</v>
      </c>
      <c r="I1712" s="16">
        <v>0</v>
      </c>
      <c r="J1712" s="3" t="s">
        <v>5011</v>
      </c>
      <c r="K1712" s="16">
        <v>0</v>
      </c>
      <c r="L1712" s="16">
        <v>0</v>
      </c>
      <c r="M1712" s="16">
        <v>0</v>
      </c>
    </row>
    <row r="1713" spans="1:13" x14ac:dyDescent="0.25">
      <c r="A1713" s="2">
        <f t="shared" si="53"/>
        <v>1708</v>
      </c>
      <c r="B1713" s="2">
        <v>103123</v>
      </c>
      <c r="C1713" s="2" t="s">
        <v>4219</v>
      </c>
      <c r="D1713" s="14" t="s">
        <v>1702</v>
      </c>
      <c r="E1713" s="14">
        <v>8.5000000000000006E-3</v>
      </c>
      <c r="F1713" s="14">
        <v>0</v>
      </c>
      <c r="G1713" s="14">
        <v>8.5000000000000006E-3</v>
      </c>
      <c r="H1713" s="16">
        <v>18.089095499999999</v>
      </c>
      <c r="I1713" s="16">
        <v>18.089095499999999</v>
      </c>
      <c r="J1713" s="3" t="s">
        <v>5011</v>
      </c>
      <c r="K1713" s="16">
        <v>182.67746249179999</v>
      </c>
      <c r="L1713" s="16">
        <v>34.5811998</v>
      </c>
      <c r="M1713" s="16">
        <f t="shared" si="52"/>
        <v>1.911715254087746</v>
      </c>
    </row>
    <row r="1714" spans="1:13" x14ac:dyDescent="0.25">
      <c r="A1714" s="2">
        <f t="shared" si="53"/>
        <v>1709</v>
      </c>
      <c r="B1714" s="2">
        <v>103168</v>
      </c>
      <c r="C1714" s="2" t="s">
        <v>4220</v>
      </c>
      <c r="D1714" s="14" t="s">
        <v>1703</v>
      </c>
      <c r="E1714" s="14">
        <v>91.579139299999994</v>
      </c>
      <c r="F1714" s="14">
        <v>0</v>
      </c>
      <c r="G1714" s="14">
        <v>91.579139299999994</v>
      </c>
      <c r="H1714" s="16">
        <v>8734.4648957999998</v>
      </c>
      <c r="I1714" s="16">
        <v>6161.5432502999993</v>
      </c>
      <c r="J1714" s="3" t="s">
        <v>5011</v>
      </c>
      <c r="K1714" s="16">
        <v>90361.080973103148</v>
      </c>
      <c r="L1714" s="16">
        <v>13393.6126577</v>
      </c>
      <c r="M1714" s="16">
        <f t="shared" si="52"/>
        <v>1.533421087322747</v>
      </c>
    </row>
    <row r="1715" spans="1:13" x14ac:dyDescent="0.25">
      <c r="A1715" s="2">
        <f t="shared" si="53"/>
        <v>1710</v>
      </c>
      <c r="B1715" s="2">
        <v>103330</v>
      </c>
      <c r="C1715" s="2" t="s">
        <v>4221</v>
      </c>
      <c r="D1715" s="14" t="s">
        <v>1704</v>
      </c>
      <c r="E1715" s="14">
        <v>1.3596912999999999</v>
      </c>
      <c r="F1715" s="14">
        <v>0</v>
      </c>
      <c r="G1715" s="14">
        <v>1.3596912999999999</v>
      </c>
      <c r="H1715" s="16">
        <v>180.52817620000002</v>
      </c>
      <c r="I1715" s="16">
        <v>113.79573120000001</v>
      </c>
      <c r="J1715" s="3" t="s">
        <v>5011</v>
      </c>
      <c r="K1715" s="16">
        <v>1602.0483993407006</v>
      </c>
      <c r="L1715" s="16">
        <v>233.95652989999999</v>
      </c>
      <c r="M1715" s="16">
        <f t="shared" si="52"/>
        <v>1.2959557606166077</v>
      </c>
    </row>
    <row r="1716" spans="1:13" x14ac:dyDescent="0.25">
      <c r="A1716" s="2">
        <f t="shared" si="53"/>
        <v>1711</v>
      </c>
      <c r="B1716" s="2">
        <v>103393</v>
      </c>
      <c r="C1716" s="2" t="s">
        <v>4222</v>
      </c>
      <c r="D1716" s="14" t="s">
        <v>1705</v>
      </c>
      <c r="E1716" s="14">
        <v>7.2971149999999998</v>
      </c>
      <c r="F1716" s="14">
        <v>0</v>
      </c>
      <c r="G1716" s="14">
        <v>7.2971149999999998</v>
      </c>
      <c r="H1716" s="16">
        <v>287.0737833</v>
      </c>
      <c r="I1716" s="16">
        <v>219.80535729999997</v>
      </c>
      <c r="J1716" s="3" t="s">
        <v>5011</v>
      </c>
      <c r="K1716" s="16">
        <v>6635.7224530192998</v>
      </c>
      <c r="L1716" s="16">
        <v>815.15758359999995</v>
      </c>
      <c r="M1716" s="16">
        <f t="shared" si="52"/>
        <v>2.8395403238481651</v>
      </c>
    </row>
    <row r="1717" spans="1:13" x14ac:dyDescent="0.25">
      <c r="A1717" s="2">
        <f t="shared" si="53"/>
        <v>1712</v>
      </c>
      <c r="B1717" s="2">
        <v>103438</v>
      </c>
      <c r="C1717" s="2" t="s">
        <v>4223</v>
      </c>
      <c r="D1717" s="14" t="s">
        <v>1706</v>
      </c>
      <c r="E1717" s="14">
        <v>0</v>
      </c>
      <c r="F1717" s="14">
        <v>0</v>
      </c>
      <c r="G1717" s="14">
        <v>0</v>
      </c>
      <c r="H1717" s="16">
        <v>0</v>
      </c>
      <c r="I1717" s="16">
        <v>0</v>
      </c>
      <c r="J1717" s="3" t="s">
        <v>5011</v>
      </c>
      <c r="K1717" s="16">
        <v>0</v>
      </c>
      <c r="L1717" s="16">
        <v>0</v>
      </c>
      <c r="M1717" s="16">
        <v>0</v>
      </c>
    </row>
    <row r="1718" spans="1:13" x14ac:dyDescent="0.25">
      <c r="A1718" s="2">
        <f t="shared" si="53"/>
        <v>1713</v>
      </c>
      <c r="B1718" s="2">
        <v>103439</v>
      </c>
      <c r="C1718" s="2" t="s">
        <v>4224</v>
      </c>
      <c r="D1718" s="14" t="s">
        <v>1707</v>
      </c>
      <c r="E1718" s="14">
        <v>0.91587580000000002</v>
      </c>
      <c r="F1718" s="14">
        <v>0</v>
      </c>
      <c r="G1718" s="14">
        <v>0.91587580000000002</v>
      </c>
      <c r="H1718" s="16">
        <v>109.3462674</v>
      </c>
      <c r="I1718" s="16">
        <v>76.851172300000002</v>
      </c>
      <c r="J1718" s="3" t="s">
        <v>5011</v>
      </c>
      <c r="K1718" s="16">
        <v>947.50976120180007</v>
      </c>
      <c r="L1718" s="16">
        <v>146.02949749999999</v>
      </c>
      <c r="M1718" s="16">
        <f t="shared" si="52"/>
        <v>1.3354776616727932</v>
      </c>
    </row>
    <row r="1719" spans="1:13" x14ac:dyDescent="0.25">
      <c r="A1719" s="2">
        <f t="shared" si="53"/>
        <v>1714</v>
      </c>
      <c r="B1719" s="2">
        <v>103483</v>
      </c>
      <c r="C1719" s="2" t="s">
        <v>4225</v>
      </c>
      <c r="D1719" s="14" t="s">
        <v>1708</v>
      </c>
      <c r="E1719" s="14">
        <v>1.4123999999999999E-2</v>
      </c>
      <c r="F1719" s="14">
        <v>0</v>
      </c>
      <c r="G1719" s="14">
        <v>1.4123999999999999E-2</v>
      </c>
      <c r="H1719" s="16">
        <v>0.499975</v>
      </c>
      <c r="I1719" s="16">
        <v>-2.5273366999999998</v>
      </c>
      <c r="J1719" s="3" t="s">
        <v>5011</v>
      </c>
      <c r="K1719" s="16">
        <v>14.876554488899998</v>
      </c>
      <c r="L1719" s="16">
        <v>0.49512519999999999</v>
      </c>
      <c r="M1719" s="16">
        <f t="shared" si="52"/>
        <v>0.99029991499574976</v>
      </c>
    </row>
    <row r="1720" spans="1:13" x14ac:dyDescent="0.25">
      <c r="A1720" s="2">
        <f t="shared" si="53"/>
        <v>1715</v>
      </c>
      <c r="B1720" s="2">
        <v>103555</v>
      </c>
      <c r="C1720" s="2" t="s">
        <v>4226</v>
      </c>
      <c r="D1720" s="14" t="s">
        <v>1709</v>
      </c>
      <c r="E1720" s="14">
        <v>0.10022879999999999</v>
      </c>
      <c r="F1720" s="14">
        <v>0</v>
      </c>
      <c r="G1720" s="14">
        <v>0.10022879999999999</v>
      </c>
      <c r="H1720" s="16">
        <v>81.752680499999997</v>
      </c>
      <c r="I1720" s="16">
        <v>78.533253899999991</v>
      </c>
      <c r="J1720" s="3" t="s">
        <v>5011</v>
      </c>
      <c r="K1720" s="16">
        <v>176.2663942362</v>
      </c>
      <c r="L1720" s="16">
        <v>87.893135500000014</v>
      </c>
      <c r="M1720" s="16">
        <f t="shared" si="52"/>
        <v>1.0751101366027995</v>
      </c>
    </row>
    <row r="1721" spans="1:13" x14ac:dyDescent="0.25">
      <c r="A1721" s="2">
        <f t="shared" si="53"/>
        <v>1716</v>
      </c>
      <c r="B1721" s="2">
        <v>103788</v>
      </c>
      <c r="C1721" s="2" t="s">
        <v>4227</v>
      </c>
      <c r="D1721" s="14" t="s">
        <v>1710</v>
      </c>
      <c r="E1721" s="14">
        <v>5.3412200000000014E-2</v>
      </c>
      <c r="F1721" s="14">
        <v>0</v>
      </c>
      <c r="G1721" s="14">
        <v>5.3412200000000014E-2</v>
      </c>
      <c r="H1721" s="16">
        <v>6.4996749999999999</v>
      </c>
      <c r="I1721" s="16">
        <v>6.4996749999999999</v>
      </c>
      <c r="J1721" s="3" t="s">
        <v>5011</v>
      </c>
      <c r="K1721" s="16">
        <v>62.293081572399998</v>
      </c>
      <c r="L1721" s="16">
        <v>9.8373173999999999</v>
      </c>
      <c r="M1721" s="16">
        <f t="shared" si="52"/>
        <v>1.5135091216099266</v>
      </c>
    </row>
    <row r="1722" spans="1:13" x14ac:dyDescent="0.25">
      <c r="A1722" s="2">
        <f t="shared" si="53"/>
        <v>1717</v>
      </c>
      <c r="B1722" s="2">
        <v>103956</v>
      </c>
      <c r="C1722" s="2" t="s">
        <v>4228</v>
      </c>
      <c r="D1722" s="14" t="s">
        <v>1711</v>
      </c>
      <c r="E1722" s="14">
        <v>0</v>
      </c>
      <c r="F1722" s="14">
        <v>0</v>
      </c>
      <c r="G1722" s="14">
        <v>0</v>
      </c>
      <c r="H1722" s="16">
        <v>0.19999</v>
      </c>
      <c r="I1722" s="16">
        <v>0.19559259999999998</v>
      </c>
      <c r="J1722" s="3" t="s">
        <v>5011</v>
      </c>
      <c r="K1722" s="16">
        <v>19.285691186400001</v>
      </c>
      <c r="L1722" s="16">
        <v>2.0193463</v>
      </c>
      <c r="M1722" s="16">
        <f t="shared" si="52"/>
        <v>10.097236361818091</v>
      </c>
    </row>
    <row r="1723" spans="1:13" x14ac:dyDescent="0.25">
      <c r="A1723" s="2">
        <f t="shared" si="53"/>
        <v>1718</v>
      </c>
      <c r="B1723" s="2">
        <v>104025</v>
      </c>
      <c r="C1723" s="2" t="s">
        <v>4229</v>
      </c>
      <c r="D1723" s="14" t="s">
        <v>1712</v>
      </c>
      <c r="E1723" s="14">
        <v>3.2954999999999998E-2</v>
      </c>
      <c r="F1723" s="14">
        <v>0</v>
      </c>
      <c r="G1723" s="14">
        <v>3.2954999999999998E-2</v>
      </c>
      <c r="H1723" s="16">
        <v>3.9833612999999999</v>
      </c>
      <c r="I1723" s="16">
        <v>2.9698008000000002</v>
      </c>
      <c r="J1723" s="3" t="s">
        <v>5011</v>
      </c>
      <c r="K1723" s="16">
        <v>49.623154398500006</v>
      </c>
      <c r="L1723" s="16">
        <v>6.4986703000000006</v>
      </c>
      <c r="M1723" s="16">
        <f t="shared" si="52"/>
        <v>1.6314538929722495</v>
      </c>
    </row>
    <row r="1724" spans="1:13" x14ac:dyDescent="0.25">
      <c r="A1724" s="2">
        <f t="shared" si="53"/>
        <v>1719</v>
      </c>
      <c r="B1724" s="2">
        <v>104096</v>
      </c>
      <c r="C1724" s="2" t="s">
        <v>4230</v>
      </c>
      <c r="D1724" s="14" t="s">
        <v>1713</v>
      </c>
      <c r="E1724" s="14">
        <v>4.8423311000000009</v>
      </c>
      <c r="F1724" s="14">
        <v>0</v>
      </c>
      <c r="G1724" s="14">
        <v>4.8423311000000009</v>
      </c>
      <c r="H1724" s="16">
        <v>250.21865870000002</v>
      </c>
      <c r="I1724" s="16">
        <v>33.322648100000023</v>
      </c>
      <c r="J1724" s="3" t="s">
        <v>5011</v>
      </c>
      <c r="K1724" s="16">
        <v>9425.8685153780989</v>
      </c>
      <c r="L1724" s="16">
        <v>980.29322309999998</v>
      </c>
      <c r="M1724" s="16">
        <f t="shared" si="52"/>
        <v>3.9177462951526878</v>
      </c>
    </row>
    <row r="1725" spans="1:13" x14ac:dyDescent="0.25">
      <c r="A1725" s="2">
        <f t="shared" si="53"/>
        <v>1720</v>
      </c>
      <c r="B1725" s="2">
        <v>104178</v>
      </c>
      <c r="C1725" s="2" t="s">
        <v>4231</v>
      </c>
      <c r="D1725" s="14" t="s">
        <v>1714</v>
      </c>
      <c r="E1725" s="14">
        <v>0</v>
      </c>
      <c r="F1725" s="14">
        <v>0</v>
      </c>
      <c r="G1725" s="14">
        <v>0</v>
      </c>
      <c r="H1725" s="16">
        <v>0</v>
      </c>
      <c r="I1725" s="16">
        <v>0</v>
      </c>
      <c r="J1725" s="3" t="s">
        <v>5011</v>
      </c>
      <c r="K1725" s="16">
        <v>0</v>
      </c>
      <c r="L1725" s="16">
        <v>0</v>
      </c>
      <c r="M1725" s="16">
        <v>0</v>
      </c>
    </row>
    <row r="1726" spans="1:13" x14ac:dyDescent="0.25">
      <c r="A1726" s="2">
        <f t="shared" si="53"/>
        <v>1721</v>
      </c>
      <c r="B1726" s="2">
        <v>104196</v>
      </c>
      <c r="C1726" s="2" t="s">
        <v>4232</v>
      </c>
      <c r="D1726" s="14" t="s">
        <v>1715</v>
      </c>
      <c r="E1726" s="14">
        <v>0</v>
      </c>
      <c r="F1726" s="14">
        <v>0</v>
      </c>
      <c r="G1726" s="14">
        <v>0</v>
      </c>
      <c r="H1726" s="16">
        <v>0</v>
      </c>
      <c r="I1726" s="16">
        <v>0</v>
      </c>
      <c r="J1726" s="3" t="s">
        <v>5011</v>
      </c>
      <c r="K1726" s="16">
        <v>0</v>
      </c>
      <c r="L1726" s="16">
        <v>0</v>
      </c>
      <c r="M1726" s="16">
        <v>0</v>
      </c>
    </row>
    <row r="1727" spans="1:13" x14ac:dyDescent="0.25">
      <c r="A1727" s="2">
        <f t="shared" si="53"/>
        <v>1722</v>
      </c>
      <c r="B1727" s="2">
        <v>104207</v>
      </c>
      <c r="C1727" s="2" t="s">
        <v>4233</v>
      </c>
      <c r="D1727" s="14" t="s">
        <v>1716</v>
      </c>
      <c r="E1727" s="14">
        <v>0.83401919999999996</v>
      </c>
      <c r="F1727" s="14">
        <v>0</v>
      </c>
      <c r="G1727" s="14">
        <v>0.83401919999999996</v>
      </c>
      <c r="H1727" s="16">
        <v>71.270874300000003</v>
      </c>
      <c r="I1727" s="16">
        <v>13.064021099999994</v>
      </c>
      <c r="J1727" s="3" t="s">
        <v>5011</v>
      </c>
      <c r="K1727" s="16">
        <v>968.24618206120022</v>
      </c>
      <c r="L1727" s="16">
        <v>109.1338032</v>
      </c>
      <c r="M1727" s="16">
        <f t="shared" si="52"/>
        <v>1.53125388557216</v>
      </c>
    </row>
    <row r="1728" spans="1:13" x14ac:dyDescent="0.25">
      <c r="A1728" s="2">
        <f t="shared" si="53"/>
        <v>1723</v>
      </c>
      <c r="B1728" s="2">
        <v>104410</v>
      </c>
      <c r="C1728" s="2" t="s">
        <v>4234</v>
      </c>
      <c r="D1728" s="14" t="s">
        <v>1717</v>
      </c>
      <c r="E1728" s="14">
        <v>0</v>
      </c>
      <c r="F1728" s="14">
        <v>0</v>
      </c>
      <c r="G1728" s="14">
        <v>0</v>
      </c>
      <c r="H1728" s="16">
        <v>0</v>
      </c>
      <c r="I1728" s="16">
        <v>0</v>
      </c>
      <c r="J1728" s="3" t="s">
        <v>5011</v>
      </c>
      <c r="K1728" s="16">
        <v>0</v>
      </c>
      <c r="L1728" s="16">
        <v>0</v>
      </c>
      <c r="M1728" s="16">
        <v>0</v>
      </c>
    </row>
    <row r="1729" spans="1:13" x14ac:dyDescent="0.25">
      <c r="A1729" s="2">
        <f t="shared" si="53"/>
        <v>1724</v>
      </c>
      <c r="B1729" s="2">
        <v>104453</v>
      </c>
      <c r="C1729" s="2" t="s">
        <v>4235</v>
      </c>
      <c r="D1729" s="14" t="s">
        <v>1718</v>
      </c>
      <c r="E1729" s="14">
        <v>0</v>
      </c>
      <c r="F1729" s="14">
        <v>0</v>
      </c>
      <c r="G1729" s="14">
        <v>0</v>
      </c>
      <c r="H1729" s="16">
        <v>0</v>
      </c>
      <c r="I1729" s="16">
        <v>0</v>
      </c>
      <c r="J1729" s="3" t="s">
        <v>5011</v>
      </c>
      <c r="K1729" s="16">
        <v>0</v>
      </c>
      <c r="L1729" s="16">
        <v>0</v>
      </c>
      <c r="M1729" s="16">
        <v>0</v>
      </c>
    </row>
    <row r="1730" spans="1:13" x14ac:dyDescent="0.25">
      <c r="A1730" s="2">
        <f t="shared" si="53"/>
        <v>1725</v>
      </c>
      <c r="B1730" s="2">
        <v>104466</v>
      </c>
      <c r="C1730" s="2" t="s">
        <v>4236</v>
      </c>
      <c r="D1730" s="14" t="s">
        <v>1719</v>
      </c>
      <c r="E1730" s="14">
        <v>4.1713985999999998</v>
      </c>
      <c r="F1730" s="14">
        <v>0</v>
      </c>
      <c r="G1730" s="14">
        <v>4.1713985999999998</v>
      </c>
      <c r="H1730" s="16">
        <v>1213.3223719</v>
      </c>
      <c r="I1730" s="16">
        <v>720.51006159999997</v>
      </c>
      <c r="J1730" s="3" t="s">
        <v>5011</v>
      </c>
      <c r="K1730" s="16">
        <v>6103.2681785525037</v>
      </c>
      <c r="L1730" s="16">
        <v>1070.2528909</v>
      </c>
      <c r="M1730" s="16">
        <f t="shared" si="52"/>
        <v>0.88208452731654441</v>
      </c>
    </row>
    <row r="1731" spans="1:13" x14ac:dyDescent="0.25">
      <c r="A1731" s="2">
        <f t="shared" si="53"/>
        <v>1726</v>
      </c>
      <c r="B1731" s="2">
        <v>104669</v>
      </c>
      <c r="C1731" s="2" t="s">
        <v>4237</v>
      </c>
      <c r="D1731" s="14" t="s">
        <v>1720</v>
      </c>
      <c r="E1731" s="14">
        <v>43.644210700000002</v>
      </c>
      <c r="F1731" s="14">
        <v>0</v>
      </c>
      <c r="G1731" s="14">
        <v>43.644210700000002</v>
      </c>
      <c r="H1731" s="16">
        <v>4251.5506325999995</v>
      </c>
      <c r="I1731" s="16">
        <v>2392.9623363000001</v>
      </c>
      <c r="J1731" s="3" t="s">
        <v>5011</v>
      </c>
      <c r="K1731" s="16">
        <v>40998.606712533197</v>
      </c>
      <c r="L1731" s="16">
        <v>5547.5951503999995</v>
      </c>
      <c r="M1731" s="16">
        <f t="shared" si="52"/>
        <v>1.3048404287749045</v>
      </c>
    </row>
    <row r="1732" spans="1:13" x14ac:dyDescent="0.25">
      <c r="A1732" s="2">
        <f t="shared" si="53"/>
        <v>1727</v>
      </c>
      <c r="B1732" s="2">
        <v>104799</v>
      </c>
      <c r="C1732" s="2" t="s">
        <v>4238</v>
      </c>
      <c r="D1732" s="14" t="s">
        <v>1721</v>
      </c>
      <c r="E1732" s="14">
        <v>0</v>
      </c>
      <c r="F1732" s="14">
        <v>0</v>
      </c>
      <c r="G1732" s="14">
        <v>0</v>
      </c>
      <c r="H1732" s="16">
        <v>0</v>
      </c>
      <c r="I1732" s="16">
        <v>0</v>
      </c>
      <c r="J1732" s="3" t="s">
        <v>5011</v>
      </c>
      <c r="K1732" s="16">
        <v>2.9721522571000003</v>
      </c>
      <c r="L1732" s="16">
        <v>0.30410389999999998</v>
      </c>
      <c r="M1732" s="16">
        <v>0</v>
      </c>
    </row>
    <row r="1733" spans="1:13" x14ac:dyDescent="0.25">
      <c r="A1733" s="2">
        <f t="shared" si="53"/>
        <v>1728</v>
      </c>
      <c r="B1733" s="2">
        <v>104917</v>
      </c>
      <c r="C1733" s="2" t="s">
        <v>4239</v>
      </c>
      <c r="D1733" s="14" t="s">
        <v>1722</v>
      </c>
      <c r="E1733" s="14">
        <v>5.5817134000000008</v>
      </c>
      <c r="F1733" s="14">
        <v>0</v>
      </c>
      <c r="G1733" s="14">
        <v>5.5817134000000008</v>
      </c>
      <c r="H1733" s="16">
        <v>1075.0389809999999</v>
      </c>
      <c r="I1733" s="16">
        <v>576.68428069999993</v>
      </c>
      <c r="J1733" s="3" t="s">
        <v>5011</v>
      </c>
      <c r="K1733" s="16">
        <v>7238.3610491655018</v>
      </c>
      <c r="L1733" s="16">
        <v>973.83064249999995</v>
      </c>
      <c r="M1733" s="16">
        <f t="shared" si="52"/>
        <v>0.90585612216046707</v>
      </c>
    </row>
    <row r="1734" spans="1:13" x14ac:dyDescent="0.25">
      <c r="A1734" s="2">
        <f t="shared" si="53"/>
        <v>1729</v>
      </c>
      <c r="B1734" s="2">
        <v>105049</v>
      </c>
      <c r="C1734" s="2" t="s">
        <v>4240</v>
      </c>
      <c r="D1734" s="14" t="s">
        <v>1723</v>
      </c>
      <c r="E1734" s="14">
        <v>0</v>
      </c>
      <c r="F1734" s="14">
        <v>0</v>
      </c>
      <c r="G1734" s="14">
        <v>0</v>
      </c>
      <c r="H1734" s="16">
        <v>0</v>
      </c>
      <c r="I1734" s="16">
        <v>0</v>
      </c>
      <c r="J1734" s="3" t="s">
        <v>5011</v>
      </c>
      <c r="K1734" s="16">
        <v>0</v>
      </c>
      <c r="L1734" s="16">
        <v>0</v>
      </c>
      <c r="M1734" s="16">
        <v>0</v>
      </c>
    </row>
    <row r="1735" spans="1:13" x14ac:dyDescent="0.25">
      <c r="A1735" s="2">
        <f t="shared" si="53"/>
        <v>1730</v>
      </c>
      <c r="B1735" s="2">
        <v>105050</v>
      </c>
      <c r="C1735" s="2" t="s">
        <v>4241</v>
      </c>
      <c r="D1735" s="14" t="s">
        <v>1724</v>
      </c>
      <c r="E1735" s="14">
        <v>5.4279999999999997E-4</v>
      </c>
      <c r="F1735" s="14">
        <v>0</v>
      </c>
      <c r="G1735" s="14">
        <v>5.4279999999999997E-4</v>
      </c>
      <c r="H1735" s="16">
        <v>0.48847559999999995</v>
      </c>
      <c r="I1735" s="16">
        <v>0.12447559999999998</v>
      </c>
      <c r="J1735" s="3" t="s">
        <v>5011</v>
      </c>
      <c r="K1735" s="16">
        <v>2.5621688491999999</v>
      </c>
      <c r="L1735" s="16">
        <v>0.77057359999999997</v>
      </c>
      <c r="M1735" s="16">
        <f t="shared" ref="M1735:M1798" si="54">L1735/H1735</f>
        <v>1.5775068396456242</v>
      </c>
    </row>
    <row r="1736" spans="1:13" x14ac:dyDescent="0.25">
      <c r="A1736" s="2">
        <f t="shared" ref="A1736:A1799" si="55">A1735+1</f>
        <v>1731</v>
      </c>
      <c r="B1736" s="2">
        <v>105205</v>
      </c>
      <c r="C1736" s="2" t="s">
        <v>4242</v>
      </c>
      <c r="D1736" s="14" t="s">
        <v>1725</v>
      </c>
      <c r="E1736" s="14">
        <v>0</v>
      </c>
      <c r="F1736" s="14">
        <v>0</v>
      </c>
      <c r="G1736" s="14">
        <v>0</v>
      </c>
      <c r="H1736" s="16">
        <v>0</v>
      </c>
      <c r="I1736" s="16">
        <v>0</v>
      </c>
      <c r="J1736" s="3" t="s">
        <v>5011</v>
      </c>
      <c r="K1736" s="16">
        <v>0</v>
      </c>
      <c r="L1736" s="16">
        <v>0</v>
      </c>
      <c r="M1736" s="16">
        <v>0</v>
      </c>
    </row>
    <row r="1737" spans="1:13" x14ac:dyDescent="0.25">
      <c r="A1737" s="2">
        <f t="shared" si="55"/>
        <v>1732</v>
      </c>
      <c r="B1737" s="2">
        <v>105437</v>
      </c>
      <c r="C1737" s="2" t="s">
        <v>4243</v>
      </c>
      <c r="D1737" s="14" t="s">
        <v>1726</v>
      </c>
      <c r="E1737" s="14">
        <v>0</v>
      </c>
      <c r="F1737" s="14">
        <v>0</v>
      </c>
      <c r="G1737" s="14">
        <v>0</v>
      </c>
      <c r="H1737" s="16">
        <v>0</v>
      </c>
      <c r="I1737" s="16">
        <v>0</v>
      </c>
      <c r="J1737" s="3" t="s">
        <v>5011</v>
      </c>
      <c r="K1737" s="16">
        <v>0</v>
      </c>
      <c r="L1737" s="16">
        <v>0</v>
      </c>
      <c r="M1737" s="16">
        <v>0</v>
      </c>
    </row>
    <row r="1738" spans="1:13" x14ac:dyDescent="0.25">
      <c r="A1738" s="2">
        <f t="shared" si="55"/>
        <v>1733</v>
      </c>
      <c r="B1738" s="2">
        <v>105629</v>
      </c>
      <c r="C1738" s="2" t="s">
        <v>4244</v>
      </c>
      <c r="D1738" s="14" t="s">
        <v>1727</v>
      </c>
      <c r="E1738" s="14">
        <v>1.2859999999999998E-4</v>
      </c>
      <c r="F1738" s="14">
        <v>0</v>
      </c>
      <c r="G1738" s="14">
        <v>1.2859999999999998E-4</v>
      </c>
      <c r="H1738" s="16">
        <v>0.78349579999999996</v>
      </c>
      <c r="I1738" s="16">
        <v>0.78349579999999996</v>
      </c>
      <c r="J1738" s="3" t="s">
        <v>5011</v>
      </c>
      <c r="K1738" s="16">
        <v>0.65985093319999999</v>
      </c>
      <c r="L1738" s="16">
        <v>0.79614289999999999</v>
      </c>
      <c r="M1738" s="16">
        <f t="shared" si="54"/>
        <v>1.0161418861466776</v>
      </c>
    </row>
    <row r="1739" spans="1:13" x14ac:dyDescent="0.25">
      <c r="A1739" s="2">
        <f t="shared" si="55"/>
        <v>1734</v>
      </c>
      <c r="B1739" s="2">
        <v>105712</v>
      </c>
      <c r="C1739" s="2" t="s">
        <v>4245</v>
      </c>
      <c r="D1739" s="14" t="s">
        <v>1728</v>
      </c>
      <c r="E1739" s="14">
        <v>0</v>
      </c>
      <c r="F1739" s="14">
        <v>0</v>
      </c>
      <c r="G1739" s="14">
        <v>0</v>
      </c>
      <c r="H1739" s="16">
        <v>0</v>
      </c>
      <c r="I1739" s="16">
        <v>0</v>
      </c>
      <c r="J1739" s="3" t="s">
        <v>5011</v>
      </c>
      <c r="K1739" s="16">
        <v>0</v>
      </c>
      <c r="L1739" s="16">
        <v>0</v>
      </c>
      <c r="M1739" s="16">
        <v>0</v>
      </c>
    </row>
    <row r="1740" spans="1:13" x14ac:dyDescent="0.25">
      <c r="A1740" s="2">
        <f t="shared" si="55"/>
        <v>1735</v>
      </c>
      <c r="B1740" s="2">
        <v>105768</v>
      </c>
      <c r="C1740" s="2" t="s">
        <v>4246</v>
      </c>
      <c r="D1740" s="14" t="s">
        <v>1729</v>
      </c>
      <c r="E1740" s="14">
        <v>1.7420874999999998</v>
      </c>
      <c r="F1740" s="14">
        <v>0</v>
      </c>
      <c r="G1740" s="14">
        <v>1.7420874999999998</v>
      </c>
      <c r="H1740" s="16">
        <v>156.13606329999999</v>
      </c>
      <c r="I1740" s="16">
        <v>45.519802599999998</v>
      </c>
      <c r="J1740" s="3" t="s">
        <v>5011</v>
      </c>
      <c r="K1740" s="16">
        <v>2624.2688112688002</v>
      </c>
      <c r="L1740" s="16">
        <v>282.47001460000001</v>
      </c>
      <c r="M1740" s="16">
        <f t="shared" si="54"/>
        <v>1.8091272998042858</v>
      </c>
    </row>
    <row r="1741" spans="1:13" x14ac:dyDescent="0.25">
      <c r="A1741" s="2">
        <f t="shared" si="55"/>
        <v>1736</v>
      </c>
      <c r="B1741" s="2">
        <v>105808</v>
      </c>
      <c r="C1741" s="2" t="s">
        <v>4247</v>
      </c>
      <c r="D1741" s="14" t="s">
        <v>1730</v>
      </c>
      <c r="E1741" s="14">
        <v>0.12651329999999997</v>
      </c>
      <c r="F1741" s="14">
        <v>0</v>
      </c>
      <c r="G1741" s="14">
        <v>0.12651329999999997</v>
      </c>
      <c r="H1741" s="16">
        <v>17.324134300000001</v>
      </c>
      <c r="I1741" s="16">
        <v>17.0741318</v>
      </c>
      <c r="J1741" s="3" t="s">
        <v>5011</v>
      </c>
      <c r="K1741" s="16">
        <v>168.4937875087</v>
      </c>
      <c r="L1741" s="16">
        <v>29.830196800000003</v>
      </c>
      <c r="M1741" s="16">
        <f t="shared" si="54"/>
        <v>1.7218867207696491</v>
      </c>
    </row>
    <row r="1742" spans="1:13" x14ac:dyDescent="0.25">
      <c r="A1742" s="2">
        <f t="shared" si="55"/>
        <v>1737</v>
      </c>
      <c r="B1742" s="2">
        <v>105917</v>
      </c>
      <c r="C1742" s="2" t="s">
        <v>4248</v>
      </c>
      <c r="D1742" s="14" t="s">
        <v>1731</v>
      </c>
      <c r="E1742" s="14">
        <v>1.8442078</v>
      </c>
      <c r="F1742" s="14">
        <v>0</v>
      </c>
      <c r="G1742" s="14">
        <v>1.8442078</v>
      </c>
      <c r="H1742" s="16">
        <v>146.0763719</v>
      </c>
      <c r="I1742" s="16">
        <v>120.13124769999999</v>
      </c>
      <c r="J1742" s="3" t="s">
        <v>5011</v>
      </c>
      <c r="K1742" s="16">
        <v>1935.7071502738995</v>
      </c>
      <c r="L1742" s="16">
        <v>254.74126340000001</v>
      </c>
      <c r="M1742" s="16">
        <f t="shared" si="54"/>
        <v>1.7438909529762219</v>
      </c>
    </row>
    <row r="1743" spans="1:13" x14ac:dyDescent="0.25">
      <c r="A1743" s="2">
        <f t="shared" si="55"/>
        <v>1738</v>
      </c>
      <c r="B1743" s="2">
        <v>105920</v>
      </c>
      <c r="C1743" s="2" t="s">
        <v>4249</v>
      </c>
      <c r="D1743" s="14" t="s">
        <v>1732</v>
      </c>
      <c r="E1743" s="14">
        <v>9.5199669</v>
      </c>
      <c r="F1743" s="14">
        <v>0</v>
      </c>
      <c r="G1743" s="14">
        <v>9.5199669</v>
      </c>
      <c r="H1743" s="16">
        <v>901.00230099999999</v>
      </c>
      <c r="I1743" s="16">
        <v>592.0321042999999</v>
      </c>
      <c r="J1743" s="3" t="s">
        <v>5011</v>
      </c>
      <c r="K1743" s="16">
        <v>10274.5384408919</v>
      </c>
      <c r="L1743" s="16">
        <v>1397.7626646000001</v>
      </c>
      <c r="M1743" s="16">
        <f t="shared" si="54"/>
        <v>1.5513419477937604</v>
      </c>
    </row>
    <row r="1744" spans="1:13" x14ac:dyDescent="0.25">
      <c r="A1744" s="2">
        <f t="shared" si="55"/>
        <v>1739</v>
      </c>
      <c r="B1744" s="2">
        <v>105921</v>
      </c>
      <c r="C1744" s="2" t="s">
        <v>4250</v>
      </c>
      <c r="D1744" s="14" t="s">
        <v>1733</v>
      </c>
      <c r="E1744" s="14">
        <v>0.1219889</v>
      </c>
      <c r="F1744" s="14">
        <v>0</v>
      </c>
      <c r="G1744" s="14">
        <v>0.1219889</v>
      </c>
      <c r="H1744" s="16">
        <v>31.653420499999999</v>
      </c>
      <c r="I1744" s="16">
        <v>23.768704699999997</v>
      </c>
      <c r="J1744" s="3" t="s">
        <v>5011</v>
      </c>
      <c r="K1744" s="16">
        <v>204.65657914450003</v>
      </c>
      <c r="L1744" s="16">
        <v>32.164996899999998</v>
      </c>
      <c r="M1744" s="16">
        <f t="shared" si="54"/>
        <v>1.0161618046934295</v>
      </c>
    </row>
    <row r="1745" spans="1:13" x14ac:dyDescent="0.25">
      <c r="A1745" s="2">
        <f t="shared" si="55"/>
        <v>1740</v>
      </c>
      <c r="B1745" s="2">
        <v>105922</v>
      </c>
      <c r="C1745" s="2" t="s">
        <v>4251</v>
      </c>
      <c r="D1745" s="14" t="s">
        <v>1734</v>
      </c>
      <c r="E1745" s="14">
        <v>7.9793199999999995E-2</v>
      </c>
      <c r="F1745" s="14">
        <v>0</v>
      </c>
      <c r="G1745" s="14">
        <v>7.9793199999999995E-2</v>
      </c>
      <c r="H1745" s="16">
        <v>36.499976199999999</v>
      </c>
      <c r="I1745" s="16">
        <v>35.616381499999996</v>
      </c>
      <c r="J1745" s="3" t="s">
        <v>5011</v>
      </c>
      <c r="K1745" s="16">
        <v>211.70715690539998</v>
      </c>
      <c r="L1745" s="16">
        <v>46.0320009</v>
      </c>
      <c r="M1745" s="16">
        <f t="shared" si="54"/>
        <v>1.2611515319289441</v>
      </c>
    </row>
    <row r="1746" spans="1:13" x14ac:dyDescent="0.25">
      <c r="A1746" s="2">
        <f t="shared" si="55"/>
        <v>1741</v>
      </c>
      <c r="B1746" s="2">
        <v>105949</v>
      </c>
      <c r="C1746" s="2" t="s">
        <v>4252</v>
      </c>
      <c r="D1746" s="14" t="s">
        <v>1735</v>
      </c>
      <c r="E1746" s="14">
        <v>2.0457877</v>
      </c>
      <c r="F1746" s="14">
        <v>0</v>
      </c>
      <c r="G1746" s="14">
        <v>2.0457877</v>
      </c>
      <c r="H1746" s="16">
        <v>406.5850653</v>
      </c>
      <c r="I1746" s="16">
        <v>249.48589850000002</v>
      </c>
      <c r="J1746" s="3" t="s">
        <v>5011</v>
      </c>
      <c r="K1746" s="16">
        <v>2706.3020090849996</v>
      </c>
      <c r="L1746" s="16">
        <v>297.13248290000001</v>
      </c>
      <c r="M1746" s="16">
        <f t="shared" si="54"/>
        <v>0.73080028820232223</v>
      </c>
    </row>
    <row r="1747" spans="1:13" x14ac:dyDescent="0.25">
      <c r="A1747" s="2">
        <f t="shared" si="55"/>
        <v>1742</v>
      </c>
      <c r="B1747" s="2">
        <v>106026</v>
      </c>
      <c r="C1747" s="2" t="s">
        <v>4253</v>
      </c>
      <c r="D1747" s="14" t="s">
        <v>1736</v>
      </c>
      <c r="E1747" s="14">
        <v>0</v>
      </c>
      <c r="F1747" s="14">
        <v>0</v>
      </c>
      <c r="G1747" s="14">
        <v>0</v>
      </c>
      <c r="H1747" s="16">
        <v>0</v>
      </c>
      <c r="I1747" s="16">
        <v>0</v>
      </c>
      <c r="J1747" s="3" t="s">
        <v>5011</v>
      </c>
      <c r="K1747" s="16">
        <v>0</v>
      </c>
      <c r="L1747" s="16">
        <v>0</v>
      </c>
      <c r="M1747" s="16">
        <v>0</v>
      </c>
    </row>
    <row r="1748" spans="1:13" x14ac:dyDescent="0.25">
      <c r="A1748" s="2">
        <f t="shared" si="55"/>
        <v>1743</v>
      </c>
      <c r="B1748" s="2">
        <v>106095</v>
      </c>
      <c r="C1748" s="2" t="s">
        <v>4254</v>
      </c>
      <c r="D1748" s="14" t="s">
        <v>1737</v>
      </c>
      <c r="E1748" s="14">
        <v>3.1619999999999999E-4</v>
      </c>
      <c r="F1748" s="14">
        <v>0</v>
      </c>
      <c r="G1748" s="14">
        <v>3.1619999999999999E-4</v>
      </c>
      <c r="H1748" s="16">
        <v>0.56997149999999996</v>
      </c>
      <c r="I1748" s="16">
        <v>0.56997149999999996</v>
      </c>
      <c r="J1748" s="3" t="s">
        <v>5011</v>
      </c>
      <c r="K1748" s="16">
        <v>1.0612615223999999</v>
      </c>
      <c r="L1748" s="16">
        <v>0.59509860000000003</v>
      </c>
      <c r="M1748" s="16">
        <f t="shared" si="54"/>
        <v>1.0440848358207386</v>
      </c>
    </row>
    <row r="1749" spans="1:13" x14ac:dyDescent="0.25">
      <c r="A1749" s="2">
        <f t="shared" si="55"/>
        <v>1744</v>
      </c>
      <c r="B1749" s="2">
        <v>106101</v>
      </c>
      <c r="C1749" s="2" t="s">
        <v>4255</v>
      </c>
      <c r="D1749" s="14" t="s">
        <v>1738</v>
      </c>
      <c r="E1749" s="14">
        <v>0</v>
      </c>
      <c r="F1749" s="14">
        <v>0</v>
      </c>
      <c r="G1749" s="14">
        <v>0</v>
      </c>
      <c r="H1749" s="16">
        <v>0</v>
      </c>
      <c r="I1749" s="16">
        <v>0</v>
      </c>
      <c r="J1749" s="3" t="s">
        <v>5011</v>
      </c>
      <c r="K1749" s="16">
        <v>0</v>
      </c>
      <c r="L1749" s="16">
        <v>0</v>
      </c>
      <c r="M1749" s="16">
        <v>0</v>
      </c>
    </row>
    <row r="1750" spans="1:13" x14ac:dyDescent="0.25">
      <c r="A1750" s="2">
        <f t="shared" si="55"/>
        <v>1745</v>
      </c>
      <c r="B1750" s="2">
        <v>106188</v>
      </c>
      <c r="C1750" s="2" t="s">
        <v>4256</v>
      </c>
      <c r="D1750" s="14" t="s">
        <v>1739</v>
      </c>
      <c r="E1750" s="14">
        <v>0</v>
      </c>
      <c r="F1750" s="14">
        <v>0</v>
      </c>
      <c r="G1750" s="14">
        <v>0</v>
      </c>
      <c r="H1750" s="16">
        <v>0</v>
      </c>
      <c r="I1750" s="16">
        <v>0</v>
      </c>
      <c r="J1750" s="3" t="s">
        <v>5011</v>
      </c>
      <c r="K1750" s="16">
        <v>0</v>
      </c>
      <c r="L1750" s="16">
        <v>0</v>
      </c>
      <c r="M1750" s="16">
        <v>0</v>
      </c>
    </row>
    <row r="1751" spans="1:13" x14ac:dyDescent="0.25">
      <c r="A1751" s="2">
        <f t="shared" si="55"/>
        <v>1746</v>
      </c>
      <c r="B1751" s="2">
        <v>106223</v>
      </c>
      <c r="C1751" s="2" t="s">
        <v>4257</v>
      </c>
      <c r="D1751" s="14" t="s">
        <v>1740</v>
      </c>
      <c r="E1751" s="14">
        <v>0</v>
      </c>
      <c r="F1751" s="14">
        <v>0</v>
      </c>
      <c r="G1751" s="14">
        <v>0</v>
      </c>
      <c r="H1751" s="16">
        <v>0</v>
      </c>
      <c r="I1751" s="16">
        <v>0</v>
      </c>
      <c r="J1751" s="3" t="s">
        <v>5011</v>
      </c>
      <c r="K1751" s="16">
        <v>0</v>
      </c>
      <c r="L1751" s="16">
        <v>0</v>
      </c>
      <c r="M1751" s="16">
        <v>0</v>
      </c>
    </row>
    <row r="1752" spans="1:13" x14ac:dyDescent="0.25">
      <c r="A1752" s="2">
        <f t="shared" si="55"/>
        <v>1747</v>
      </c>
      <c r="B1752" s="2">
        <v>106278</v>
      </c>
      <c r="C1752" s="2" t="s">
        <v>4258</v>
      </c>
      <c r="D1752" s="14" t="s">
        <v>1741</v>
      </c>
      <c r="E1752" s="14">
        <v>0</v>
      </c>
      <c r="F1752" s="14">
        <v>0</v>
      </c>
      <c r="G1752" s="14">
        <v>0</v>
      </c>
      <c r="H1752" s="16">
        <v>0</v>
      </c>
      <c r="I1752" s="16">
        <v>0</v>
      </c>
      <c r="J1752" s="3" t="s">
        <v>5011</v>
      </c>
      <c r="K1752" s="16">
        <v>0</v>
      </c>
      <c r="L1752" s="16">
        <v>0</v>
      </c>
      <c r="M1752" s="16">
        <v>0</v>
      </c>
    </row>
    <row r="1753" spans="1:13" x14ac:dyDescent="0.25">
      <c r="A1753" s="2">
        <f t="shared" si="55"/>
        <v>1748</v>
      </c>
      <c r="B1753" s="2">
        <v>106508</v>
      </c>
      <c r="C1753" s="2" t="s">
        <v>4259</v>
      </c>
      <c r="D1753" s="14" t="s">
        <v>1742</v>
      </c>
      <c r="E1753" s="14">
        <v>52.996297500000011</v>
      </c>
      <c r="F1753" s="14">
        <v>0</v>
      </c>
      <c r="G1753" s="14">
        <v>52.996297500000011</v>
      </c>
      <c r="H1753" s="16">
        <v>3313.6770788999997</v>
      </c>
      <c r="I1753" s="16">
        <v>613.20439019999981</v>
      </c>
      <c r="J1753" s="3" t="s">
        <v>5011</v>
      </c>
      <c r="K1753" s="16">
        <v>41621.668239092091</v>
      </c>
      <c r="L1753" s="16">
        <v>4579.8953339</v>
      </c>
      <c r="M1753" s="16">
        <f t="shared" si="54"/>
        <v>1.3821187837109135</v>
      </c>
    </row>
    <row r="1754" spans="1:13" x14ac:dyDescent="0.25">
      <c r="A1754" s="2">
        <f t="shared" si="55"/>
        <v>1749</v>
      </c>
      <c r="B1754" s="2">
        <v>106562</v>
      </c>
      <c r="C1754" s="2" t="s">
        <v>4260</v>
      </c>
      <c r="D1754" s="14" t="s">
        <v>1743</v>
      </c>
      <c r="E1754" s="14">
        <v>0</v>
      </c>
      <c r="F1754" s="14">
        <v>0</v>
      </c>
      <c r="G1754" s="14">
        <v>0</v>
      </c>
      <c r="H1754" s="16">
        <v>0</v>
      </c>
      <c r="I1754" s="16">
        <v>0</v>
      </c>
      <c r="J1754" s="3" t="s">
        <v>5011</v>
      </c>
      <c r="K1754" s="16">
        <v>0</v>
      </c>
      <c r="L1754" s="16">
        <v>0</v>
      </c>
      <c r="M1754" s="16">
        <v>0</v>
      </c>
    </row>
    <row r="1755" spans="1:13" x14ac:dyDescent="0.25">
      <c r="A1755" s="2">
        <f t="shared" si="55"/>
        <v>1750</v>
      </c>
      <c r="B1755" s="2">
        <v>106676</v>
      </c>
      <c r="C1755" s="2" t="s">
        <v>4261</v>
      </c>
      <c r="D1755" s="14" t="s">
        <v>1744</v>
      </c>
      <c r="E1755" s="14">
        <v>0</v>
      </c>
      <c r="F1755" s="14">
        <v>0</v>
      </c>
      <c r="G1755" s="14">
        <v>0</v>
      </c>
      <c r="H1755" s="16">
        <v>0</v>
      </c>
      <c r="I1755" s="16">
        <v>0</v>
      </c>
      <c r="J1755" s="3" t="s">
        <v>5011</v>
      </c>
      <c r="K1755" s="16">
        <v>0</v>
      </c>
      <c r="L1755" s="16">
        <v>0</v>
      </c>
      <c r="M1755" s="16">
        <v>0</v>
      </c>
    </row>
    <row r="1756" spans="1:13" x14ac:dyDescent="0.25">
      <c r="A1756" s="2">
        <f t="shared" si="55"/>
        <v>1751</v>
      </c>
      <c r="B1756" s="2">
        <v>106719</v>
      </c>
      <c r="C1756" s="2" t="s">
        <v>4262</v>
      </c>
      <c r="D1756" s="14" t="s">
        <v>1745</v>
      </c>
      <c r="E1756" s="14">
        <v>0.19682580000000002</v>
      </c>
      <c r="F1756" s="14">
        <v>0</v>
      </c>
      <c r="G1756" s="14">
        <v>0.19682580000000002</v>
      </c>
      <c r="H1756" s="16">
        <v>67.456132800000006</v>
      </c>
      <c r="I1756" s="16">
        <v>66.025928500000006</v>
      </c>
      <c r="J1756" s="3" t="s">
        <v>5011</v>
      </c>
      <c r="K1756" s="16">
        <v>310.65410380679998</v>
      </c>
      <c r="L1756" s="16">
        <v>77.958205000000007</v>
      </c>
      <c r="M1756" s="16">
        <f t="shared" si="54"/>
        <v>1.1556874336561433</v>
      </c>
    </row>
    <row r="1757" spans="1:13" x14ac:dyDescent="0.25">
      <c r="A1757" s="2">
        <f t="shared" si="55"/>
        <v>1752</v>
      </c>
      <c r="B1757" s="2">
        <v>106720</v>
      </c>
      <c r="C1757" s="2" t="s">
        <v>4263</v>
      </c>
      <c r="D1757" s="14" t="s">
        <v>1746</v>
      </c>
      <c r="E1757" s="14">
        <v>0</v>
      </c>
      <c r="F1757" s="14">
        <v>0</v>
      </c>
      <c r="G1757" s="14">
        <v>0</v>
      </c>
      <c r="H1757" s="16">
        <v>0</v>
      </c>
      <c r="I1757" s="16">
        <v>0</v>
      </c>
      <c r="J1757" s="3" t="s">
        <v>5011</v>
      </c>
      <c r="K1757" s="16">
        <v>0</v>
      </c>
      <c r="L1757" s="16">
        <v>0</v>
      </c>
      <c r="M1757" s="16">
        <v>0</v>
      </c>
    </row>
    <row r="1758" spans="1:13" x14ac:dyDescent="0.25">
      <c r="A1758" s="2">
        <f t="shared" si="55"/>
        <v>1753</v>
      </c>
      <c r="B1758" s="2">
        <v>106777</v>
      </c>
      <c r="C1758" s="2" t="s">
        <v>4264</v>
      </c>
      <c r="D1758" s="14" t="s">
        <v>1747</v>
      </c>
      <c r="E1758" s="14">
        <v>1.6682797</v>
      </c>
      <c r="F1758" s="14">
        <v>0</v>
      </c>
      <c r="G1758" s="14">
        <v>1.6682797</v>
      </c>
      <c r="H1758" s="16">
        <v>98.474153000000001</v>
      </c>
      <c r="I1758" s="16">
        <v>62.232049700000005</v>
      </c>
      <c r="J1758" s="3" t="s">
        <v>5011</v>
      </c>
      <c r="K1758" s="16">
        <v>1606.1172380738003</v>
      </c>
      <c r="L1758" s="16">
        <v>210.0103575</v>
      </c>
      <c r="M1758" s="16">
        <f t="shared" si="54"/>
        <v>2.1326444666145035</v>
      </c>
    </row>
    <row r="1759" spans="1:13" x14ac:dyDescent="0.25">
      <c r="A1759" s="2">
        <f t="shared" si="55"/>
        <v>1754</v>
      </c>
      <c r="B1759" s="2">
        <v>106780</v>
      </c>
      <c r="C1759" s="2" t="s">
        <v>4265</v>
      </c>
      <c r="D1759" s="14" t="s">
        <v>1748</v>
      </c>
      <c r="E1759" s="14">
        <v>0.68822450000000002</v>
      </c>
      <c r="F1759" s="14">
        <v>0</v>
      </c>
      <c r="G1759" s="14">
        <v>0.68822450000000002</v>
      </c>
      <c r="H1759" s="16">
        <v>357.63712090000001</v>
      </c>
      <c r="I1759" s="16">
        <v>351.93815530000001</v>
      </c>
      <c r="J1759" s="3" t="s">
        <v>5011</v>
      </c>
      <c r="K1759" s="16">
        <v>1031.5814210474</v>
      </c>
      <c r="L1759" s="16">
        <v>390.96361880000001</v>
      </c>
      <c r="M1759" s="16">
        <f t="shared" si="54"/>
        <v>1.0931852314886477</v>
      </c>
    </row>
    <row r="1760" spans="1:13" x14ac:dyDescent="0.25">
      <c r="A1760" s="2">
        <f t="shared" si="55"/>
        <v>1755</v>
      </c>
      <c r="B1760" s="2">
        <v>106846</v>
      </c>
      <c r="C1760" s="2" t="s">
        <v>4266</v>
      </c>
      <c r="D1760" s="14" t="s">
        <v>1749</v>
      </c>
      <c r="E1760" s="14">
        <v>10.2743246</v>
      </c>
      <c r="F1760" s="14">
        <v>0</v>
      </c>
      <c r="G1760" s="14">
        <v>10.2743246</v>
      </c>
      <c r="H1760" s="16">
        <v>2679.8398631</v>
      </c>
      <c r="I1760" s="16">
        <v>2255.1235600999998</v>
      </c>
      <c r="J1760" s="3" t="s">
        <v>5011</v>
      </c>
      <c r="K1760" s="16">
        <v>12190.7815012055</v>
      </c>
      <c r="L1760" s="16">
        <v>2911.9738680999999</v>
      </c>
      <c r="M1760" s="16">
        <f t="shared" si="54"/>
        <v>1.0866223419527279</v>
      </c>
    </row>
    <row r="1761" spans="1:13" x14ac:dyDescent="0.25">
      <c r="A1761" s="2">
        <f t="shared" si="55"/>
        <v>1756</v>
      </c>
      <c r="B1761" s="2">
        <v>106877</v>
      </c>
      <c r="C1761" s="2" t="s">
        <v>4267</v>
      </c>
      <c r="D1761" s="14" t="s">
        <v>1750</v>
      </c>
      <c r="E1761" s="14">
        <v>0</v>
      </c>
      <c r="F1761" s="14">
        <v>0</v>
      </c>
      <c r="G1761" s="14">
        <v>0</v>
      </c>
      <c r="H1761" s="16">
        <v>0</v>
      </c>
      <c r="I1761" s="16">
        <v>0</v>
      </c>
      <c r="J1761" s="3" t="s">
        <v>5011</v>
      </c>
      <c r="K1761" s="16">
        <v>0</v>
      </c>
      <c r="L1761" s="16">
        <v>0</v>
      </c>
      <c r="M1761" s="16">
        <v>0</v>
      </c>
    </row>
    <row r="1762" spans="1:13" x14ac:dyDescent="0.25">
      <c r="A1762" s="2">
        <f t="shared" si="55"/>
        <v>1757</v>
      </c>
      <c r="B1762" s="2">
        <v>106881</v>
      </c>
      <c r="C1762" s="2" t="s">
        <v>4268</v>
      </c>
      <c r="D1762" s="14" t="s">
        <v>1751</v>
      </c>
      <c r="E1762" s="14">
        <v>3.13528E-2</v>
      </c>
      <c r="F1762" s="14">
        <v>0</v>
      </c>
      <c r="G1762" s="14">
        <v>3.13528E-2</v>
      </c>
      <c r="H1762" s="16">
        <v>64.062248199999999</v>
      </c>
      <c r="I1762" s="16">
        <v>62.9116225</v>
      </c>
      <c r="J1762" s="3" t="s">
        <v>5011</v>
      </c>
      <c r="K1762" s="16">
        <v>135.73663605669995</v>
      </c>
      <c r="L1762" s="16">
        <v>64.851986799999992</v>
      </c>
      <c r="M1762" s="16">
        <f t="shared" si="54"/>
        <v>1.0123276753812083</v>
      </c>
    </row>
    <row r="1763" spans="1:13" x14ac:dyDescent="0.25">
      <c r="A1763" s="2">
        <f t="shared" si="55"/>
        <v>1758</v>
      </c>
      <c r="B1763" s="2">
        <v>106923</v>
      </c>
      <c r="C1763" s="2" t="s">
        <v>4269</v>
      </c>
      <c r="D1763" s="14" t="s">
        <v>1752</v>
      </c>
      <c r="E1763" s="14">
        <v>89.591127700000015</v>
      </c>
      <c r="F1763" s="14">
        <v>0</v>
      </c>
      <c r="G1763" s="14">
        <v>89.591127700000015</v>
      </c>
      <c r="H1763" s="16">
        <v>4112.4609275000003</v>
      </c>
      <c r="I1763" s="16">
        <v>2710.5467161000001</v>
      </c>
      <c r="J1763" s="3" t="s">
        <v>5011</v>
      </c>
      <c r="K1763" s="16">
        <v>67642.658559326112</v>
      </c>
      <c r="L1763" s="16">
        <v>8222.7826702000002</v>
      </c>
      <c r="M1763" s="16">
        <f t="shared" si="54"/>
        <v>1.9994798285411794</v>
      </c>
    </row>
    <row r="1764" spans="1:13" x14ac:dyDescent="0.25">
      <c r="A1764" s="2">
        <f t="shared" si="55"/>
        <v>1759</v>
      </c>
      <c r="B1764" s="2">
        <v>106947</v>
      </c>
      <c r="C1764" s="2" t="s">
        <v>4270</v>
      </c>
      <c r="D1764" s="14" t="s">
        <v>1753</v>
      </c>
      <c r="E1764" s="14">
        <v>0</v>
      </c>
      <c r="F1764" s="14">
        <v>0</v>
      </c>
      <c r="G1764" s="14">
        <v>0</v>
      </c>
      <c r="H1764" s="16">
        <v>0</v>
      </c>
      <c r="I1764" s="16">
        <v>0</v>
      </c>
      <c r="J1764" s="3" t="s">
        <v>5011</v>
      </c>
      <c r="K1764" s="16">
        <v>0</v>
      </c>
      <c r="L1764" s="16">
        <v>0</v>
      </c>
      <c r="M1764" s="16">
        <v>0</v>
      </c>
    </row>
    <row r="1765" spans="1:13" x14ac:dyDescent="0.25">
      <c r="A1765" s="2">
        <f t="shared" si="55"/>
        <v>1760</v>
      </c>
      <c r="B1765" s="2">
        <v>107096</v>
      </c>
      <c r="C1765" s="2" t="s">
        <v>4271</v>
      </c>
      <c r="D1765" s="14" t="s">
        <v>1754</v>
      </c>
      <c r="E1765" s="14">
        <v>0.33558059999999995</v>
      </c>
      <c r="F1765" s="14">
        <v>0</v>
      </c>
      <c r="G1765" s="14">
        <v>0.33558059999999995</v>
      </c>
      <c r="H1765" s="16">
        <v>63.2637316</v>
      </c>
      <c r="I1765" s="16">
        <v>50.472183100000002</v>
      </c>
      <c r="J1765" s="3" t="s">
        <v>5011</v>
      </c>
      <c r="K1765" s="16">
        <v>407.26160316979997</v>
      </c>
      <c r="L1765" s="16">
        <v>68.889808299999999</v>
      </c>
      <c r="M1765" s="16">
        <f t="shared" si="54"/>
        <v>1.088930522397449</v>
      </c>
    </row>
    <row r="1766" spans="1:13" x14ac:dyDescent="0.25">
      <c r="A1766" s="2">
        <f t="shared" si="55"/>
        <v>1761</v>
      </c>
      <c r="B1766" s="2">
        <v>107175</v>
      </c>
      <c r="C1766" s="2" t="s">
        <v>4272</v>
      </c>
      <c r="D1766" s="14" t="s">
        <v>1755</v>
      </c>
      <c r="E1766" s="14">
        <v>0</v>
      </c>
      <c r="F1766" s="14">
        <v>0</v>
      </c>
      <c r="G1766" s="14">
        <v>0</v>
      </c>
      <c r="H1766" s="16">
        <v>0</v>
      </c>
      <c r="I1766" s="16">
        <v>0</v>
      </c>
      <c r="J1766" s="3" t="s">
        <v>5011</v>
      </c>
      <c r="K1766" s="16">
        <v>0</v>
      </c>
      <c r="L1766" s="16">
        <v>0</v>
      </c>
      <c r="M1766" s="16">
        <v>0</v>
      </c>
    </row>
    <row r="1767" spans="1:13" x14ac:dyDescent="0.25">
      <c r="A1767" s="2">
        <f t="shared" si="55"/>
        <v>1762</v>
      </c>
      <c r="B1767" s="2">
        <v>107188</v>
      </c>
      <c r="C1767" s="2" t="s">
        <v>4273</v>
      </c>
      <c r="D1767" s="14" t="s">
        <v>1756</v>
      </c>
      <c r="E1767" s="14">
        <v>1.10575E-2</v>
      </c>
      <c r="F1767" s="14">
        <v>0</v>
      </c>
      <c r="G1767" s="14">
        <v>1.10575E-2</v>
      </c>
      <c r="H1767" s="16">
        <v>14.824258799999999</v>
      </c>
      <c r="I1767" s="16">
        <v>14.7747671</v>
      </c>
      <c r="J1767" s="3" t="s">
        <v>5011</v>
      </c>
      <c r="K1767" s="16">
        <v>45.484093999600006</v>
      </c>
      <c r="L1767" s="16">
        <v>16.645354699999999</v>
      </c>
      <c r="M1767" s="16">
        <f t="shared" si="54"/>
        <v>1.1228456629480861</v>
      </c>
    </row>
    <row r="1768" spans="1:13" x14ac:dyDescent="0.25">
      <c r="A1768" s="2">
        <f t="shared" si="55"/>
        <v>1763</v>
      </c>
      <c r="B1768" s="2">
        <v>107264</v>
      </c>
      <c r="C1768" s="2" t="s">
        <v>4274</v>
      </c>
      <c r="D1768" s="14" t="s">
        <v>1757</v>
      </c>
      <c r="E1768" s="14">
        <v>1.3098544999999999</v>
      </c>
      <c r="F1768" s="14">
        <v>0</v>
      </c>
      <c r="G1768" s="14">
        <v>1.3098544999999999</v>
      </c>
      <c r="H1768" s="16">
        <v>444.03746520000004</v>
      </c>
      <c r="I1768" s="16">
        <v>352.09546930000005</v>
      </c>
      <c r="J1768" s="3" t="s">
        <v>5011</v>
      </c>
      <c r="K1768" s="16">
        <v>1901.6160116491001</v>
      </c>
      <c r="L1768" s="16">
        <v>427.32964070000003</v>
      </c>
      <c r="M1768" s="16">
        <f t="shared" si="54"/>
        <v>0.9623729396516697</v>
      </c>
    </row>
    <row r="1769" spans="1:13" x14ac:dyDescent="0.25">
      <c r="A1769" s="2">
        <f t="shared" si="55"/>
        <v>1764</v>
      </c>
      <c r="B1769" s="2">
        <v>107329</v>
      </c>
      <c r="C1769" s="2" t="s">
        <v>4275</v>
      </c>
      <c r="D1769" s="14" t="s">
        <v>1758</v>
      </c>
      <c r="E1769" s="14">
        <v>8.1167699999999982E-2</v>
      </c>
      <c r="F1769" s="14">
        <v>0</v>
      </c>
      <c r="G1769" s="14">
        <v>8.1167699999999982E-2</v>
      </c>
      <c r="H1769" s="16">
        <v>10.499475</v>
      </c>
      <c r="I1769" s="16">
        <v>9.6035173999999994</v>
      </c>
      <c r="J1769" s="3" t="s">
        <v>5011</v>
      </c>
      <c r="K1769" s="16">
        <v>93.863999347699988</v>
      </c>
      <c r="L1769" s="16">
        <v>17.661446999999999</v>
      </c>
      <c r="M1769" s="16">
        <f t="shared" si="54"/>
        <v>1.6821266777624595</v>
      </c>
    </row>
    <row r="1770" spans="1:13" x14ac:dyDescent="0.25">
      <c r="A1770" s="2">
        <f t="shared" si="55"/>
        <v>1765</v>
      </c>
      <c r="B1770" s="2">
        <v>107330</v>
      </c>
      <c r="C1770" s="2" t="s">
        <v>4276</v>
      </c>
      <c r="D1770" s="14" t="s">
        <v>1759</v>
      </c>
      <c r="E1770" s="14">
        <v>19.375619399999998</v>
      </c>
      <c r="F1770" s="14">
        <v>0</v>
      </c>
      <c r="G1770" s="14">
        <v>19.375619399999998</v>
      </c>
      <c r="H1770" s="16">
        <v>435.44425640000003</v>
      </c>
      <c r="I1770" s="16">
        <v>222.37740330000003</v>
      </c>
      <c r="J1770" s="3" t="s">
        <v>5011</v>
      </c>
      <c r="K1770" s="16">
        <v>13565.932774495599</v>
      </c>
      <c r="L1770" s="16">
        <v>1536.6258828</v>
      </c>
      <c r="M1770" s="16">
        <f t="shared" si="54"/>
        <v>3.5288693333652614</v>
      </c>
    </row>
    <row r="1771" spans="1:13" x14ac:dyDescent="0.25">
      <c r="A1771" s="2">
        <f t="shared" si="55"/>
        <v>1766</v>
      </c>
      <c r="B1771" s="2">
        <v>107332</v>
      </c>
      <c r="C1771" s="2" t="s">
        <v>4277</v>
      </c>
      <c r="D1771" s="14" t="s">
        <v>1760</v>
      </c>
      <c r="E1771" s="14">
        <v>6.1508284999999994</v>
      </c>
      <c r="F1771" s="14">
        <v>0</v>
      </c>
      <c r="G1771" s="14">
        <v>6.1508284999999994</v>
      </c>
      <c r="H1771" s="16">
        <v>383.75185850000003</v>
      </c>
      <c r="I1771" s="16">
        <v>255.77397490000001</v>
      </c>
      <c r="J1771" s="3" t="s">
        <v>5011</v>
      </c>
      <c r="K1771" s="16">
        <v>6750.6624263022995</v>
      </c>
      <c r="L1771" s="16">
        <v>829.30658470000003</v>
      </c>
      <c r="M1771" s="16">
        <f t="shared" si="54"/>
        <v>2.1610490381507819</v>
      </c>
    </row>
    <row r="1772" spans="1:13" x14ac:dyDescent="0.25">
      <c r="A1772" s="2">
        <f t="shared" si="55"/>
        <v>1767</v>
      </c>
      <c r="B1772" s="2">
        <v>107515</v>
      </c>
      <c r="C1772" s="2" t="s">
        <v>4278</v>
      </c>
      <c r="D1772" s="14" t="s">
        <v>1761</v>
      </c>
      <c r="E1772" s="14">
        <v>0.7893100999999999</v>
      </c>
      <c r="F1772" s="14">
        <v>0</v>
      </c>
      <c r="G1772" s="14">
        <v>0.7893100999999999</v>
      </c>
      <c r="H1772" s="16">
        <v>47.447515000000003</v>
      </c>
      <c r="I1772" s="16">
        <v>37.294227300000003</v>
      </c>
      <c r="J1772" s="3" t="s">
        <v>5011</v>
      </c>
      <c r="K1772" s="16">
        <v>786.51769078059988</v>
      </c>
      <c r="L1772" s="16">
        <v>102.54197130000001</v>
      </c>
      <c r="M1772" s="16">
        <f t="shared" si="54"/>
        <v>2.1611663181939034</v>
      </c>
    </row>
    <row r="1773" spans="1:13" x14ac:dyDescent="0.25">
      <c r="A1773" s="2">
        <f t="shared" si="55"/>
        <v>1768</v>
      </c>
      <c r="B1773" s="2">
        <v>107551</v>
      </c>
      <c r="C1773" s="2" t="s">
        <v>4279</v>
      </c>
      <c r="D1773" s="14" t="s">
        <v>1762</v>
      </c>
      <c r="E1773" s="14">
        <v>3.1445035000000003</v>
      </c>
      <c r="F1773" s="14">
        <v>0</v>
      </c>
      <c r="G1773" s="14">
        <v>3.1445035000000003</v>
      </c>
      <c r="H1773" s="16">
        <v>329.35270170000001</v>
      </c>
      <c r="I1773" s="16">
        <v>254.5225662</v>
      </c>
      <c r="J1773" s="3" t="s">
        <v>5011</v>
      </c>
      <c r="K1773" s="16">
        <v>2852.5106909806009</v>
      </c>
      <c r="L1773" s="16">
        <v>446.54838599999999</v>
      </c>
      <c r="M1773" s="16">
        <f t="shared" si="54"/>
        <v>1.3558364139570682</v>
      </c>
    </row>
    <row r="1774" spans="1:13" x14ac:dyDescent="0.25">
      <c r="A1774" s="2">
        <f t="shared" si="55"/>
        <v>1769</v>
      </c>
      <c r="B1774" s="2">
        <v>107656</v>
      </c>
      <c r="C1774" s="2" t="s">
        <v>4280</v>
      </c>
      <c r="D1774" s="14" t="s">
        <v>1763</v>
      </c>
      <c r="E1774" s="14">
        <v>6.1743699999999999E-2</v>
      </c>
      <c r="F1774" s="14">
        <v>0</v>
      </c>
      <c r="G1774" s="14">
        <v>6.1743699999999999E-2</v>
      </c>
      <c r="H1774" s="16">
        <v>0.59997</v>
      </c>
      <c r="I1774" s="16">
        <v>0.59997</v>
      </c>
      <c r="J1774" s="3" t="s">
        <v>5011</v>
      </c>
      <c r="K1774" s="16">
        <v>49.983195055300001</v>
      </c>
      <c r="L1774" s="16">
        <v>5.5711222999999999</v>
      </c>
      <c r="M1774" s="16">
        <f t="shared" si="54"/>
        <v>9.2856681167391706</v>
      </c>
    </row>
    <row r="1775" spans="1:13" x14ac:dyDescent="0.25">
      <c r="A1775" s="2">
        <f t="shared" si="55"/>
        <v>1770</v>
      </c>
      <c r="B1775" s="2">
        <v>107741</v>
      </c>
      <c r="C1775" s="2" t="s">
        <v>4281</v>
      </c>
      <c r="D1775" s="14" t="s">
        <v>1764</v>
      </c>
      <c r="E1775" s="14">
        <v>2.5022E-3</v>
      </c>
      <c r="F1775" s="14">
        <v>0</v>
      </c>
      <c r="G1775" s="14">
        <v>2.5022E-3</v>
      </c>
      <c r="H1775" s="16">
        <v>19.2490381</v>
      </c>
      <c r="I1775" s="16">
        <v>18.999035599999999</v>
      </c>
      <c r="J1775" s="3" t="s">
        <v>5011</v>
      </c>
      <c r="K1775" s="16">
        <v>16.841128302100003</v>
      </c>
      <c r="L1775" s="16">
        <v>19.877789499999999</v>
      </c>
      <c r="M1775" s="16">
        <f t="shared" si="54"/>
        <v>1.0326640425736391</v>
      </c>
    </row>
    <row r="1776" spans="1:13" x14ac:dyDescent="0.25">
      <c r="A1776" s="2">
        <f t="shared" si="55"/>
        <v>1771</v>
      </c>
      <c r="B1776" s="2">
        <v>107743</v>
      </c>
      <c r="C1776" s="2" t="s">
        <v>4282</v>
      </c>
      <c r="D1776" s="14" t="s">
        <v>1765</v>
      </c>
      <c r="E1776" s="14">
        <v>5.0117348000000002</v>
      </c>
      <c r="F1776" s="14">
        <v>0</v>
      </c>
      <c r="G1776" s="14">
        <v>5.0117348000000002</v>
      </c>
      <c r="H1776" s="16">
        <v>807.02861930000006</v>
      </c>
      <c r="I1776" s="16">
        <v>610.39073850000011</v>
      </c>
      <c r="J1776" s="3" t="s">
        <v>5011</v>
      </c>
      <c r="K1776" s="16">
        <v>4983.0451167300007</v>
      </c>
      <c r="L1776" s="16">
        <v>806.8149345999999</v>
      </c>
      <c r="M1776" s="16">
        <f t="shared" si="54"/>
        <v>0.99973522041859497</v>
      </c>
    </row>
    <row r="1777" spans="1:13" x14ac:dyDescent="0.25">
      <c r="A1777" s="2">
        <f t="shared" si="55"/>
        <v>1772</v>
      </c>
      <c r="B1777" s="2">
        <v>107778</v>
      </c>
      <c r="C1777" s="2" t="s">
        <v>4283</v>
      </c>
      <c r="D1777" s="14" t="s">
        <v>1766</v>
      </c>
      <c r="E1777" s="14">
        <v>1.9510888</v>
      </c>
      <c r="F1777" s="14">
        <v>0</v>
      </c>
      <c r="G1777" s="14">
        <v>1.9510888</v>
      </c>
      <c r="H1777" s="16">
        <v>279.44721170000003</v>
      </c>
      <c r="I1777" s="16">
        <v>231.08472060000003</v>
      </c>
      <c r="J1777" s="3" t="s">
        <v>5011</v>
      </c>
      <c r="K1777" s="16">
        <v>2173.8173974959</v>
      </c>
      <c r="L1777" s="16">
        <v>406.90164179999999</v>
      </c>
      <c r="M1777" s="16">
        <f t="shared" si="54"/>
        <v>1.4560948356744687</v>
      </c>
    </row>
    <row r="1778" spans="1:13" x14ac:dyDescent="0.25">
      <c r="A1778" s="2">
        <f t="shared" si="55"/>
        <v>1773</v>
      </c>
      <c r="B1778" s="2">
        <v>107780</v>
      </c>
      <c r="C1778" s="2" t="s">
        <v>4284</v>
      </c>
      <c r="D1778" s="14" t="s">
        <v>1767</v>
      </c>
      <c r="E1778" s="14">
        <v>0.99846639999999998</v>
      </c>
      <c r="F1778" s="14">
        <v>0</v>
      </c>
      <c r="G1778" s="14">
        <v>0.99846639999999998</v>
      </c>
      <c r="H1778" s="16">
        <v>120.5907255</v>
      </c>
      <c r="I1778" s="16">
        <v>119.8948122</v>
      </c>
      <c r="J1778" s="3" t="s">
        <v>5011</v>
      </c>
      <c r="K1778" s="16">
        <v>1079.2643028149</v>
      </c>
      <c r="L1778" s="16">
        <v>175.84145329999998</v>
      </c>
      <c r="M1778" s="16">
        <f t="shared" si="54"/>
        <v>1.4581673057435911</v>
      </c>
    </row>
    <row r="1779" spans="1:13" x14ac:dyDescent="0.25">
      <c r="A1779" s="2">
        <f t="shared" si="55"/>
        <v>1774</v>
      </c>
      <c r="B1779" s="2">
        <v>107812</v>
      </c>
      <c r="C1779" s="2" t="s">
        <v>4285</v>
      </c>
      <c r="D1779" s="14" t="s">
        <v>1768</v>
      </c>
      <c r="E1779" s="14">
        <v>1.5966334999999998</v>
      </c>
      <c r="F1779" s="14">
        <v>0</v>
      </c>
      <c r="G1779" s="14">
        <v>1.5966334999999998</v>
      </c>
      <c r="H1779" s="16">
        <v>102.0684127</v>
      </c>
      <c r="I1779" s="16">
        <v>58.833841399999997</v>
      </c>
      <c r="J1779" s="3" t="s">
        <v>5011</v>
      </c>
      <c r="K1779" s="16">
        <v>1652.7407776202001</v>
      </c>
      <c r="L1779" s="16">
        <v>201.32588600000003</v>
      </c>
      <c r="M1779" s="16">
        <f t="shared" si="54"/>
        <v>1.9724602418550203</v>
      </c>
    </row>
    <row r="1780" spans="1:13" x14ac:dyDescent="0.25">
      <c r="A1780" s="2">
        <f t="shared" si="55"/>
        <v>1775</v>
      </c>
      <c r="B1780" s="2">
        <v>107820</v>
      </c>
      <c r="C1780" s="2" t="s">
        <v>4286</v>
      </c>
      <c r="D1780" s="14" t="s">
        <v>1769</v>
      </c>
      <c r="E1780" s="14">
        <v>0</v>
      </c>
      <c r="F1780" s="14">
        <v>0</v>
      </c>
      <c r="G1780" s="14">
        <v>0</v>
      </c>
      <c r="H1780" s="16">
        <v>0</v>
      </c>
      <c r="I1780" s="16">
        <v>0</v>
      </c>
      <c r="J1780" s="3" t="s">
        <v>5011</v>
      </c>
      <c r="K1780" s="16">
        <v>0</v>
      </c>
      <c r="L1780" s="16">
        <v>0</v>
      </c>
      <c r="M1780" s="16">
        <v>0</v>
      </c>
    </row>
    <row r="1781" spans="1:13" x14ac:dyDescent="0.25">
      <c r="A1781" s="2">
        <f t="shared" si="55"/>
        <v>1776</v>
      </c>
      <c r="B1781" s="2">
        <v>107883</v>
      </c>
      <c r="C1781" s="2" t="s">
        <v>4287</v>
      </c>
      <c r="D1781" s="14" t="s">
        <v>1770</v>
      </c>
      <c r="E1781" s="14">
        <v>21.820414900000003</v>
      </c>
      <c r="F1781" s="14">
        <v>0</v>
      </c>
      <c r="G1781" s="14">
        <v>21.820414900000003</v>
      </c>
      <c r="H1781" s="16">
        <v>558.81308969999998</v>
      </c>
      <c r="I1781" s="16">
        <v>118.05430579999998</v>
      </c>
      <c r="J1781" s="3" t="s">
        <v>5011</v>
      </c>
      <c r="K1781" s="16">
        <v>21330.901060873497</v>
      </c>
      <c r="L1781" s="16">
        <v>2218.1313875000001</v>
      </c>
      <c r="M1781" s="16">
        <f t="shared" si="54"/>
        <v>3.969361900042121</v>
      </c>
    </row>
    <row r="1782" spans="1:13" x14ac:dyDescent="0.25">
      <c r="A1782" s="2">
        <f t="shared" si="55"/>
        <v>1777</v>
      </c>
      <c r="B1782" s="2">
        <v>107943</v>
      </c>
      <c r="C1782" s="2" t="s">
        <v>4288</v>
      </c>
      <c r="D1782" s="14" t="s">
        <v>1771</v>
      </c>
      <c r="E1782" s="14">
        <v>5.5634435</v>
      </c>
      <c r="F1782" s="14">
        <v>0</v>
      </c>
      <c r="G1782" s="14">
        <v>5.5634435</v>
      </c>
      <c r="H1782" s="16">
        <v>523.89464520000001</v>
      </c>
      <c r="I1782" s="16">
        <v>261.23279410000004</v>
      </c>
      <c r="J1782" s="3" t="s">
        <v>5011</v>
      </c>
      <c r="K1782" s="16">
        <v>5682.2813956111995</v>
      </c>
      <c r="L1782" s="16">
        <v>709.62853110000003</v>
      </c>
      <c r="M1782" s="16">
        <f t="shared" si="54"/>
        <v>1.354525261141188</v>
      </c>
    </row>
    <row r="1783" spans="1:13" x14ac:dyDescent="0.25">
      <c r="A1783" s="2">
        <f t="shared" si="55"/>
        <v>1778</v>
      </c>
      <c r="B1783" s="2">
        <v>108031</v>
      </c>
      <c r="C1783" s="2" t="s">
        <v>4289</v>
      </c>
      <c r="D1783" s="14" t="s">
        <v>1772</v>
      </c>
      <c r="E1783" s="14">
        <v>1.6351952999999999</v>
      </c>
      <c r="F1783" s="14">
        <v>0</v>
      </c>
      <c r="G1783" s="14">
        <v>1.6351952999999999</v>
      </c>
      <c r="H1783" s="16">
        <v>243.35983100000001</v>
      </c>
      <c r="I1783" s="16">
        <v>226.89128360000004</v>
      </c>
      <c r="J1783" s="3" t="s">
        <v>5011</v>
      </c>
      <c r="K1783" s="16">
        <v>1640.3075980524998</v>
      </c>
      <c r="L1783" s="16">
        <v>305.60129269999999</v>
      </c>
      <c r="M1783" s="16">
        <f t="shared" si="54"/>
        <v>1.2557589781528078</v>
      </c>
    </row>
    <row r="1784" spans="1:13" x14ac:dyDescent="0.25">
      <c r="A1784" s="2">
        <f t="shared" si="55"/>
        <v>1779</v>
      </c>
      <c r="B1784" s="2">
        <v>108254</v>
      </c>
      <c r="C1784" s="2" t="s">
        <v>4290</v>
      </c>
      <c r="D1784" s="14" t="s">
        <v>1773</v>
      </c>
      <c r="E1784" s="14">
        <v>10.6912754</v>
      </c>
      <c r="F1784" s="14">
        <v>0</v>
      </c>
      <c r="G1784" s="14">
        <v>10.6912754</v>
      </c>
      <c r="H1784" s="16">
        <v>393.3230954</v>
      </c>
      <c r="I1784" s="16">
        <v>142.56247109999998</v>
      </c>
      <c r="J1784" s="3" t="s">
        <v>5011</v>
      </c>
      <c r="K1784" s="16">
        <v>10008.951403028301</v>
      </c>
      <c r="L1784" s="16">
        <v>1090.7137004000001</v>
      </c>
      <c r="M1784" s="16">
        <f t="shared" si="54"/>
        <v>2.7730731125533601</v>
      </c>
    </row>
    <row r="1785" spans="1:13" x14ac:dyDescent="0.25">
      <c r="A1785" s="2">
        <f t="shared" si="55"/>
        <v>1780</v>
      </c>
      <c r="B1785" s="2">
        <v>108320</v>
      </c>
      <c r="C1785" s="2" t="s">
        <v>4291</v>
      </c>
      <c r="D1785" s="14" t="s">
        <v>1774</v>
      </c>
      <c r="E1785" s="14">
        <v>0.17231389999999999</v>
      </c>
      <c r="F1785" s="14">
        <v>0</v>
      </c>
      <c r="G1785" s="14">
        <v>0.17231389999999999</v>
      </c>
      <c r="H1785" s="16">
        <v>41.667916499999997</v>
      </c>
      <c r="I1785" s="16">
        <v>40.8679165</v>
      </c>
      <c r="J1785" s="3" t="s">
        <v>5011</v>
      </c>
      <c r="K1785" s="16">
        <v>296.15269260549996</v>
      </c>
      <c r="L1785" s="16">
        <v>51.322180000000003</v>
      </c>
      <c r="M1785" s="16">
        <f t="shared" si="54"/>
        <v>1.2316953740655596</v>
      </c>
    </row>
    <row r="1786" spans="1:13" x14ac:dyDescent="0.25">
      <c r="A1786" s="2">
        <f t="shared" si="55"/>
        <v>1781</v>
      </c>
      <c r="B1786" s="2">
        <v>108494</v>
      </c>
      <c r="C1786" s="2" t="s">
        <v>4292</v>
      </c>
      <c r="D1786" s="14" t="s">
        <v>1775</v>
      </c>
      <c r="E1786" s="14">
        <v>1.1426810000000003</v>
      </c>
      <c r="F1786" s="14">
        <v>0</v>
      </c>
      <c r="G1786" s="14">
        <v>1.1426810000000003</v>
      </c>
      <c r="H1786" s="16">
        <v>35.185242200000005</v>
      </c>
      <c r="I1786" s="16">
        <v>16.037181200000003</v>
      </c>
      <c r="J1786" s="3" t="s">
        <v>5011</v>
      </c>
      <c r="K1786" s="16">
        <v>1212.9363149287999</v>
      </c>
      <c r="L1786" s="16">
        <v>134.0138561</v>
      </c>
      <c r="M1786" s="16">
        <f t="shared" si="54"/>
        <v>3.8088086857051668</v>
      </c>
    </row>
    <row r="1787" spans="1:13" x14ac:dyDescent="0.25">
      <c r="A1787" s="2">
        <f t="shared" si="55"/>
        <v>1782</v>
      </c>
      <c r="B1787" s="2">
        <v>108523</v>
      </c>
      <c r="C1787" s="2" t="s">
        <v>4293</v>
      </c>
      <c r="D1787" s="14" t="s">
        <v>1776</v>
      </c>
      <c r="E1787" s="14">
        <v>0.27188369999999995</v>
      </c>
      <c r="F1787" s="14">
        <v>0</v>
      </c>
      <c r="G1787" s="14">
        <v>0.27188369999999995</v>
      </c>
      <c r="H1787" s="16">
        <v>9.3153906000000006</v>
      </c>
      <c r="I1787" s="16">
        <v>9.3153906000000006</v>
      </c>
      <c r="J1787" s="3" t="s">
        <v>5011</v>
      </c>
      <c r="K1787" s="16">
        <v>299.11278265329997</v>
      </c>
      <c r="L1787" s="16">
        <v>33.4511702</v>
      </c>
      <c r="M1787" s="16">
        <f t="shared" si="54"/>
        <v>3.5909573346285661</v>
      </c>
    </row>
    <row r="1788" spans="1:13" x14ac:dyDescent="0.25">
      <c r="A1788" s="2">
        <f t="shared" si="55"/>
        <v>1783</v>
      </c>
      <c r="B1788" s="2">
        <v>108616</v>
      </c>
      <c r="C1788" s="2" t="s">
        <v>4294</v>
      </c>
      <c r="D1788" s="14" t="s">
        <v>1777</v>
      </c>
      <c r="E1788" s="14">
        <v>0</v>
      </c>
      <c r="F1788" s="14">
        <v>0</v>
      </c>
      <c r="G1788" s="14">
        <v>0</v>
      </c>
      <c r="H1788" s="16">
        <v>0</v>
      </c>
      <c r="I1788" s="16">
        <v>0</v>
      </c>
      <c r="J1788" s="3" t="s">
        <v>5011</v>
      </c>
      <c r="K1788" s="16">
        <v>0</v>
      </c>
      <c r="L1788" s="16">
        <v>0</v>
      </c>
      <c r="M1788" s="16">
        <v>0</v>
      </c>
    </row>
    <row r="1789" spans="1:13" x14ac:dyDescent="0.25">
      <c r="A1789" s="2">
        <f t="shared" si="55"/>
        <v>1784</v>
      </c>
      <c r="B1789" s="2">
        <v>108618</v>
      </c>
      <c r="C1789" s="2" t="s">
        <v>4295</v>
      </c>
      <c r="D1789" s="14" t="s">
        <v>1778</v>
      </c>
      <c r="E1789" s="14">
        <v>2.8903677999999995</v>
      </c>
      <c r="F1789" s="14">
        <v>0</v>
      </c>
      <c r="G1789" s="14">
        <v>2.8903677999999995</v>
      </c>
      <c r="H1789" s="16">
        <v>434.84462539999998</v>
      </c>
      <c r="I1789" s="16">
        <v>229.4932647</v>
      </c>
      <c r="J1789" s="3" t="s">
        <v>5011</v>
      </c>
      <c r="K1789" s="16">
        <v>4249.9502065124998</v>
      </c>
      <c r="L1789" s="16">
        <v>461.74645649999997</v>
      </c>
      <c r="M1789" s="16">
        <f t="shared" si="54"/>
        <v>1.0618653871489243</v>
      </c>
    </row>
    <row r="1790" spans="1:13" x14ac:dyDescent="0.25">
      <c r="A1790" s="2">
        <f t="shared" si="55"/>
        <v>1785</v>
      </c>
      <c r="B1790" s="2">
        <v>108734</v>
      </c>
      <c r="C1790" s="2" t="s">
        <v>4296</v>
      </c>
      <c r="D1790" s="14" t="s">
        <v>1779</v>
      </c>
      <c r="E1790" s="14">
        <v>0</v>
      </c>
      <c r="F1790" s="14">
        <v>0</v>
      </c>
      <c r="G1790" s="14">
        <v>0</v>
      </c>
      <c r="H1790" s="16">
        <v>0</v>
      </c>
      <c r="I1790" s="16">
        <v>0</v>
      </c>
      <c r="J1790" s="3" t="s">
        <v>5011</v>
      </c>
      <c r="K1790" s="16">
        <v>0</v>
      </c>
      <c r="L1790" s="16">
        <v>0</v>
      </c>
      <c r="M1790" s="16">
        <v>0</v>
      </c>
    </row>
    <row r="1791" spans="1:13" x14ac:dyDescent="0.25">
      <c r="A1791" s="2">
        <f t="shared" si="55"/>
        <v>1786</v>
      </c>
      <c r="B1791" s="2">
        <v>108913</v>
      </c>
      <c r="C1791" s="2" t="s">
        <v>4297</v>
      </c>
      <c r="D1791" s="14" t="s">
        <v>1780</v>
      </c>
      <c r="E1791" s="14">
        <v>13.215773199999997</v>
      </c>
      <c r="F1791" s="14">
        <v>0</v>
      </c>
      <c r="G1791" s="14">
        <v>13.215773199999997</v>
      </c>
      <c r="H1791" s="16">
        <v>436.77044990000002</v>
      </c>
      <c r="I1791" s="16">
        <v>311.35830040000002</v>
      </c>
      <c r="J1791" s="3" t="s">
        <v>5011</v>
      </c>
      <c r="K1791" s="16">
        <v>7899.6543970693028</v>
      </c>
      <c r="L1791" s="16">
        <v>1046.0806203</v>
      </c>
      <c r="M1791" s="16">
        <f t="shared" si="54"/>
        <v>2.3950352422868888</v>
      </c>
    </row>
    <row r="1792" spans="1:13" x14ac:dyDescent="0.25">
      <c r="A1792" s="2">
        <f t="shared" si="55"/>
        <v>1787</v>
      </c>
      <c r="B1792" s="2">
        <v>109017</v>
      </c>
      <c r="C1792" s="2" t="s">
        <v>4298</v>
      </c>
      <c r="D1792" s="14" t="s">
        <v>1781</v>
      </c>
      <c r="E1792" s="14">
        <v>0</v>
      </c>
      <c r="F1792" s="14">
        <v>0</v>
      </c>
      <c r="G1792" s="14">
        <v>0</v>
      </c>
      <c r="H1792" s="16">
        <v>0.499975</v>
      </c>
      <c r="I1792" s="16">
        <v>0.499975</v>
      </c>
      <c r="J1792" s="3" t="s">
        <v>5011</v>
      </c>
      <c r="K1792" s="16">
        <v>0.22731843870000001</v>
      </c>
      <c r="L1792" s="16">
        <v>0.51099939999999999</v>
      </c>
      <c r="M1792" s="16">
        <f t="shared" si="54"/>
        <v>1.0220499024951248</v>
      </c>
    </row>
    <row r="1793" spans="1:13" x14ac:dyDescent="0.25">
      <c r="A1793" s="2">
        <f t="shared" si="55"/>
        <v>1788</v>
      </c>
      <c r="B1793" s="2">
        <v>109126</v>
      </c>
      <c r="C1793" s="2" t="s">
        <v>4299</v>
      </c>
      <c r="D1793" s="14" t="s">
        <v>1782</v>
      </c>
      <c r="E1793" s="14">
        <v>0</v>
      </c>
      <c r="F1793" s="14">
        <v>0</v>
      </c>
      <c r="G1793" s="14">
        <v>0</v>
      </c>
      <c r="H1793" s="16">
        <v>0</v>
      </c>
      <c r="I1793" s="16">
        <v>0</v>
      </c>
      <c r="J1793" s="3" t="s">
        <v>5011</v>
      </c>
      <c r="K1793" s="16">
        <v>0</v>
      </c>
      <c r="L1793" s="16">
        <v>0</v>
      </c>
      <c r="M1793" s="16">
        <v>0</v>
      </c>
    </row>
    <row r="1794" spans="1:13" x14ac:dyDescent="0.25">
      <c r="A1794" s="2">
        <f t="shared" si="55"/>
        <v>1789</v>
      </c>
      <c r="B1794" s="2">
        <v>109318</v>
      </c>
      <c r="C1794" s="2" t="s">
        <v>4300</v>
      </c>
      <c r="D1794" s="14" t="s">
        <v>1783</v>
      </c>
      <c r="E1794" s="14">
        <v>11.066148900000002</v>
      </c>
      <c r="F1794" s="14">
        <v>0</v>
      </c>
      <c r="G1794" s="14">
        <v>11.066148900000002</v>
      </c>
      <c r="H1794" s="16">
        <v>529.6495271</v>
      </c>
      <c r="I1794" s="16">
        <v>330.09632220000003</v>
      </c>
      <c r="J1794" s="3" t="s">
        <v>5011</v>
      </c>
      <c r="K1794" s="16">
        <v>9884.1500569835971</v>
      </c>
      <c r="L1794" s="16">
        <v>1176.9960222</v>
      </c>
      <c r="M1794" s="16">
        <f t="shared" si="54"/>
        <v>2.2222166960941672</v>
      </c>
    </row>
    <row r="1795" spans="1:13" x14ac:dyDescent="0.25">
      <c r="A1795" s="2">
        <f t="shared" si="55"/>
        <v>1790</v>
      </c>
      <c r="B1795" s="2">
        <v>109342</v>
      </c>
      <c r="C1795" s="2" t="s">
        <v>4301</v>
      </c>
      <c r="D1795" s="14" t="s">
        <v>1784</v>
      </c>
      <c r="E1795" s="14">
        <v>0.1503689</v>
      </c>
      <c r="F1795" s="14">
        <v>0</v>
      </c>
      <c r="G1795" s="14">
        <v>0.1503689</v>
      </c>
      <c r="H1795" s="16">
        <v>289.98550039999998</v>
      </c>
      <c r="I1795" s="16">
        <v>169.98247479999998</v>
      </c>
      <c r="J1795" s="3" t="s">
        <v>5011</v>
      </c>
      <c r="K1795" s="16">
        <v>350.62803974639996</v>
      </c>
      <c r="L1795" s="16">
        <v>179.4119053</v>
      </c>
      <c r="M1795" s="16">
        <f t="shared" si="54"/>
        <v>0.61869267619423363</v>
      </c>
    </row>
    <row r="1796" spans="1:13" x14ac:dyDescent="0.25">
      <c r="A1796" s="2">
        <f t="shared" si="55"/>
        <v>1791</v>
      </c>
      <c r="B1796" s="2">
        <v>109518</v>
      </c>
      <c r="C1796" s="2" t="s">
        <v>4302</v>
      </c>
      <c r="D1796" s="14" t="s">
        <v>1785</v>
      </c>
      <c r="E1796" s="14">
        <v>0.11033659999999999</v>
      </c>
      <c r="F1796" s="14">
        <v>0</v>
      </c>
      <c r="G1796" s="14">
        <v>0.11033659999999999</v>
      </c>
      <c r="H1796" s="16">
        <v>16.399180000000001</v>
      </c>
      <c r="I1796" s="16">
        <v>16.399180000000001</v>
      </c>
      <c r="J1796" s="3" t="s">
        <v>5011</v>
      </c>
      <c r="K1796" s="16">
        <v>118.98320424120001</v>
      </c>
      <c r="L1796" s="16">
        <v>20.984148300000001</v>
      </c>
      <c r="M1796" s="16">
        <f t="shared" si="54"/>
        <v>1.2795852170657314</v>
      </c>
    </row>
    <row r="1797" spans="1:13" x14ac:dyDescent="0.25">
      <c r="A1797" s="2">
        <f t="shared" si="55"/>
        <v>1792</v>
      </c>
      <c r="B1797" s="2">
        <v>109818</v>
      </c>
      <c r="C1797" s="2" t="s">
        <v>4303</v>
      </c>
      <c r="D1797" s="14" t="s">
        <v>1786</v>
      </c>
      <c r="E1797" s="14">
        <v>0</v>
      </c>
      <c r="F1797" s="14">
        <v>0</v>
      </c>
      <c r="G1797" s="14">
        <v>0</v>
      </c>
      <c r="H1797" s="16">
        <v>1.499925</v>
      </c>
      <c r="I1797" s="16">
        <v>0.43371130000000002</v>
      </c>
      <c r="J1797" s="3" t="s">
        <v>5011</v>
      </c>
      <c r="K1797" s="16">
        <v>17.954788703000002</v>
      </c>
      <c r="L1797" s="16">
        <v>1.5459901999999999</v>
      </c>
      <c r="M1797" s="16">
        <f t="shared" si="54"/>
        <v>1.030711668916779</v>
      </c>
    </row>
    <row r="1798" spans="1:13" x14ac:dyDescent="0.25">
      <c r="A1798" s="2">
        <f t="shared" si="55"/>
        <v>1793</v>
      </c>
      <c r="B1798" s="2">
        <v>109820</v>
      </c>
      <c r="C1798" s="2" t="s">
        <v>4304</v>
      </c>
      <c r="D1798" s="14" t="s">
        <v>1787</v>
      </c>
      <c r="E1798" s="14">
        <v>0.55612240000000013</v>
      </c>
      <c r="F1798" s="14">
        <v>0</v>
      </c>
      <c r="G1798" s="14">
        <v>0.55612240000000013</v>
      </c>
      <c r="H1798" s="16">
        <v>10.8095214</v>
      </c>
      <c r="I1798" s="16">
        <v>10.746481399999999</v>
      </c>
      <c r="J1798" s="3" t="s">
        <v>5011</v>
      </c>
      <c r="K1798" s="16">
        <v>575.30487635700001</v>
      </c>
      <c r="L1798" s="16">
        <v>65.308549600000006</v>
      </c>
      <c r="M1798" s="16">
        <f t="shared" si="54"/>
        <v>6.0417614419080579</v>
      </c>
    </row>
    <row r="1799" spans="1:13" x14ac:dyDescent="0.25">
      <c r="A1799" s="2">
        <f t="shared" si="55"/>
        <v>1794</v>
      </c>
      <c r="B1799" s="2">
        <v>109871</v>
      </c>
      <c r="C1799" s="2" t="s">
        <v>4305</v>
      </c>
      <c r="D1799" s="14" t="s">
        <v>1788</v>
      </c>
      <c r="E1799" s="14">
        <v>0.15193950000000001</v>
      </c>
      <c r="F1799" s="14">
        <v>0</v>
      </c>
      <c r="G1799" s="14">
        <v>0.15193950000000001</v>
      </c>
      <c r="H1799" s="16">
        <v>63.611819400000002</v>
      </c>
      <c r="I1799" s="16">
        <v>58.711819400000003</v>
      </c>
      <c r="J1799" s="3" t="s">
        <v>5011</v>
      </c>
      <c r="K1799" s="16">
        <v>285.48552928629999</v>
      </c>
      <c r="L1799" s="16">
        <v>66.386393200000001</v>
      </c>
      <c r="M1799" s="16">
        <f t="shared" ref="M1799:M1862" si="56">L1799/H1799</f>
        <v>1.043617268397137</v>
      </c>
    </row>
    <row r="1800" spans="1:13" x14ac:dyDescent="0.25">
      <c r="A1800" s="2">
        <f t="shared" ref="A1800:A1863" si="57">A1799+1</f>
        <v>1795</v>
      </c>
      <c r="B1800" s="2">
        <v>109893</v>
      </c>
      <c r="C1800" s="2" t="s">
        <v>4306</v>
      </c>
      <c r="D1800" s="14" t="s">
        <v>1789</v>
      </c>
      <c r="E1800" s="14">
        <v>0</v>
      </c>
      <c r="F1800" s="14">
        <v>0</v>
      </c>
      <c r="G1800" s="14">
        <v>0</v>
      </c>
      <c r="H1800" s="16">
        <v>0</v>
      </c>
      <c r="I1800" s="16">
        <v>0</v>
      </c>
      <c r="J1800" s="3" t="s">
        <v>5011</v>
      </c>
      <c r="K1800" s="16">
        <v>0</v>
      </c>
      <c r="L1800" s="16">
        <v>0</v>
      </c>
      <c r="M1800" s="16">
        <v>0</v>
      </c>
    </row>
    <row r="1801" spans="1:13" x14ac:dyDescent="0.25">
      <c r="A1801" s="2">
        <f t="shared" si="57"/>
        <v>1796</v>
      </c>
      <c r="B1801" s="2">
        <v>109950</v>
      </c>
      <c r="C1801" s="2" t="s">
        <v>4307</v>
      </c>
      <c r="D1801" s="14" t="s">
        <v>1790</v>
      </c>
      <c r="E1801" s="14">
        <v>16.176567299999999</v>
      </c>
      <c r="F1801" s="14">
        <v>0</v>
      </c>
      <c r="G1801" s="14">
        <v>16.176567299999999</v>
      </c>
      <c r="H1801" s="16">
        <v>1458.2282443000001</v>
      </c>
      <c r="I1801" s="16">
        <v>900.7455910000001</v>
      </c>
      <c r="J1801" s="3" t="s">
        <v>5011</v>
      </c>
      <c r="K1801" s="16">
        <v>12919.832677643401</v>
      </c>
      <c r="L1801" s="16">
        <v>1840.8358118000001</v>
      </c>
      <c r="M1801" s="16">
        <f t="shared" si="56"/>
        <v>1.2623783821192305</v>
      </c>
    </row>
    <row r="1802" spans="1:13" x14ac:dyDescent="0.25">
      <c r="A1802" s="2">
        <f t="shared" si="57"/>
        <v>1797</v>
      </c>
      <c r="B1802" s="2">
        <v>110015</v>
      </c>
      <c r="C1802" s="2" t="s">
        <v>4308</v>
      </c>
      <c r="D1802" s="14" t="s">
        <v>1791</v>
      </c>
      <c r="E1802" s="14">
        <v>202.2740824</v>
      </c>
      <c r="F1802" s="14">
        <v>0</v>
      </c>
      <c r="G1802" s="14">
        <v>202.2740824</v>
      </c>
      <c r="H1802" s="16">
        <v>10696.8067746</v>
      </c>
      <c r="I1802" s="16">
        <v>2135.6369224999999</v>
      </c>
      <c r="J1802" s="3" t="s">
        <v>5011</v>
      </c>
      <c r="K1802" s="16">
        <v>159673.66494529863</v>
      </c>
      <c r="L1802" s="16">
        <v>18441.970295799998</v>
      </c>
      <c r="M1802" s="16">
        <f t="shared" si="56"/>
        <v>1.7240631418706378</v>
      </c>
    </row>
    <row r="1803" spans="1:13" x14ac:dyDescent="0.25">
      <c r="A1803" s="2">
        <f t="shared" si="57"/>
        <v>1798</v>
      </c>
      <c r="B1803" s="2">
        <v>110027</v>
      </c>
      <c r="C1803" s="2" t="s">
        <v>4309</v>
      </c>
      <c r="D1803" s="14" t="s">
        <v>1792</v>
      </c>
      <c r="E1803" s="14">
        <v>0</v>
      </c>
      <c r="F1803" s="14">
        <v>0</v>
      </c>
      <c r="G1803" s="14">
        <v>0</v>
      </c>
      <c r="H1803" s="16">
        <v>0</v>
      </c>
      <c r="I1803" s="16">
        <v>0</v>
      </c>
      <c r="J1803" s="3" t="s">
        <v>5011</v>
      </c>
      <c r="K1803" s="16">
        <v>0</v>
      </c>
      <c r="L1803" s="16">
        <v>0</v>
      </c>
      <c r="M1803" s="16">
        <v>0</v>
      </c>
    </row>
    <row r="1804" spans="1:13" x14ac:dyDescent="0.25">
      <c r="A1804" s="2">
        <f t="shared" si="57"/>
        <v>1799</v>
      </c>
      <c r="B1804" s="2">
        <v>110028</v>
      </c>
      <c r="C1804" s="2" t="s">
        <v>4310</v>
      </c>
      <c r="D1804" s="14" t="s">
        <v>1793</v>
      </c>
      <c r="E1804" s="14">
        <v>1.2800228</v>
      </c>
      <c r="F1804" s="14">
        <v>0</v>
      </c>
      <c r="G1804" s="14">
        <v>1.2800228</v>
      </c>
      <c r="H1804" s="16">
        <v>334.56046850000001</v>
      </c>
      <c r="I1804" s="16">
        <v>310.49333010000004</v>
      </c>
      <c r="J1804" s="3" t="s">
        <v>5011</v>
      </c>
      <c r="K1804" s="16">
        <v>1477.4027643085999</v>
      </c>
      <c r="L1804" s="16">
        <v>378.94135850000004</v>
      </c>
      <c r="M1804" s="16">
        <f t="shared" si="56"/>
        <v>1.1326543156726838</v>
      </c>
    </row>
    <row r="1805" spans="1:13" x14ac:dyDescent="0.25">
      <c r="A1805" s="2">
        <f t="shared" si="57"/>
        <v>1800</v>
      </c>
      <c r="B1805" s="2">
        <v>110094</v>
      </c>
      <c r="C1805" s="2" t="s">
        <v>4311</v>
      </c>
      <c r="D1805" s="14" t="s">
        <v>1794</v>
      </c>
      <c r="E1805" s="14">
        <v>8.7389672000000012</v>
      </c>
      <c r="F1805" s="14">
        <v>0</v>
      </c>
      <c r="G1805" s="14">
        <v>8.7389672000000012</v>
      </c>
      <c r="H1805" s="16">
        <v>569.0720129</v>
      </c>
      <c r="I1805" s="16">
        <v>297.03784460000003</v>
      </c>
      <c r="J1805" s="3" t="s">
        <v>5011</v>
      </c>
      <c r="K1805" s="16">
        <v>6491.662034598201</v>
      </c>
      <c r="L1805" s="16">
        <v>829.05706569999995</v>
      </c>
      <c r="M1805" s="16">
        <f t="shared" si="56"/>
        <v>1.456857914124281</v>
      </c>
    </row>
    <row r="1806" spans="1:13" x14ac:dyDescent="0.25">
      <c r="A1806" s="2">
        <f t="shared" si="57"/>
        <v>1801</v>
      </c>
      <c r="B1806" s="2">
        <v>110098</v>
      </c>
      <c r="C1806" s="2" t="s">
        <v>4312</v>
      </c>
      <c r="D1806" s="14" t="s">
        <v>1795</v>
      </c>
      <c r="E1806" s="14">
        <v>2.5384200000000006E-2</v>
      </c>
      <c r="F1806" s="14">
        <v>0</v>
      </c>
      <c r="G1806" s="14">
        <v>2.5384200000000006E-2</v>
      </c>
      <c r="H1806" s="16">
        <v>7.7946103000000004</v>
      </c>
      <c r="I1806" s="16">
        <v>7.5346103000000006</v>
      </c>
      <c r="J1806" s="3" t="s">
        <v>5011</v>
      </c>
      <c r="K1806" s="16">
        <v>36.788920112599996</v>
      </c>
      <c r="L1806" s="16">
        <v>10.1687753</v>
      </c>
      <c r="M1806" s="16">
        <f t="shared" si="56"/>
        <v>1.3045905964022344</v>
      </c>
    </row>
    <row r="1807" spans="1:13" x14ac:dyDescent="0.25">
      <c r="A1807" s="2">
        <f t="shared" si="57"/>
        <v>1802</v>
      </c>
      <c r="B1807" s="2">
        <v>110114</v>
      </c>
      <c r="C1807" s="2" t="s">
        <v>4313</v>
      </c>
      <c r="D1807" s="14" t="s">
        <v>1796</v>
      </c>
      <c r="E1807" s="14">
        <v>0</v>
      </c>
      <c r="F1807" s="14">
        <v>0</v>
      </c>
      <c r="G1807" s="14">
        <v>0</v>
      </c>
      <c r="H1807" s="16">
        <v>0</v>
      </c>
      <c r="I1807" s="16">
        <v>0</v>
      </c>
      <c r="J1807" s="3" t="s">
        <v>5011</v>
      </c>
      <c r="K1807" s="16">
        <v>0</v>
      </c>
      <c r="L1807" s="16">
        <v>0</v>
      </c>
      <c r="M1807" s="16">
        <v>0</v>
      </c>
    </row>
    <row r="1808" spans="1:13" x14ac:dyDescent="0.25">
      <c r="A1808" s="2">
        <f t="shared" si="57"/>
        <v>1803</v>
      </c>
      <c r="B1808" s="2">
        <v>110136</v>
      </c>
      <c r="C1808" s="2" t="s">
        <v>4314</v>
      </c>
      <c r="D1808" s="14" t="s">
        <v>1797</v>
      </c>
      <c r="E1808" s="14">
        <v>1.6544992999999999</v>
      </c>
      <c r="F1808" s="14">
        <v>0</v>
      </c>
      <c r="G1808" s="14">
        <v>1.6544992999999999</v>
      </c>
      <c r="H1808" s="16">
        <v>1081.5145381999998</v>
      </c>
      <c r="I1808" s="16">
        <v>918.2905189999999</v>
      </c>
      <c r="J1808" s="3" t="s">
        <v>5011</v>
      </c>
      <c r="K1808" s="16">
        <v>13227.6333504299</v>
      </c>
      <c r="L1808" s="16">
        <v>2472.1034133000003</v>
      </c>
      <c r="M1808" s="16">
        <f t="shared" si="56"/>
        <v>2.2857791790893565</v>
      </c>
    </row>
    <row r="1809" spans="1:13" x14ac:dyDescent="0.25">
      <c r="A1809" s="2">
        <f t="shared" si="57"/>
        <v>1804</v>
      </c>
      <c r="B1809" s="2">
        <v>110282</v>
      </c>
      <c r="C1809" s="2" t="s">
        <v>4315</v>
      </c>
      <c r="D1809" s="14" t="s">
        <v>1798</v>
      </c>
      <c r="E1809" s="14">
        <v>2.4757547999999998</v>
      </c>
      <c r="F1809" s="14">
        <v>0</v>
      </c>
      <c r="G1809" s="14">
        <v>2.4757547999999998</v>
      </c>
      <c r="H1809" s="16">
        <v>69.070763600000006</v>
      </c>
      <c r="I1809" s="16">
        <v>67.031547400000008</v>
      </c>
      <c r="J1809" s="3" t="s">
        <v>5011</v>
      </c>
      <c r="K1809" s="16">
        <v>2030.2797679147998</v>
      </c>
      <c r="L1809" s="16">
        <v>223.21954730000002</v>
      </c>
      <c r="M1809" s="16">
        <f t="shared" si="56"/>
        <v>3.2317515496527678</v>
      </c>
    </row>
    <row r="1810" spans="1:13" x14ac:dyDescent="0.25">
      <c r="A1810" s="2">
        <f t="shared" si="57"/>
        <v>1805</v>
      </c>
      <c r="B1810" s="2">
        <v>110284</v>
      </c>
      <c r="C1810" s="2" t="s">
        <v>4316</v>
      </c>
      <c r="D1810" s="14" t="s">
        <v>1799</v>
      </c>
      <c r="E1810" s="14">
        <v>1.8376759000000003</v>
      </c>
      <c r="F1810" s="14">
        <v>0</v>
      </c>
      <c r="G1810" s="14">
        <v>1.8376759000000003</v>
      </c>
      <c r="H1810" s="16">
        <v>82.925854200000003</v>
      </c>
      <c r="I1810" s="16">
        <v>82.925854200000003</v>
      </c>
      <c r="J1810" s="3" t="s">
        <v>5011</v>
      </c>
      <c r="K1810" s="16">
        <v>1692.4205922410001</v>
      </c>
      <c r="L1810" s="16">
        <v>235.73509629999998</v>
      </c>
      <c r="M1810" s="16">
        <f t="shared" si="56"/>
        <v>2.8427213511898919</v>
      </c>
    </row>
    <row r="1811" spans="1:13" x14ac:dyDescent="0.25">
      <c r="A1811" s="2">
        <f t="shared" si="57"/>
        <v>1806</v>
      </c>
      <c r="B1811" s="2">
        <v>110318</v>
      </c>
      <c r="C1811" s="2" t="s">
        <v>4317</v>
      </c>
      <c r="D1811" s="14" t="s">
        <v>1800</v>
      </c>
      <c r="E1811" s="14">
        <v>0</v>
      </c>
      <c r="F1811" s="14">
        <v>0</v>
      </c>
      <c r="G1811" s="14">
        <v>0</v>
      </c>
      <c r="H1811" s="16">
        <v>0</v>
      </c>
      <c r="I1811" s="16">
        <v>0</v>
      </c>
      <c r="J1811" s="3" t="s">
        <v>5011</v>
      </c>
      <c r="K1811" s="16">
        <v>0</v>
      </c>
      <c r="L1811" s="16">
        <v>0</v>
      </c>
      <c r="M1811" s="16">
        <v>0</v>
      </c>
    </row>
    <row r="1812" spans="1:13" x14ac:dyDescent="0.25">
      <c r="A1812" s="2">
        <f t="shared" si="57"/>
        <v>1807</v>
      </c>
      <c r="B1812" s="2">
        <v>110370</v>
      </c>
      <c r="C1812" s="2" t="s">
        <v>4318</v>
      </c>
      <c r="D1812" s="14" t="s">
        <v>1801</v>
      </c>
      <c r="E1812" s="14">
        <v>2.6288700000000005E-2</v>
      </c>
      <c r="F1812" s="14">
        <v>0</v>
      </c>
      <c r="G1812" s="14">
        <v>2.6288700000000005E-2</v>
      </c>
      <c r="H1812" s="16">
        <v>3.7998099999999999</v>
      </c>
      <c r="I1812" s="16">
        <v>3.6238189000000003</v>
      </c>
      <c r="J1812" s="3" t="s">
        <v>5011</v>
      </c>
      <c r="K1812" s="16">
        <v>27.063586787200002</v>
      </c>
      <c r="L1812" s="16">
        <v>5.6482798000000001</v>
      </c>
      <c r="M1812" s="16">
        <f t="shared" si="56"/>
        <v>1.4864637442398436</v>
      </c>
    </row>
    <row r="1813" spans="1:13" x14ac:dyDescent="0.25">
      <c r="A1813" s="2">
        <f t="shared" si="57"/>
        <v>1808</v>
      </c>
      <c r="B1813" s="2">
        <v>110384</v>
      </c>
      <c r="C1813" s="2" t="s">
        <v>4319</v>
      </c>
      <c r="D1813" s="14" t="s">
        <v>1802</v>
      </c>
      <c r="E1813" s="14">
        <v>3.7498271999999999</v>
      </c>
      <c r="F1813" s="14">
        <v>0</v>
      </c>
      <c r="G1813" s="14">
        <v>3.7498271999999999</v>
      </c>
      <c r="H1813" s="16">
        <v>169.83252140000002</v>
      </c>
      <c r="I1813" s="16">
        <v>112.26410720000001</v>
      </c>
      <c r="J1813" s="3" t="s">
        <v>5011</v>
      </c>
      <c r="K1813" s="16">
        <v>3142.7492683886994</v>
      </c>
      <c r="L1813" s="16">
        <v>384.19491779999998</v>
      </c>
      <c r="M1813" s="16">
        <f t="shared" si="56"/>
        <v>2.2621987510573458</v>
      </c>
    </row>
    <row r="1814" spans="1:13" x14ac:dyDescent="0.25">
      <c r="A1814" s="2">
        <f t="shared" si="57"/>
        <v>1809</v>
      </c>
      <c r="B1814" s="2">
        <v>110432</v>
      </c>
      <c r="C1814" s="2" t="s">
        <v>4320</v>
      </c>
      <c r="D1814" s="14" t="s">
        <v>1803</v>
      </c>
      <c r="E1814" s="14">
        <v>7.8916899999999998E-2</v>
      </c>
      <c r="F1814" s="14">
        <v>0</v>
      </c>
      <c r="G1814" s="14">
        <v>7.8916899999999998E-2</v>
      </c>
      <c r="H1814" s="16">
        <v>38.870556800000003</v>
      </c>
      <c r="I1814" s="16">
        <v>34.4679675</v>
      </c>
      <c r="J1814" s="3" t="s">
        <v>5011</v>
      </c>
      <c r="K1814" s="16">
        <v>174.66670823399994</v>
      </c>
      <c r="L1814" s="16">
        <v>40.566072499999997</v>
      </c>
      <c r="M1814" s="16">
        <f t="shared" si="56"/>
        <v>1.0436195372431607</v>
      </c>
    </row>
    <row r="1815" spans="1:13" x14ac:dyDescent="0.25">
      <c r="A1815" s="2">
        <f t="shared" si="57"/>
        <v>1810</v>
      </c>
      <c r="B1815" s="2">
        <v>110561</v>
      </c>
      <c r="C1815" s="2" t="s">
        <v>4321</v>
      </c>
      <c r="D1815" s="14" t="s">
        <v>1804</v>
      </c>
      <c r="E1815" s="14">
        <v>0.22494129999999998</v>
      </c>
      <c r="F1815" s="14">
        <v>0</v>
      </c>
      <c r="G1815" s="14">
        <v>0.22494129999999998</v>
      </c>
      <c r="H1815" s="16">
        <v>70.166491500000006</v>
      </c>
      <c r="I1815" s="16">
        <v>69.025700700000002</v>
      </c>
      <c r="J1815" s="3" t="s">
        <v>5011</v>
      </c>
      <c r="K1815" s="16">
        <v>310.87386794240001</v>
      </c>
      <c r="L1815" s="16">
        <v>87.732681999999997</v>
      </c>
      <c r="M1815" s="16">
        <f t="shared" si="56"/>
        <v>1.2503501332968885</v>
      </c>
    </row>
    <row r="1816" spans="1:13" x14ac:dyDescent="0.25">
      <c r="A1816" s="2">
        <f t="shared" si="57"/>
        <v>1811</v>
      </c>
      <c r="B1816" s="2">
        <v>110619</v>
      </c>
      <c r="C1816" s="2" t="s">
        <v>4322</v>
      </c>
      <c r="D1816" s="14" t="s">
        <v>1805</v>
      </c>
      <c r="E1816" s="14">
        <v>36.7453036</v>
      </c>
      <c r="F1816" s="14">
        <v>0</v>
      </c>
      <c r="G1816" s="14">
        <v>36.7453036</v>
      </c>
      <c r="H1816" s="16">
        <v>3110.8444562</v>
      </c>
      <c r="I1816" s="16">
        <v>1339.6326839000001</v>
      </c>
      <c r="J1816" s="3" t="s">
        <v>5011</v>
      </c>
      <c r="K1816" s="16">
        <v>28521.1908622704</v>
      </c>
      <c r="L1816" s="16">
        <v>3961.7299493999999</v>
      </c>
      <c r="M1816" s="16">
        <f t="shared" si="56"/>
        <v>1.2735223522680992</v>
      </c>
    </row>
    <row r="1817" spans="1:13" x14ac:dyDescent="0.25">
      <c r="A1817" s="2">
        <f t="shared" si="57"/>
        <v>1812</v>
      </c>
      <c r="B1817" s="2">
        <v>110712</v>
      </c>
      <c r="C1817" s="2" t="s">
        <v>4323</v>
      </c>
      <c r="D1817" s="14" t="s">
        <v>1806</v>
      </c>
      <c r="E1817" s="14">
        <v>0</v>
      </c>
      <c r="F1817" s="14">
        <v>0</v>
      </c>
      <c r="G1817" s="14">
        <v>0</v>
      </c>
      <c r="H1817" s="16">
        <v>0</v>
      </c>
      <c r="I1817" s="16">
        <v>0</v>
      </c>
      <c r="J1817" s="3" t="s">
        <v>5011</v>
      </c>
      <c r="K1817" s="16">
        <v>0</v>
      </c>
      <c r="L1817" s="16">
        <v>0</v>
      </c>
      <c r="M1817" s="16">
        <v>0</v>
      </c>
    </row>
    <row r="1818" spans="1:13" x14ac:dyDescent="0.25">
      <c r="A1818" s="2">
        <f t="shared" si="57"/>
        <v>1813</v>
      </c>
      <c r="B1818" s="2">
        <v>110756</v>
      </c>
      <c r="C1818" s="2" t="s">
        <v>4324</v>
      </c>
      <c r="D1818" s="14" t="s">
        <v>1807</v>
      </c>
      <c r="E1818" s="14">
        <v>6.2095000000000006E-3</v>
      </c>
      <c r="F1818" s="14">
        <v>0</v>
      </c>
      <c r="G1818" s="14">
        <v>6.2095000000000006E-3</v>
      </c>
      <c r="H1818" s="16">
        <v>9.7651921999999995</v>
      </c>
      <c r="I1818" s="16">
        <v>8.9888423</v>
      </c>
      <c r="J1818" s="3" t="s">
        <v>5011</v>
      </c>
      <c r="K1818" s="16">
        <v>124.2625257421</v>
      </c>
      <c r="L1818" s="16">
        <v>15.158742800000001</v>
      </c>
      <c r="M1818" s="16">
        <f t="shared" si="56"/>
        <v>1.5523240597353527</v>
      </c>
    </row>
    <row r="1819" spans="1:13" x14ac:dyDescent="0.25">
      <c r="A1819" s="2">
        <f t="shared" si="57"/>
        <v>1814</v>
      </c>
      <c r="B1819" s="2">
        <v>110788</v>
      </c>
      <c r="C1819" s="2" t="s">
        <v>4325</v>
      </c>
      <c r="D1819" s="14" t="s">
        <v>1808</v>
      </c>
      <c r="E1819" s="14">
        <v>3.9546499999999998E-2</v>
      </c>
      <c r="F1819" s="14">
        <v>0</v>
      </c>
      <c r="G1819" s="14">
        <v>3.9546499999999998E-2</v>
      </c>
      <c r="H1819" s="16">
        <v>13.116447900000001</v>
      </c>
      <c r="I1819" s="16">
        <v>7.1493355000000003</v>
      </c>
      <c r="J1819" s="3" t="s">
        <v>5011</v>
      </c>
      <c r="K1819" s="16">
        <v>74.490661237799998</v>
      </c>
      <c r="L1819" s="16">
        <v>11.091841100000002</v>
      </c>
      <c r="M1819" s="16">
        <f t="shared" si="56"/>
        <v>0.84564366698700499</v>
      </c>
    </row>
    <row r="1820" spans="1:13" x14ac:dyDescent="0.25">
      <c r="A1820" s="2">
        <f t="shared" si="57"/>
        <v>1815</v>
      </c>
      <c r="B1820" s="2">
        <v>110828</v>
      </c>
      <c r="C1820" s="2" t="s">
        <v>4326</v>
      </c>
      <c r="D1820" s="14" t="s">
        <v>1809</v>
      </c>
      <c r="E1820" s="14">
        <v>2.1852561999999995</v>
      </c>
      <c r="F1820" s="14">
        <v>0</v>
      </c>
      <c r="G1820" s="14">
        <v>2.1852561999999995</v>
      </c>
      <c r="H1820" s="16">
        <v>197.50117929999999</v>
      </c>
      <c r="I1820" s="16">
        <v>166.63411349999998</v>
      </c>
      <c r="J1820" s="3" t="s">
        <v>5011</v>
      </c>
      <c r="K1820" s="16">
        <v>1820.3274974338001</v>
      </c>
      <c r="L1820" s="16">
        <v>292.13472059999998</v>
      </c>
      <c r="M1820" s="16">
        <f t="shared" si="56"/>
        <v>1.4791543100421376</v>
      </c>
    </row>
    <row r="1821" spans="1:13" x14ac:dyDescent="0.25">
      <c r="A1821" s="2">
        <f t="shared" si="57"/>
        <v>1816</v>
      </c>
      <c r="B1821" s="2">
        <v>110937</v>
      </c>
      <c r="C1821" s="2" t="s">
        <v>4327</v>
      </c>
      <c r="D1821" s="14" t="s">
        <v>1810</v>
      </c>
      <c r="E1821" s="14">
        <v>0.74332279999999995</v>
      </c>
      <c r="F1821" s="14">
        <v>0</v>
      </c>
      <c r="G1821" s="14">
        <v>0.74332279999999995</v>
      </c>
      <c r="H1821" s="16">
        <v>99.035048100000012</v>
      </c>
      <c r="I1821" s="16">
        <v>99.035048100000012</v>
      </c>
      <c r="J1821" s="3" t="s">
        <v>5011</v>
      </c>
      <c r="K1821" s="16">
        <v>920.90120982200006</v>
      </c>
      <c r="L1821" s="16">
        <v>231.11172809999999</v>
      </c>
      <c r="M1821" s="16">
        <f t="shared" si="56"/>
        <v>2.3336357434454555</v>
      </c>
    </row>
    <row r="1822" spans="1:13" x14ac:dyDescent="0.25">
      <c r="A1822" s="2">
        <f t="shared" si="57"/>
        <v>1817</v>
      </c>
      <c r="B1822" s="2">
        <v>110947</v>
      </c>
      <c r="C1822" s="2" t="s">
        <v>4328</v>
      </c>
      <c r="D1822" s="14" t="s">
        <v>1811</v>
      </c>
      <c r="E1822" s="14">
        <v>0.45442739999999993</v>
      </c>
      <c r="F1822" s="14">
        <v>0</v>
      </c>
      <c r="G1822" s="14">
        <v>0.45442739999999993</v>
      </c>
      <c r="H1822" s="16">
        <v>20.448978100000001</v>
      </c>
      <c r="I1822" s="16">
        <v>19.254632099999998</v>
      </c>
      <c r="J1822" s="3" t="s">
        <v>5011</v>
      </c>
      <c r="K1822" s="16">
        <v>478.02273102590004</v>
      </c>
      <c r="L1822" s="16">
        <v>62.5680008</v>
      </c>
      <c r="M1822" s="16">
        <f t="shared" si="56"/>
        <v>3.0597128371906268</v>
      </c>
    </row>
    <row r="1823" spans="1:13" x14ac:dyDescent="0.25">
      <c r="A1823" s="2">
        <f t="shared" si="57"/>
        <v>1818</v>
      </c>
      <c r="B1823" s="2">
        <v>110989</v>
      </c>
      <c r="C1823" s="2" t="s">
        <v>4329</v>
      </c>
      <c r="D1823" s="14" t="s">
        <v>1812</v>
      </c>
      <c r="E1823" s="14">
        <v>0.1920309</v>
      </c>
      <c r="F1823" s="14">
        <v>0</v>
      </c>
      <c r="G1823" s="14">
        <v>0.1920309</v>
      </c>
      <c r="H1823" s="16">
        <v>42.085259199999996</v>
      </c>
      <c r="I1823" s="16">
        <v>34.285259199999999</v>
      </c>
      <c r="J1823" s="3" t="s">
        <v>5011</v>
      </c>
      <c r="K1823" s="16">
        <v>282.88702103649996</v>
      </c>
      <c r="L1823" s="16">
        <v>46.148259000000003</v>
      </c>
      <c r="M1823" s="16">
        <f t="shared" si="56"/>
        <v>1.0965421118280769</v>
      </c>
    </row>
    <row r="1824" spans="1:13" x14ac:dyDescent="0.25">
      <c r="A1824" s="2">
        <f t="shared" si="57"/>
        <v>1819</v>
      </c>
      <c r="B1824" s="2">
        <v>111054</v>
      </c>
      <c r="C1824" s="2" t="s">
        <v>4330</v>
      </c>
      <c r="D1824" s="14" t="s">
        <v>1813</v>
      </c>
      <c r="E1824" s="14">
        <v>3.2843951000000002</v>
      </c>
      <c r="F1824" s="14">
        <v>0</v>
      </c>
      <c r="G1824" s="14">
        <v>3.2843951000000002</v>
      </c>
      <c r="H1824" s="16">
        <v>1172.1302468000001</v>
      </c>
      <c r="I1824" s="16">
        <v>879.43087820000005</v>
      </c>
      <c r="J1824" s="3" t="s">
        <v>5011</v>
      </c>
      <c r="K1824" s="16">
        <v>6647.0049997928008</v>
      </c>
      <c r="L1824" s="16">
        <v>1086.4873153000001</v>
      </c>
      <c r="M1824" s="16">
        <f t="shared" si="56"/>
        <v>0.92693394634784709</v>
      </c>
    </row>
    <row r="1825" spans="1:13" x14ac:dyDescent="0.25">
      <c r="A1825" s="2">
        <f t="shared" si="57"/>
        <v>1820</v>
      </c>
      <c r="B1825" s="2">
        <v>111233</v>
      </c>
      <c r="C1825" s="2" t="s">
        <v>4331</v>
      </c>
      <c r="D1825" s="14" t="s">
        <v>1814</v>
      </c>
      <c r="E1825" s="14">
        <v>7.8856026000000004</v>
      </c>
      <c r="F1825" s="14">
        <v>0</v>
      </c>
      <c r="G1825" s="14">
        <v>7.8856026000000004</v>
      </c>
      <c r="H1825" s="16">
        <v>1615.744246</v>
      </c>
      <c r="I1825" s="16">
        <v>835.19570649999991</v>
      </c>
      <c r="J1825" s="3" t="s">
        <v>5011</v>
      </c>
      <c r="K1825" s="16">
        <v>8663.2844120227073</v>
      </c>
      <c r="L1825" s="16">
        <v>1416.3553509000001</v>
      </c>
      <c r="M1825" s="16">
        <f t="shared" si="56"/>
        <v>0.87659625241209127</v>
      </c>
    </row>
    <row r="1826" spans="1:13" x14ac:dyDescent="0.25">
      <c r="A1826" s="2">
        <f t="shared" si="57"/>
        <v>1821</v>
      </c>
      <c r="B1826" s="2">
        <v>111297</v>
      </c>
      <c r="C1826" s="2" t="s">
        <v>4332</v>
      </c>
      <c r="D1826" s="14" t="s">
        <v>1815</v>
      </c>
      <c r="E1826" s="14">
        <v>5.3499446000000006</v>
      </c>
      <c r="F1826" s="14">
        <v>0</v>
      </c>
      <c r="G1826" s="14">
        <v>5.3499446000000006</v>
      </c>
      <c r="H1826" s="16">
        <v>240.67862199999999</v>
      </c>
      <c r="I1826" s="16">
        <v>182.4385973</v>
      </c>
      <c r="J1826" s="3" t="s">
        <v>5011</v>
      </c>
      <c r="K1826" s="16">
        <v>4286.2045316170006</v>
      </c>
      <c r="L1826" s="16">
        <v>549.89199880000001</v>
      </c>
      <c r="M1826" s="16">
        <f t="shared" si="56"/>
        <v>2.2847563037817293</v>
      </c>
    </row>
    <row r="1827" spans="1:13" x14ac:dyDescent="0.25">
      <c r="A1827" s="2">
        <f t="shared" si="57"/>
        <v>1822</v>
      </c>
      <c r="B1827" s="2">
        <v>111513</v>
      </c>
      <c r="C1827" s="2" t="s">
        <v>4333</v>
      </c>
      <c r="D1827" s="14" t="s">
        <v>1816</v>
      </c>
      <c r="E1827" s="14">
        <v>0.18874769999999996</v>
      </c>
      <c r="F1827" s="14">
        <v>0</v>
      </c>
      <c r="G1827" s="14">
        <v>0.18874769999999996</v>
      </c>
      <c r="H1827" s="16">
        <v>29.813236700000001</v>
      </c>
      <c r="I1827" s="16">
        <v>28.027096099999998</v>
      </c>
      <c r="J1827" s="3" t="s">
        <v>5011</v>
      </c>
      <c r="K1827" s="16">
        <v>238.39956748400004</v>
      </c>
      <c r="L1827" s="16">
        <v>44.411050799999998</v>
      </c>
      <c r="M1827" s="16">
        <f t="shared" si="56"/>
        <v>1.4896420421201699</v>
      </c>
    </row>
    <row r="1828" spans="1:13" x14ac:dyDescent="0.25">
      <c r="A1828" s="2">
        <f t="shared" si="57"/>
        <v>1823</v>
      </c>
      <c r="B1828" s="2">
        <v>111564</v>
      </c>
      <c r="C1828" s="2" t="s">
        <v>4334</v>
      </c>
      <c r="D1828" s="14" t="s">
        <v>1817</v>
      </c>
      <c r="E1828" s="14">
        <v>0</v>
      </c>
      <c r="F1828" s="14">
        <v>0</v>
      </c>
      <c r="G1828" s="14">
        <v>0</v>
      </c>
      <c r="H1828" s="16">
        <v>0</v>
      </c>
      <c r="I1828" s="16">
        <v>0</v>
      </c>
      <c r="J1828" s="3" t="s">
        <v>5011</v>
      </c>
      <c r="K1828" s="16">
        <v>0</v>
      </c>
      <c r="L1828" s="16">
        <v>0</v>
      </c>
      <c r="M1828" s="16">
        <v>0</v>
      </c>
    </row>
    <row r="1829" spans="1:13" x14ac:dyDescent="0.25">
      <c r="A1829" s="2">
        <f t="shared" si="57"/>
        <v>1824</v>
      </c>
      <c r="B1829" s="2">
        <v>111569</v>
      </c>
      <c r="C1829" s="2" t="s">
        <v>4335</v>
      </c>
      <c r="D1829" s="14" t="s">
        <v>1818</v>
      </c>
      <c r="E1829" s="14">
        <v>898.20153340000002</v>
      </c>
      <c r="F1829" s="14">
        <v>0</v>
      </c>
      <c r="G1829" s="14">
        <v>898.20153340000002</v>
      </c>
      <c r="H1829" s="16">
        <v>130328.3630119</v>
      </c>
      <c r="I1829" s="16">
        <v>108833.47080620001</v>
      </c>
      <c r="J1829" s="3" t="s">
        <v>5011</v>
      </c>
      <c r="K1829" s="16">
        <v>1016927.1126827474</v>
      </c>
      <c r="L1829" s="16">
        <v>148481.53494809999</v>
      </c>
      <c r="M1829" s="16">
        <f t="shared" si="56"/>
        <v>1.1392879609371174</v>
      </c>
    </row>
    <row r="1830" spans="1:13" x14ac:dyDescent="0.25">
      <c r="A1830" s="2">
        <f t="shared" si="57"/>
        <v>1825</v>
      </c>
      <c r="B1830" s="2">
        <v>111593</v>
      </c>
      <c r="C1830" s="2" t="s">
        <v>4336</v>
      </c>
      <c r="D1830" s="14" t="s">
        <v>1819</v>
      </c>
      <c r="E1830" s="14">
        <v>0</v>
      </c>
      <c r="F1830" s="14">
        <v>0</v>
      </c>
      <c r="G1830" s="14">
        <v>0</v>
      </c>
      <c r="H1830" s="16">
        <v>0</v>
      </c>
      <c r="I1830" s="16">
        <v>0</v>
      </c>
      <c r="J1830" s="3" t="s">
        <v>5011</v>
      </c>
      <c r="K1830" s="16">
        <v>0</v>
      </c>
      <c r="L1830" s="16">
        <v>0</v>
      </c>
      <c r="M1830" s="16">
        <v>0</v>
      </c>
    </row>
    <row r="1831" spans="1:13" x14ac:dyDescent="0.25">
      <c r="A1831" s="2">
        <f t="shared" si="57"/>
        <v>1826</v>
      </c>
      <c r="B1831" s="2">
        <v>111599</v>
      </c>
      <c r="C1831" s="2" t="s">
        <v>4337</v>
      </c>
      <c r="D1831" s="14" t="s">
        <v>1820</v>
      </c>
      <c r="E1831" s="14">
        <v>0</v>
      </c>
      <c r="F1831" s="14">
        <v>0</v>
      </c>
      <c r="G1831" s="14">
        <v>0</v>
      </c>
      <c r="H1831" s="16">
        <v>0</v>
      </c>
      <c r="I1831" s="16">
        <v>-1.8096425</v>
      </c>
      <c r="J1831" s="3" t="s">
        <v>5011</v>
      </c>
      <c r="K1831" s="16">
        <v>7.9677414958000004</v>
      </c>
      <c r="L1831" s="16">
        <v>0.31635340000000001</v>
      </c>
      <c r="M1831" s="16">
        <v>0</v>
      </c>
    </row>
    <row r="1832" spans="1:13" x14ac:dyDescent="0.25">
      <c r="A1832" s="2">
        <f t="shared" si="57"/>
        <v>1827</v>
      </c>
      <c r="B1832" s="2">
        <v>111609</v>
      </c>
      <c r="C1832" s="2" t="s">
        <v>4338</v>
      </c>
      <c r="D1832" s="14" t="s">
        <v>1821</v>
      </c>
      <c r="E1832" s="14">
        <v>0</v>
      </c>
      <c r="F1832" s="14">
        <v>0</v>
      </c>
      <c r="G1832" s="14">
        <v>0</v>
      </c>
      <c r="H1832" s="16">
        <v>0</v>
      </c>
      <c r="I1832" s="16">
        <v>0</v>
      </c>
      <c r="J1832" s="3" t="s">
        <v>5011</v>
      </c>
      <c r="K1832" s="16">
        <v>0</v>
      </c>
      <c r="L1832" s="16">
        <v>0</v>
      </c>
      <c r="M1832" s="16">
        <v>0</v>
      </c>
    </row>
    <row r="1833" spans="1:13" x14ac:dyDescent="0.25">
      <c r="A1833" s="2">
        <f t="shared" si="57"/>
        <v>1828</v>
      </c>
      <c r="B1833" s="2">
        <v>111721</v>
      </c>
      <c r="C1833" s="2" t="s">
        <v>4339</v>
      </c>
      <c r="D1833" s="14" t="s">
        <v>1822</v>
      </c>
      <c r="E1833" s="14">
        <v>13.6835846</v>
      </c>
      <c r="F1833" s="14">
        <v>0</v>
      </c>
      <c r="G1833" s="14">
        <v>13.6835846</v>
      </c>
      <c r="H1833" s="16">
        <v>616.67096060000006</v>
      </c>
      <c r="I1833" s="16">
        <v>567.12787270000001</v>
      </c>
      <c r="J1833" s="3" t="s">
        <v>5011</v>
      </c>
      <c r="K1833" s="16">
        <v>13010.808896406099</v>
      </c>
      <c r="L1833" s="16">
        <v>1584.3284883000001</v>
      </c>
      <c r="M1833" s="16">
        <f t="shared" si="56"/>
        <v>2.5691634429461407</v>
      </c>
    </row>
    <row r="1834" spans="1:13" x14ac:dyDescent="0.25">
      <c r="A1834" s="2">
        <f t="shared" si="57"/>
        <v>1829</v>
      </c>
      <c r="B1834" s="2">
        <v>111727</v>
      </c>
      <c r="C1834" s="2" t="s">
        <v>4340</v>
      </c>
      <c r="D1834" s="14" t="s">
        <v>1823</v>
      </c>
      <c r="E1834" s="14">
        <v>2.4318999999999999E-3</v>
      </c>
      <c r="F1834" s="14">
        <v>0</v>
      </c>
      <c r="G1834" s="14">
        <v>2.4318999999999999E-3</v>
      </c>
      <c r="H1834" s="16">
        <v>16.699165799999999</v>
      </c>
      <c r="I1834" s="16">
        <v>16.423214100000003</v>
      </c>
      <c r="J1834" s="3" t="s">
        <v>5011</v>
      </c>
      <c r="K1834" s="16">
        <v>16.668939676099999</v>
      </c>
      <c r="L1834" s="16">
        <v>16.4190136</v>
      </c>
      <c r="M1834" s="16">
        <f t="shared" si="56"/>
        <v>0.98322358114439468</v>
      </c>
    </row>
    <row r="1835" spans="1:13" x14ac:dyDescent="0.25">
      <c r="A1835" s="2">
        <f t="shared" si="57"/>
        <v>1830</v>
      </c>
      <c r="B1835" s="2">
        <v>111917</v>
      </c>
      <c r="C1835" s="2" t="s">
        <v>4341</v>
      </c>
      <c r="D1835" s="14" t="s">
        <v>1824</v>
      </c>
      <c r="E1835" s="14">
        <v>0</v>
      </c>
      <c r="F1835" s="14">
        <v>0</v>
      </c>
      <c r="G1835" s="14">
        <v>0</v>
      </c>
      <c r="H1835" s="16">
        <v>0</v>
      </c>
      <c r="I1835" s="16">
        <v>0</v>
      </c>
      <c r="J1835" s="3" t="s">
        <v>5011</v>
      </c>
      <c r="K1835" s="16">
        <v>0</v>
      </c>
      <c r="L1835" s="16">
        <v>0</v>
      </c>
      <c r="M1835" s="16">
        <v>0</v>
      </c>
    </row>
    <row r="1836" spans="1:13" x14ac:dyDescent="0.25">
      <c r="A1836" s="2">
        <f t="shared" si="57"/>
        <v>1831</v>
      </c>
      <c r="B1836" s="2">
        <v>111970</v>
      </c>
      <c r="C1836" s="2" t="s">
        <v>4342</v>
      </c>
      <c r="D1836" s="14" t="s">
        <v>1825</v>
      </c>
      <c r="E1836" s="14">
        <v>0</v>
      </c>
      <c r="F1836" s="14">
        <v>0</v>
      </c>
      <c r="G1836" s="14">
        <v>0</v>
      </c>
      <c r="H1836" s="16">
        <v>0</v>
      </c>
      <c r="I1836" s="16">
        <v>0</v>
      </c>
      <c r="J1836" s="3" t="s">
        <v>5011</v>
      </c>
      <c r="K1836" s="16">
        <v>0</v>
      </c>
      <c r="L1836" s="16">
        <v>0</v>
      </c>
      <c r="M1836" s="16">
        <v>0</v>
      </c>
    </row>
    <row r="1837" spans="1:13" x14ac:dyDescent="0.25">
      <c r="A1837" s="2">
        <f t="shared" si="57"/>
        <v>1832</v>
      </c>
      <c r="B1837" s="2">
        <v>112164</v>
      </c>
      <c r="C1837" s="2" t="s">
        <v>4343</v>
      </c>
      <c r="D1837" s="14" t="s">
        <v>1826</v>
      </c>
      <c r="E1837" s="14">
        <v>1.2964049</v>
      </c>
      <c r="F1837" s="14">
        <v>0</v>
      </c>
      <c r="G1837" s="14">
        <v>1.2964049</v>
      </c>
      <c r="H1837" s="16">
        <v>169.58558500000001</v>
      </c>
      <c r="I1837" s="16">
        <v>113.40944730000001</v>
      </c>
      <c r="J1837" s="3" t="s">
        <v>5011</v>
      </c>
      <c r="K1837" s="16">
        <v>1611.3134019842</v>
      </c>
      <c r="L1837" s="16">
        <v>236.55095410000001</v>
      </c>
      <c r="M1837" s="16">
        <f t="shared" si="56"/>
        <v>1.3948765403616115</v>
      </c>
    </row>
    <row r="1838" spans="1:13" x14ac:dyDescent="0.25">
      <c r="A1838" s="2">
        <f t="shared" si="57"/>
        <v>1833</v>
      </c>
      <c r="B1838" s="2">
        <v>112185</v>
      </c>
      <c r="C1838" s="2" t="s">
        <v>4344</v>
      </c>
      <c r="D1838" s="14" t="s">
        <v>1827</v>
      </c>
      <c r="E1838" s="14">
        <v>0</v>
      </c>
      <c r="F1838" s="14">
        <v>0</v>
      </c>
      <c r="G1838" s="14">
        <v>0</v>
      </c>
      <c r="H1838" s="16">
        <v>0</v>
      </c>
      <c r="I1838" s="16">
        <v>0</v>
      </c>
      <c r="J1838" s="3" t="s">
        <v>5011</v>
      </c>
      <c r="K1838" s="16">
        <v>0</v>
      </c>
      <c r="L1838" s="16">
        <v>0</v>
      </c>
      <c r="M1838" s="16">
        <v>0</v>
      </c>
    </row>
    <row r="1839" spans="1:13" x14ac:dyDescent="0.25">
      <c r="A1839" s="2">
        <f t="shared" si="57"/>
        <v>1834</v>
      </c>
      <c r="B1839" s="2">
        <v>112213</v>
      </c>
      <c r="C1839" s="2" t="s">
        <v>4345</v>
      </c>
      <c r="D1839" s="14" t="s">
        <v>1828</v>
      </c>
      <c r="E1839" s="14">
        <v>0.95278479999999977</v>
      </c>
      <c r="F1839" s="14">
        <v>0</v>
      </c>
      <c r="G1839" s="14">
        <v>0.95278479999999977</v>
      </c>
      <c r="H1839" s="16">
        <v>117.54483429999999</v>
      </c>
      <c r="I1839" s="16">
        <v>72.4073724</v>
      </c>
      <c r="J1839" s="3" t="s">
        <v>5011</v>
      </c>
      <c r="K1839" s="16">
        <v>1205.5876575863001</v>
      </c>
      <c r="L1839" s="16">
        <v>161.90095779999999</v>
      </c>
      <c r="M1839" s="16">
        <f t="shared" si="56"/>
        <v>1.3773549366430984</v>
      </c>
    </row>
    <row r="1840" spans="1:13" x14ac:dyDescent="0.25">
      <c r="A1840" s="2">
        <f t="shared" si="57"/>
        <v>1835</v>
      </c>
      <c r="B1840" s="2">
        <v>112270</v>
      </c>
      <c r="C1840" s="2" t="s">
        <v>4346</v>
      </c>
      <c r="D1840" s="14" t="s">
        <v>1829</v>
      </c>
      <c r="E1840" s="14">
        <v>0</v>
      </c>
      <c r="F1840" s="14">
        <v>0</v>
      </c>
      <c r="G1840" s="14">
        <v>0</v>
      </c>
      <c r="H1840" s="16">
        <v>0</v>
      </c>
      <c r="I1840" s="16">
        <v>0</v>
      </c>
      <c r="J1840" s="3" t="s">
        <v>5011</v>
      </c>
      <c r="K1840" s="16">
        <v>0</v>
      </c>
      <c r="L1840" s="16">
        <v>0</v>
      </c>
      <c r="M1840" s="16">
        <v>0</v>
      </c>
    </row>
    <row r="1841" spans="1:13" x14ac:dyDescent="0.25">
      <c r="A1841" s="2">
        <f t="shared" si="57"/>
        <v>1836</v>
      </c>
      <c r="B1841" s="2">
        <v>112272</v>
      </c>
      <c r="C1841" s="2" t="s">
        <v>4347</v>
      </c>
      <c r="D1841" s="14" t="s">
        <v>1830</v>
      </c>
      <c r="E1841" s="14">
        <v>1.7021499999999998E-2</v>
      </c>
      <c r="F1841" s="14">
        <v>0</v>
      </c>
      <c r="G1841" s="14">
        <v>1.7021499999999998E-2</v>
      </c>
      <c r="H1841" s="16">
        <v>4.7397629999999999</v>
      </c>
      <c r="I1841" s="16">
        <v>4.7397629999999999</v>
      </c>
      <c r="J1841" s="3" t="s">
        <v>5011</v>
      </c>
      <c r="K1841" s="16">
        <v>22.4082599762</v>
      </c>
      <c r="L1841" s="16">
        <v>5.9361807999999998</v>
      </c>
      <c r="M1841" s="16">
        <f t="shared" si="56"/>
        <v>1.2524214396373827</v>
      </c>
    </row>
    <row r="1842" spans="1:13" x14ac:dyDescent="0.25">
      <c r="A1842" s="2">
        <f t="shared" si="57"/>
        <v>1837</v>
      </c>
      <c r="B1842" s="2">
        <v>112333</v>
      </c>
      <c r="C1842" s="2" t="s">
        <v>4348</v>
      </c>
      <c r="D1842" s="14" t="s">
        <v>1831</v>
      </c>
      <c r="E1842" s="14">
        <v>26.202352999999999</v>
      </c>
      <c r="F1842" s="14">
        <v>0</v>
      </c>
      <c r="G1842" s="14">
        <v>26.202352999999999</v>
      </c>
      <c r="H1842" s="16">
        <v>1522.8489929</v>
      </c>
      <c r="I1842" s="16">
        <v>1015.1446695999999</v>
      </c>
      <c r="J1842" s="3" t="s">
        <v>5011</v>
      </c>
      <c r="K1842" s="16">
        <v>24803.568200371901</v>
      </c>
      <c r="L1842" s="16">
        <v>3099.3885018999999</v>
      </c>
      <c r="M1842" s="16">
        <f t="shared" si="56"/>
        <v>2.0352566251482069</v>
      </c>
    </row>
    <row r="1843" spans="1:13" x14ac:dyDescent="0.25">
      <c r="A1843" s="2">
        <f t="shared" si="57"/>
        <v>1838</v>
      </c>
      <c r="B1843" s="2">
        <v>112337</v>
      </c>
      <c r="C1843" s="2" t="s">
        <v>4349</v>
      </c>
      <c r="D1843" s="14" t="s">
        <v>1832</v>
      </c>
      <c r="E1843" s="14">
        <v>25.034630099999998</v>
      </c>
      <c r="F1843" s="14">
        <v>0</v>
      </c>
      <c r="G1843" s="14">
        <v>25.034630099999998</v>
      </c>
      <c r="H1843" s="16">
        <v>1309.7579078000001</v>
      </c>
      <c r="I1843" s="16">
        <v>652.31995289999998</v>
      </c>
      <c r="J1843" s="3" t="s">
        <v>5011</v>
      </c>
      <c r="K1843" s="16">
        <v>20606.419668776896</v>
      </c>
      <c r="L1843" s="16">
        <v>2573.2174657</v>
      </c>
      <c r="M1843" s="16">
        <f t="shared" si="56"/>
        <v>1.9646512155992495</v>
      </c>
    </row>
    <row r="1844" spans="1:13" x14ac:dyDescent="0.25">
      <c r="A1844" s="2">
        <f t="shared" si="57"/>
        <v>1839</v>
      </c>
      <c r="B1844" s="2">
        <v>112379</v>
      </c>
      <c r="C1844" s="2" t="s">
        <v>4350</v>
      </c>
      <c r="D1844" s="14" t="s">
        <v>1833</v>
      </c>
      <c r="E1844" s="14">
        <v>9.045220000000001E-2</v>
      </c>
      <c r="F1844" s="14">
        <v>0</v>
      </c>
      <c r="G1844" s="14">
        <v>9.045220000000001E-2</v>
      </c>
      <c r="H1844" s="16">
        <v>15.274236999999999</v>
      </c>
      <c r="I1844" s="16">
        <v>15.274236999999999</v>
      </c>
      <c r="J1844" s="3" t="s">
        <v>5011</v>
      </c>
      <c r="K1844" s="16">
        <v>98.822002079300006</v>
      </c>
      <c r="L1844" s="16">
        <v>20.318309899999999</v>
      </c>
      <c r="M1844" s="16">
        <f t="shared" si="56"/>
        <v>1.3302340339487988</v>
      </c>
    </row>
    <row r="1845" spans="1:13" x14ac:dyDescent="0.25">
      <c r="A1845" s="2">
        <f t="shared" si="57"/>
        <v>1840</v>
      </c>
      <c r="B1845" s="2">
        <v>112380</v>
      </c>
      <c r="C1845" s="2" t="s">
        <v>4351</v>
      </c>
      <c r="D1845" s="14" t="s">
        <v>1834</v>
      </c>
      <c r="E1845" s="14">
        <v>5.2958999999999992E-3</v>
      </c>
      <c r="F1845" s="14">
        <v>0</v>
      </c>
      <c r="G1845" s="14">
        <v>5.2958999999999992E-3</v>
      </c>
      <c r="H1845" s="16">
        <v>4.4597777000000001</v>
      </c>
      <c r="I1845" s="16">
        <v>4.4597777000000001</v>
      </c>
      <c r="J1845" s="3" t="s">
        <v>5011</v>
      </c>
      <c r="K1845" s="16">
        <v>27.055634187799999</v>
      </c>
      <c r="L1845" s="16">
        <v>6.1654644999999997</v>
      </c>
      <c r="M1845" s="16">
        <f t="shared" si="56"/>
        <v>1.3824600495221993</v>
      </c>
    </row>
    <row r="1846" spans="1:13" x14ac:dyDescent="0.25">
      <c r="A1846" s="2">
        <f t="shared" si="57"/>
        <v>1841</v>
      </c>
      <c r="B1846" s="2">
        <v>112475</v>
      </c>
      <c r="C1846" s="2" t="s">
        <v>4352</v>
      </c>
      <c r="D1846" s="14" t="s">
        <v>1835</v>
      </c>
      <c r="E1846" s="14">
        <v>0</v>
      </c>
      <c r="F1846" s="14">
        <v>0</v>
      </c>
      <c r="G1846" s="14">
        <v>0</v>
      </c>
      <c r="H1846" s="16">
        <v>0</v>
      </c>
      <c r="I1846" s="16">
        <v>0</v>
      </c>
      <c r="J1846" s="3" t="s">
        <v>5011</v>
      </c>
      <c r="K1846" s="16">
        <v>0</v>
      </c>
      <c r="L1846" s="16">
        <v>0</v>
      </c>
      <c r="M1846" s="16">
        <v>0</v>
      </c>
    </row>
    <row r="1847" spans="1:13" x14ac:dyDescent="0.25">
      <c r="A1847" s="2">
        <f t="shared" si="57"/>
        <v>1842</v>
      </c>
      <c r="B1847" s="2">
        <v>112553</v>
      </c>
      <c r="C1847" s="2" t="s">
        <v>4353</v>
      </c>
      <c r="D1847" s="14" t="s">
        <v>1836</v>
      </c>
      <c r="E1847" s="14">
        <v>7.2563500000000003E-2</v>
      </c>
      <c r="F1847" s="14">
        <v>0</v>
      </c>
      <c r="G1847" s="14">
        <v>7.2563500000000003E-2</v>
      </c>
      <c r="H1847" s="16">
        <v>147.7001759</v>
      </c>
      <c r="I1847" s="16">
        <v>127.2766369</v>
      </c>
      <c r="J1847" s="3" t="s">
        <v>5011</v>
      </c>
      <c r="K1847" s="16">
        <v>299.25941766529996</v>
      </c>
      <c r="L1847" s="16">
        <v>130.91368550000001</v>
      </c>
      <c r="M1847" s="16">
        <f t="shared" si="56"/>
        <v>0.88634752600859978</v>
      </c>
    </row>
    <row r="1848" spans="1:13" x14ac:dyDescent="0.25">
      <c r="A1848" s="2">
        <f t="shared" si="57"/>
        <v>1843</v>
      </c>
      <c r="B1848" s="2">
        <v>112583</v>
      </c>
      <c r="C1848" s="2" t="s">
        <v>4354</v>
      </c>
      <c r="D1848" s="14" t="s">
        <v>1837</v>
      </c>
      <c r="E1848" s="14">
        <v>3.2537999999999998E-3</v>
      </c>
      <c r="F1848" s="14">
        <v>0</v>
      </c>
      <c r="G1848" s="14">
        <v>3.2537999999999998E-3</v>
      </c>
      <c r="H1848" s="16">
        <v>0.79996</v>
      </c>
      <c r="I1848" s="16">
        <v>0.79996</v>
      </c>
      <c r="J1848" s="3" t="s">
        <v>5011</v>
      </c>
      <c r="K1848" s="16">
        <v>6.7504531853999996</v>
      </c>
      <c r="L1848" s="16">
        <v>1.0247001</v>
      </c>
      <c r="M1848" s="16">
        <f t="shared" si="56"/>
        <v>1.2809391719585979</v>
      </c>
    </row>
    <row r="1849" spans="1:13" x14ac:dyDescent="0.25">
      <c r="A1849" s="2">
        <f t="shared" si="57"/>
        <v>1844</v>
      </c>
      <c r="B1849" s="2">
        <v>112705</v>
      </c>
      <c r="C1849" s="2" t="s">
        <v>4355</v>
      </c>
      <c r="D1849" s="14" t="s">
        <v>1838</v>
      </c>
      <c r="E1849" s="14">
        <v>0</v>
      </c>
      <c r="F1849" s="14">
        <v>0</v>
      </c>
      <c r="G1849" s="14">
        <v>0</v>
      </c>
      <c r="H1849" s="16">
        <v>0</v>
      </c>
      <c r="I1849" s="16">
        <v>0</v>
      </c>
      <c r="J1849" s="3" t="s">
        <v>5011</v>
      </c>
      <c r="K1849" s="16">
        <v>0</v>
      </c>
      <c r="L1849" s="16">
        <v>0</v>
      </c>
      <c r="M1849" s="16">
        <v>0</v>
      </c>
    </row>
    <row r="1850" spans="1:13" x14ac:dyDescent="0.25">
      <c r="A1850" s="2">
        <f t="shared" si="57"/>
        <v>1845</v>
      </c>
      <c r="B1850" s="2">
        <v>112714</v>
      </c>
      <c r="C1850" s="2" t="s">
        <v>4356</v>
      </c>
      <c r="D1850" s="14" t="s">
        <v>1839</v>
      </c>
      <c r="E1850" s="14">
        <v>0</v>
      </c>
      <c r="F1850" s="14">
        <v>0</v>
      </c>
      <c r="G1850" s="14">
        <v>0</v>
      </c>
      <c r="H1850" s="16">
        <v>0</v>
      </c>
      <c r="I1850" s="16">
        <v>0</v>
      </c>
      <c r="J1850" s="3" t="s">
        <v>5011</v>
      </c>
      <c r="K1850" s="16">
        <v>0</v>
      </c>
      <c r="L1850" s="16">
        <v>0</v>
      </c>
      <c r="M1850" s="16">
        <v>0</v>
      </c>
    </row>
    <row r="1851" spans="1:13" x14ac:dyDescent="0.25">
      <c r="A1851" s="2">
        <f t="shared" si="57"/>
        <v>1846</v>
      </c>
      <c r="B1851" s="2">
        <v>112717</v>
      </c>
      <c r="C1851" s="2" t="s">
        <v>4357</v>
      </c>
      <c r="D1851" s="14" t="s">
        <v>1840</v>
      </c>
      <c r="E1851" s="14">
        <v>10.7886025</v>
      </c>
      <c r="F1851" s="14">
        <v>0</v>
      </c>
      <c r="G1851" s="14">
        <v>10.7886025</v>
      </c>
      <c r="H1851" s="16">
        <v>876.22317439999995</v>
      </c>
      <c r="I1851" s="16">
        <v>500.48882220000002</v>
      </c>
      <c r="J1851" s="3" t="s">
        <v>5011</v>
      </c>
      <c r="K1851" s="16">
        <v>11013.462957496498</v>
      </c>
      <c r="L1851" s="16">
        <v>1401.9112016999998</v>
      </c>
      <c r="M1851" s="16">
        <f t="shared" si="56"/>
        <v>1.5999476419463208</v>
      </c>
    </row>
    <row r="1852" spans="1:13" x14ac:dyDescent="0.25">
      <c r="A1852" s="2">
        <f t="shared" si="57"/>
        <v>1847</v>
      </c>
      <c r="B1852" s="2">
        <v>112744</v>
      </c>
      <c r="C1852" s="2" t="s">
        <v>4358</v>
      </c>
      <c r="D1852" s="14" t="s">
        <v>1841</v>
      </c>
      <c r="E1852" s="14">
        <v>4.8625699999999987E-2</v>
      </c>
      <c r="F1852" s="14">
        <v>0</v>
      </c>
      <c r="G1852" s="14">
        <v>4.8625699999999987E-2</v>
      </c>
      <c r="H1852" s="16">
        <v>74.421278999999998</v>
      </c>
      <c r="I1852" s="16">
        <v>66.606623100000007</v>
      </c>
      <c r="J1852" s="3" t="s">
        <v>5011</v>
      </c>
      <c r="K1852" s="16">
        <v>155.36915496539999</v>
      </c>
      <c r="L1852" s="16">
        <v>80.657315300000008</v>
      </c>
      <c r="M1852" s="16">
        <f t="shared" si="56"/>
        <v>1.0837937265227597</v>
      </c>
    </row>
    <row r="1853" spans="1:13" x14ac:dyDescent="0.25">
      <c r="A1853" s="2">
        <f t="shared" si="57"/>
        <v>1848</v>
      </c>
      <c r="B1853" s="2">
        <v>112748</v>
      </c>
      <c r="C1853" s="2" t="s">
        <v>4359</v>
      </c>
      <c r="D1853" s="14" t="s">
        <v>1842</v>
      </c>
      <c r="E1853" s="14">
        <v>31.792469699999998</v>
      </c>
      <c r="F1853" s="14">
        <v>0</v>
      </c>
      <c r="G1853" s="14">
        <v>31.792469699999998</v>
      </c>
      <c r="H1853" s="16">
        <v>2707.0931741000004</v>
      </c>
      <c r="I1853" s="16">
        <v>1756.9162913000002</v>
      </c>
      <c r="J1853" s="3" t="s">
        <v>5011</v>
      </c>
      <c r="K1853" s="16">
        <v>25674.842230769904</v>
      </c>
      <c r="L1853" s="16">
        <v>3333.1461102999997</v>
      </c>
      <c r="M1853" s="16">
        <f t="shared" si="56"/>
        <v>1.2312639040982165</v>
      </c>
    </row>
    <row r="1854" spans="1:13" x14ac:dyDescent="0.25">
      <c r="A1854" s="2">
        <f t="shared" si="57"/>
        <v>1849</v>
      </c>
      <c r="B1854" s="2">
        <v>112749</v>
      </c>
      <c r="C1854" s="2" t="s">
        <v>4360</v>
      </c>
      <c r="D1854" s="14" t="s">
        <v>1843</v>
      </c>
      <c r="E1854" s="14">
        <v>0</v>
      </c>
      <c r="F1854" s="14">
        <v>0</v>
      </c>
      <c r="G1854" s="14">
        <v>0</v>
      </c>
      <c r="H1854" s="16">
        <v>0</v>
      </c>
      <c r="I1854" s="16">
        <v>0</v>
      </c>
      <c r="J1854" s="3" t="s">
        <v>5011</v>
      </c>
      <c r="K1854" s="16">
        <v>0</v>
      </c>
      <c r="L1854" s="16">
        <v>0</v>
      </c>
      <c r="M1854" s="16">
        <v>0</v>
      </c>
    </row>
    <row r="1855" spans="1:13" x14ac:dyDescent="0.25">
      <c r="A1855" s="2">
        <f t="shared" si="57"/>
        <v>1850</v>
      </c>
      <c r="B1855" s="2">
        <v>112853</v>
      </c>
      <c r="C1855" s="2" t="s">
        <v>4361</v>
      </c>
      <c r="D1855" s="14" t="s">
        <v>1844</v>
      </c>
      <c r="E1855" s="14">
        <v>2.0985000000000001E-3</v>
      </c>
      <c r="F1855" s="14">
        <v>0</v>
      </c>
      <c r="G1855" s="14">
        <v>2.0985000000000001E-3</v>
      </c>
      <c r="H1855" s="16">
        <v>1.7049148999999999</v>
      </c>
      <c r="I1855" s="16">
        <v>1.7049148999999999</v>
      </c>
      <c r="J1855" s="3" t="s">
        <v>5011</v>
      </c>
      <c r="K1855" s="16">
        <v>6.0443511046999987</v>
      </c>
      <c r="L1855" s="16">
        <v>1.8800515</v>
      </c>
      <c r="M1855" s="16">
        <f t="shared" si="56"/>
        <v>1.1027245406794204</v>
      </c>
    </row>
    <row r="1856" spans="1:13" x14ac:dyDescent="0.25">
      <c r="A1856" s="2">
        <f t="shared" si="57"/>
        <v>1851</v>
      </c>
      <c r="B1856" s="2">
        <v>112933</v>
      </c>
      <c r="C1856" s="2" t="s">
        <v>4362</v>
      </c>
      <c r="D1856" s="14" t="s">
        <v>1845</v>
      </c>
      <c r="E1856" s="14">
        <v>31.890167900000002</v>
      </c>
      <c r="F1856" s="14">
        <v>0</v>
      </c>
      <c r="G1856" s="14">
        <v>31.890167900000002</v>
      </c>
      <c r="H1856" s="16">
        <v>727.71103419999997</v>
      </c>
      <c r="I1856" s="16">
        <v>507.50669689999995</v>
      </c>
      <c r="J1856" s="3" t="s">
        <v>5011</v>
      </c>
      <c r="K1856" s="16">
        <v>22449.206441571499</v>
      </c>
      <c r="L1856" s="16">
        <v>2498.248333</v>
      </c>
      <c r="M1856" s="16">
        <f t="shared" si="56"/>
        <v>3.4330224712703692</v>
      </c>
    </row>
    <row r="1857" spans="1:13" x14ac:dyDescent="0.25">
      <c r="A1857" s="2">
        <f t="shared" si="57"/>
        <v>1852</v>
      </c>
      <c r="B1857" s="2">
        <v>112987</v>
      </c>
      <c r="C1857" s="2" t="s">
        <v>4363</v>
      </c>
      <c r="D1857" s="14" t="s">
        <v>1846</v>
      </c>
      <c r="E1857" s="14">
        <v>0</v>
      </c>
      <c r="F1857" s="14">
        <v>0</v>
      </c>
      <c r="G1857" s="14">
        <v>0</v>
      </c>
      <c r="H1857" s="16">
        <v>0</v>
      </c>
      <c r="I1857" s="16">
        <v>0</v>
      </c>
      <c r="J1857" s="3" t="s">
        <v>5011</v>
      </c>
      <c r="K1857" s="16">
        <v>0</v>
      </c>
      <c r="L1857" s="16">
        <v>0</v>
      </c>
      <c r="M1857" s="16">
        <v>0</v>
      </c>
    </row>
    <row r="1858" spans="1:13" x14ac:dyDescent="0.25">
      <c r="A1858" s="2">
        <f t="shared" si="57"/>
        <v>1853</v>
      </c>
      <c r="B1858" s="2">
        <v>112989</v>
      </c>
      <c r="C1858" s="2" t="s">
        <v>4364</v>
      </c>
      <c r="D1858" s="14" t="s">
        <v>1847</v>
      </c>
      <c r="E1858" s="14">
        <v>0.16694759999999997</v>
      </c>
      <c r="F1858" s="14">
        <v>0</v>
      </c>
      <c r="G1858" s="14">
        <v>0.16694759999999997</v>
      </c>
      <c r="H1858" s="16">
        <v>6.9686531999999994</v>
      </c>
      <c r="I1858" s="16">
        <v>5.9486531999999999</v>
      </c>
      <c r="J1858" s="3" t="s">
        <v>5011</v>
      </c>
      <c r="K1858" s="16">
        <v>176.62342186239999</v>
      </c>
      <c r="L1858" s="16">
        <v>23.087887500000001</v>
      </c>
      <c r="M1858" s="16">
        <f t="shared" si="56"/>
        <v>3.3131061106613831</v>
      </c>
    </row>
    <row r="1859" spans="1:13" x14ac:dyDescent="0.25">
      <c r="A1859" s="2">
        <f t="shared" si="57"/>
        <v>1854</v>
      </c>
      <c r="B1859" s="2">
        <v>113058</v>
      </c>
      <c r="C1859" s="2" t="s">
        <v>4365</v>
      </c>
      <c r="D1859" s="14" t="s">
        <v>1848</v>
      </c>
      <c r="E1859" s="14">
        <v>30.418398600000003</v>
      </c>
      <c r="F1859" s="14">
        <v>0</v>
      </c>
      <c r="G1859" s="14">
        <v>30.418398600000003</v>
      </c>
      <c r="H1859" s="16">
        <v>2442.6477273</v>
      </c>
      <c r="I1859" s="16">
        <v>1870.169155</v>
      </c>
      <c r="J1859" s="3" t="s">
        <v>5011</v>
      </c>
      <c r="K1859" s="16">
        <v>26704.537125801711</v>
      </c>
      <c r="L1859" s="16">
        <v>3970.3997396</v>
      </c>
      <c r="M1859" s="16">
        <f t="shared" si="56"/>
        <v>1.6254491776383624</v>
      </c>
    </row>
    <row r="1860" spans="1:13" x14ac:dyDescent="0.25">
      <c r="A1860" s="2">
        <f t="shared" si="57"/>
        <v>1855</v>
      </c>
      <c r="B1860" s="2">
        <v>113059</v>
      </c>
      <c r="C1860" s="2" t="s">
        <v>4366</v>
      </c>
      <c r="D1860" s="14" t="s">
        <v>1849</v>
      </c>
      <c r="E1860" s="14">
        <v>0</v>
      </c>
      <c r="F1860" s="14">
        <v>0</v>
      </c>
      <c r="G1860" s="14">
        <v>0</v>
      </c>
      <c r="H1860" s="16">
        <v>0</v>
      </c>
      <c r="I1860" s="16">
        <v>-1.1991799000000001</v>
      </c>
      <c r="J1860" s="3" t="s">
        <v>5011</v>
      </c>
      <c r="K1860" s="16">
        <v>11.570624198600001</v>
      </c>
      <c r="L1860" s="16">
        <v>2.5752257000000003</v>
      </c>
      <c r="M1860" s="16">
        <v>0</v>
      </c>
    </row>
    <row r="1861" spans="1:13" x14ac:dyDescent="0.25">
      <c r="A1861" s="2">
        <f t="shared" si="57"/>
        <v>1856</v>
      </c>
      <c r="B1861" s="2">
        <v>113074</v>
      </c>
      <c r="C1861" s="2" t="s">
        <v>4367</v>
      </c>
      <c r="D1861" s="14" t="s">
        <v>1850</v>
      </c>
      <c r="E1861" s="14">
        <v>1.6791E-3</v>
      </c>
      <c r="F1861" s="14">
        <v>0</v>
      </c>
      <c r="G1861" s="14">
        <v>1.6791E-3</v>
      </c>
      <c r="H1861" s="16">
        <v>0.35998199999999997</v>
      </c>
      <c r="I1861" s="16">
        <v>0.35998199999999997</v>
      </c>
      <c r="J1861" s="3" t="s">
        <v>5011</v>
      </c>
      <c r="K1861" s="16">
        <v>33.9327065799</v>
      </c>
      <c r="L1861" s="16">
        <v>3.6341313</v>
      </c>
      <c r="M1861" s="16">
        <f t="shared" si="56"/>
        <v>10.095313932363286</v>
      </c>
    </row>
    <row r="1862" spans="1:13" x14ac:dyDescent="0.25">
      <c r="A1862" s="2">
        <f t="shared" si="57"/>
        <v>1857</v>
      </c>
      <c r="B1862" s="2">
        <v>113082</v>
      </c>
      <c r="C1862" s="2" t="s">
        <v>4368</v>
      </c>
      <c r="D1862" s="14" t="s">
        <v>1851</v>
      </c>
      <c r="E1862" s="14">
        <v>48.604516399999994</v>
      </c>
      <c r="F1862" s="14">
        <v>0</v>
      </c>
      <c r="G1862" s="14">
        <v>48.604516399999994</v>
      </c>
      <c r="H1862" s="16">
        <v>2253.4969188</v>
      </c>
      <c r="I1862" s="16">
        <v>1819.2330365999999</v>
      </c>
      <c r="J1862" s="3" t="s">
        <v>5011</v>
      </c>
      <c r="K1862" s="16">
        <v>47984.448214989199</v>
      </c>
      <c r="L1862" s="16">
        <v>5320.6674677999999</v>
      </c>
      <c r="M1862" s="16">
        <f t="shared" si="56"/>
        <v>2.3610715521338657</v>
      </c>
    </row>
    <row r="1863" spans="1:13" x14ac:dyDescent="0.25">
      <c r="A1863" s="2">
        <f t="shared" si="57"/>
        <v>1858</v>
      </c>
      <c r="B1863" s="2">
        <v>113116</v>
      </c>
      <c r="C1863" s="2" t="s">
        <v>4369</v>
      </c>
      <c r="D1863" s="14" t="s">
        <v>1852</v>
      </c>
      <c r="E1863" s="14">
        <v>0.2796979</v>
      </c>
      <c r="F1863" s="14">
        <v>0</v>
      </c>
      <c r="G1863" s="14">
        <v>0.2796979</v>
      </c>
      <c r="H1863" s="16">
        <v>24.998750000000001</v>
      </c>
      <c r="I1863" s="16">
        <v>24.998750000000001</v>
      </c>
      <c r="J1863" s="3" t="s">
        <v>5011</v>
      </c>
      <c r="K1863" s="16">
        <v>256.89453546050004</v>
      </c>
      <c r="L1863" s="16">
        <v>33.771971600000001</v>
      </c>
      <c r="M1863" s="16">
        <f t="shared" ref="M1863:M1926" si="58">L1863/H1863</f>
        <v>1.350946411320566</v>
      </c>
    </row>
    <row r="1864" spans="1:13" x14ac:dyDescent="0.25">
      <c r="A1864" s="2">
        <f t="shared" ref="A1864:A1927" si="59">A1863+1</f>
        <v>1859</v>
      </c>
      <c r="B1864" s="2">
        <v>113345</v>
      </c>
      <c r="C1864" s="2" t="s">
        <v>4370</v>
      </c>
      <c r="D1864" s="14" t="s">
        <v>1853</v>
      </c>
      <c r="E1864" s="14">
        <v>0</v>
      </c>
      <c r="F1864" s="14">
        <v>0</v>
      </c>
      <c r="G1864" s="14">
        <v>0</v>
      </c>
      <c r="H1864" s="16">
        <v>0</v>
      </c>
      <c r="I1864" s="16">
        <v>0</v>
      </c>
      <c r="J1864" s="3" t="s">
        <v>5011</v>
      </c>
      <c r="K1864" s="16">
        <v>0</v>
      </c>
      <c r="L1864" s="16">
        <v>0</v>
      </c>
      <c r="M1864" s="16">
        <v>0</v>
      </c>
    </row>
    <row r="1865" spans="1:13" x14ac:dyDescent="0.25">
      <c r="A1865" s="2">
        <f t="shared" si="59"/>
        <v>1860</v>
      </c>
      <c r="B1865" s="2">
        <v>113813</v>
      </c>
      <c r="C1865" s="2" t="s">
        <v>4371</v>
      </c>
      <c r="D1865" s="14" t="s">
        <v>1854</v>
      </c>
      <c r="E1865" s="14">
        <v>0</v>
      </c>
      <c r="F1865" s="14">
        <v>0</v>
      </c>
      <c r="G1865" s="14">
        <v>0</v>
      </c>
      <c r="H1865" s="16">
        <v>0</v>
      </c>
      <c r="I1865" s="16">
        <v>0</v>
      </c>
      <c r="J1865" s="3" t="s">
        <v>5011</v>
      </c>
      <c r="K1865" s="16">
        <v>0</v>
      </c>
      <c r="L1865" s="16">
        <v>0</v>
      </c>
      <c r="M1865" s="16">
        <v>0</v>
      </c>
    </row>
    <row r="1866" spans="1:13" x14ac:dyDescent="0.25">
      <c r="A1866" s="2">
        <f t="shared" si="59"/>
        <v>1861</v>
      </c>
      <c r="B1866" s="2">
        <v>113880</v>
      </c>
      <c r="C1866" s="2" t="s">
        <v>4372</v>
      </c>
      <c r="D1866" s="14" t="s">
        <v>1855</v>
      </c>
      <c r="E1866" s="14">
        <v>0</v>
      </c>
      <c r="F1866" s="14">
        <v>0</v>
      </c>
      <c r="G1866" s="14">
        <v>0</v>
      </c>
      <c r="H1866" s="16">
        <v>8.4995799999999996E-2</v>
      </c>
      <c r="I1866" s="16">
        <v>8.4995799999999996E-2</v>
      </c>
      <c r="J1866" s="3" t="s">
        <v>5011</v>
      </c>
      <c r="K1866" s="16">
        <v>0.49001816100000001</v>
      </c>
      <c r="L1866" s="16">
        <v>0.1043022</v>
      </c>
      <c r="M1866" s="16">
        <f t="shared" si="58"/>
        <v>1.2271453412992173</v>
      </c>
    </row>
    <row r="1867" spans="1:13" x14ac:dyDescent="0.25">
      <c r="A1867" s="2">
        <f t="shared" si="59"/>
        <v>1862</v>
      </c>
      <c r="B1867" s="2">
        <v>113944</v>
      </c>
      <c r="C1867" s="2" t="s">
        <v>4373</v>
      </c>
      <c r="D1867" s="14" t="s">
        <v>1856</v>
      </c>
      <c r="E1867" s="14">
        <v>1.3370265000000003</v>
      </c>
      <c r="F1867" s="14">
        <v>0</v>
      </c>
      <c r="G1867" s="14">
        <v>1.3370265000000003</v>
      </c>
      <c r="H1867" s="16">
        <v>125.89826810000001</v>
      </c>
      <c r="I1867" s="16">
        <v>79.028018299999999</v>
      </c>
      <c r="J1867" s="3" t="s">
        <v>5011</v>
      </c>
      <c r="K1867" s="16">
        <v>1454.6220341049</v>
      </c>
      <c r="L1867" s="16">
        <v>187.44853749999999</v>
      </c>
      <c r="M1867" s="16">
        <f t="shared" si="58"/>
        <v>1.4888889285681919</v>
      </c>
    </row>
    <row r="1868" spans="1:13" x14ac:dyDescent="0.25">
      <c r="A1868" s="2">
        <f t="shared" si="59"/>
        <v>1863</v>
      </c>
      <c r="B1868" s="2">
        <v>113946</v>
      </c>
      <c r="C1868" s="2" t="s">
        <v>4374</v>
      </c>
      <c r="D1868" s="14" t="s">
        <v>1857</v>
      </c>
      <c r="E1868" s="14">
        <v>0</v>
      </c>
      <c r="F1868" s="14">
        <v>0</v>
      </c>
      <c r="G1868" s="14">
        <v>0</v>
      </c>
      <c r="H1868" s="16">
        <v>0</v>
      </c>
      <c r="I1868" s="16">
        <v>0</v>
      </c>
      <c r="J1868" s="3" t="s">
        <v>5011</v>
      </c>
      <c r="K1868" s="16">
        <v>0</v>
      </c>
      <c r="L1868" s="16">
        <v>0</v>
      </c>
      <c r="M1868" s="16">
        <v>0</v>
      </c>
    </row>
    <row r="1869" spans="1:13" x14ac:dyDescent="0.25">
      <c r="A1869" s="2">
        <f t="shared" si="59"/>
        <v>1864</v>
      </c>
      <c r="B1869" s="2">
        <v>113948</v>
      </c>
      <c r="C1869" s="2" t="s">
        <v>4375</v>
      </c>
      <c r="D1869" s="14" t="s">
        <v>1858</v>
      </c>
      <c r="E1869" s="14">
        <v>6.3151058999999998</v>
      </c>
      <c r="F1869" s="14">
        <v>0</v>
      </c>
      <c r="G1869" s="14">
        <v>6.3151058999999998</v>
      </c>
      <c r="H1869" s="16">
        <v>259.20170339999999</v>
      </c>
      <c r="I1869" s="16">
        <v>127.94779439999999</v>
      </c>
      <c r="J1869" s="3" t="s">
        <v>5011</v>
      </c>
      <c r="K1869" s="16">
        <v>5152.5984348568008</v>
      </c>
      <c r="L1869" s="16">
        <v>588.85173180000004</v>
      </c>
      <c r="M1869" s="16">
        <f t="shared" si="58"/>
        <v>2.2717895911790529</v>
      </c>
    </row>
    <row r="1870" spans="1:13" x14ac:dyDescent="0.25">
      <c r="A1870" s="2">
        <f t="shared" si="59"/>
        <v>1865</v>
      </c>
      <c r="B1870" s="2">
        <v>113973</v>
      </c>
      <c r="C1870" s="2" t="s">
        <v>4376</v>
      </c>
      <c r="D1870" s="14" t="s">
        <v>1859</v>
      </c>
      <c r="E1870" s="14">
        <v>2.4246041999999997</v>
      </c>
      <c r="F1870" s="14">
        <v>0</v>
      </c>
      <c r="G1870" s="14">
        <v>2.4246041999999997</v>
      </c>
      <c r="H1870" s="16">
        <v>73.611399699999993</v>
      </c>
      <c r="I1870" s="16">
        <v>58.391957400000003</v>
      </c>
      <c r="J1870" s="3" t="s">
        <v>5011</v>
      </c>
      <c r="K1870" s="16">
        <v>2209.6114637055998</v>
      </c>
      <c r="L1870" s="16">
        <v>260.06895370000001</v>
      </c>
      <c r="M1870" s="16">
        <f t="shared" si="58"/>
        <v>3.5329983502541662</v>
      </c>
    </row>
    <row r="1871" spans="1:13" x14ac:dyDescent="0.25">
      <c r="A1871" s="2">
        <f t="shared" si="59"/>
        <v>1866</v>
      </c>
      <c r="B1871" s="2">
        <v>114121</v>
      </c>
      <c r="C1871" s="2" t="s">
        <v>4377</v>
      </c>
      <c r="D1871" s="14" t="s">
        <v>1860</v>
      </c>
      <c r="E1871" s="14">
        <v>4.1705999999999991E-3</v>
      </c>
      <c r="F1871" s="14">
        <v>0</v>
      </c>
      <c r="G1871" s="14">
        <v>4.1705999999999991E-3</v>
      </c>
      <c r="H1871" s="16">
        <v>2.7498624999999999</v>
      </c>
      <c r="I1871" s="16">
        <v>2.7498624999999999</v>
      </c>
      <c r="J1871" s="3" t="s">
        <v>5011</v>
      </c>
      <c r="K1871" s="16">
        <v>9.4811944093000005</v>
      </c>
      <c r="L1871" s="16">
        <v>3.0273933</v>
      </c>
      <c r="M1871" s="16">
        <f t="shared" si="58"/>
        <v>1.1009253371759498</v>
      </c>
    </row>
    <row r="1872" spans="1:13" x14ac:dyDescent="0.25">
      <c r="A1872" s="2">
        <f t="shared" si="59"/>
        <v>1867</v>
      </c>
      <c r="B1872" s="2">
        <v>114263</v>
      </c>
      <c r="C1872" s="2" t="s">
        <v>4378</v>
      </c>
      <c r="D1872" s="14" t="s">
        <v>1861</v>
      </c>
      <c r="E1872" s="14">
        <v>0</v>
      </c>
      <c r="F1872" s="14">
        <v>0</v>
      </c>
      <c r="G1872" s="14">
        <v>0</v>
      </c>
      <c r="H1872" s="16">
        <v>0</v>
      </c>
      <c r="I1872" s="16">
        <v>0</v>
      </c>
      <c r="J1872" s="3" t="s">
        <v>5011</v>
      </c>
      <c r="K1872" s="16">
        <v>0</v>
      </c>
      <c r="L1872" s="16">
        <v>0</v>
      </c>
      <c r="M1872" s="16">
        <v>0</v>
      </c>
    </row>
    <row r="1873" spans="1:13" x14ac:dyDescent="0.25">
      <c r="A1873" s="2">
        <f t="shared" si="59"/>
        <v>1868</v>
      </c>
      <c r="B1873" s="2">
        <v>114288</v>
      </c>
      <c r="C1873" s="2" t="s">
        <v>4379</v>
      </c>
      <c r="D1873" s="14" t="s">
        <v>1862</v>
      </c>
      <c r="E1873" s="14">
        <v>0</v>
      </c>
      <c r="F1873" s="14">
        <v>0</v>
      </c>
      <c r="G1873" s="14">
        <v>0</v>
      </c>
      <c r="H1873" s="16">
        <v>0</v>
      </c>
      <c r="I1873" s="16">
        <v>0</v>
      </c>
      <c r="J1873" s="3" t="s">
        <v>5011</v>
      </c>
      <c r="K1873" s="16">
        <v>0</v>
      </c>
      <c r="L1873" s="16">
        <v>0</v>
      </c>
      <c r="M1873" s="16">
        <v>0</v>
      </c>
    </row>
    <row r="1874" spans="1:13" x14ac:dyDescent="0.25">
      <c r="A1874" s="2">
        <f t="shared" si="59"/>
        <v>1869</v>
      </c>
      <c r="B1874" s="2">
        <v>114327</v>
      </c>
      <c r="C1874" s="2" t="s">
        <v>4380</v>
      </c>
      <c r="D1874" s="14" t="s">
        <v>1863</v>
      </c>
      <c r="E1874" s="14">
        <v>0</v>
      </c>
      <c r="F1874" s="14">
        <v>0</v>
      </c>
      <c r="G1874" s="14">
        <v>0</v>
      </c>
      <c r="H1874" s="16">
        <v>3.9997999999999999E-2</v>
      </c>
      <c r="I1874" s="16">
        <v>3.9997999999999999E-2</v>
      </c>
      <c r="J1874" s="3" t="s">
        <v>5011</v>
      </c>
      <c r="K1874" s="16">
        <v>9.0885000000000011E-3</v>
      </c>
      <c r="L1874" s="16">
        <v>4.0395199999999999E-2</v>
      </c>
      <c r="M1874" s="16">
        <f t="shared" si="58"/>
        <v>1.0099304965248264</v>
      </c>
    </row>
    <row r="1875" spans="1:13" x14ac:dyDescent="0.25">
      <c r="A1875" s="2">
        <f t="shared" si="59"/>
        <v>1870</v>
      </c>
      <c r="B1875" s="2">
        <v>114376</v>
      </c>
      <c r="C1875" s="2" t="s">
        <v>4381</v>
      </c>
      <c r="D1875" s="14" t="s">
        <v>1864</v>
      </c>
      <c r="E1875" s="14">
        <v>122.54410239999999</v>
      </c>
      <c r="F1875" s="14">
        <v>0</v>
      </c>
      <c r="G1875" s="14">
        <v>122.54410239999999</v>
      </c>
      <c r="H1875" s="16">
        <v>15943.717017000001</v>
      </c>
      <c r="I1875" s="16">
        <v>12519.111154</v>
      </c>
      <c r="J1875" s="3" t="s">
        <v>5011</v>
      </c>
      <c r="K1875" s="16">
        <v>127488.94197038755</v>
      </c>
      <c r="L1875" s="16">
        <v>21081.826576199997</v>
      </c>
      <c r="M1875" s="16">
        <f t="shared" si="58"/>
        <v>1.3222654763454145</v>
      </c>
    </row>
    <row r="1876" spans="1:13" x14ac:dyDescent="0.25">
      <c r="A1876" s="2">
        <f t="shared" si="59"/>
        <v>1871</v>
      </c>
      <c r="B1876" s="2">
        <v>114589</v>
      </c>
      <c r="C1876" s="2" t="s">
        <v>4382</v>
      </c>
      <c r="D1876" s="14" t="s">
        <v>1865</v>
      </c>
      <c r="E1876" s="14">
        <v>6.6967355999999993</v>
      </c>
      <c r="F1876" s="14">
        <v>0</v>
      </c>
      <c r="G1876" s="14">
        <v>6.6967355999999993</v>
      </c>
      <c r="H1876" s="16">
        <v>144.7427457</v>
      </c>
      <c r="I1876" s="16">
        <v>94.042809099999999</v>
      </c>
      <c r="J1876" s="3" t="s">
        <v>5011</v>
      </c>
      <c r="K1876" s="16">
        <v>5382.4760800937993</v>
      </c>
      <c r="L1876" s="16">
        <v>612.90808179999999</v>
      </c>
      <c r="M1876" s="16">
        <f t="shared" si="58"/>
        <v>4.2344649387150595</v>
      </c>
    </row>
    <row r="1877" spans="1:13" x14ac:dyDescent="0.25">
      <c r="A1877" s="2">
        <f t="shared" si="59"/>
        <v>1872</v>
      </c>
      <c r="B1877" s="2">
        <v>114611</v>
      </c>
      <c r="C1877" s="2" t="s">
        <v>4383</v>
      </c>
      <c r="D1877" s="14" t="s">
        <v>1866</v>
      </c>
      <c r="E1877" s="14">
        <v>3.9357373999999994</v>
      </c>
      <c r="F1877" s="14">
        <v>0</v>
      </c>
      <c r="G1877" s="14">
        <v>3.9357373999999994</v>
      </c>
      <c r="H1877" s="16">
        <v>197.53385879999999</v>
      </c>
      <c r="I1877" s="16">
        <v>181.5409507</v>
      </c>
      <c r="J1877" s="3" t="s">
        <v>5011</v>
      </c>
      <c r="K1877" s="16">
        <v>4117.2907274663012</v>
      </c>
      <c r="L1877" s="16">
        <v>479.65771159999997</v>
      </c>
      <c r="M1877" s="16">
        <f t="shared" si="58"/>
        <v>2.4282303525779145</v>
      </c>
    </row>
    <row r="1878" spans="1:13" x14ac:dyDescent="0.25">
      <c r="A1878" s="2">
        <f t="shared" si="59"/>
        <v>1873</v>
      </c>
      <c r="B1878" s="2">
        <v>114644</v>
      </c>
      <c r="C1878" s="2" t="s">
        <v>4384</v>
      </c>
      <c r="D1878" s="14" t="s">
        <v>1867</v>
      </c>
      <c r="E1878" s="14">
        <v>2.2498056000000002</v>
      </c>
      <c r="F1878" s="14">
        <v>0</v>
      </c>
      <c r="G1878" s="14">
        <v>2.2498056000000002</v>
      </c>
      <c r="H1878" s="16">
        <v>722.96984420000001</v>
      </c>
      <c r="I1878" s="16">
        <v>678.36241430000007</v>
      </c>
      <c r="J1878" s="3" t="s">
        <v>5011</v>
      </c>
      <c r="K1878" s="16">
        <v>3070.7886595463001</v>
      </c>
      <c r="L1878" s="16">
        <v>801.62130189999993</v>
      </c>
      <c r="M1878" s="16">
        <f t="shared" si="58"/>
        <v>1.1087894029481014</v>
      </c>
    </row>
    <row r="1879" spans="1:13" x14ac:dyDescent="0.25">
      <c r="A1879" s="2">
        <f t="shared" si="59"/>
        <v>1874</v>
      </c>
      <c r="B1879" s="2">
        <v>114679</v>
      </c>
      <c r="C1879" s="2" t="s">
        <v>4385</v>
      </c>
      <c r="D1879" s="14" t="s">
        <v>1868</v>
      </c>
      <c r="E1879" s="14">
        <v>3.3005005000000005</v>
      </c>
      <c r="F1879" s="14">
        <v>0</v>
      </c>
      <c r="G1879" s="14">
        <v>3.3005005000000005</v>
      </c>
      <c r="H1879" s="16">
        <v>338.34079320000001</v>
      </c>
      <c r="I1879" s="16">
        <v>177.46550189999996</v>
      </c>
      <c r="J1879" s="3" t="s">
        <v>5011</v>
      </c>
      <c r="K1879" s="16">
        <v>3110.6515310355999</v>
      </c>
      <c r="L1879" s="16">
        <v>404.27783689999995</v>
      </c>
      <c r="M1879" s="16">
        <f t="shared" si="58"/>
        <v>1.1948835169308811</v>
      </c>
    </row>
    <row r="1880" spans="1:13" x14ac:dyDescent="0.25">
      <c r="A1880" s="2">
        <f t="shared" si="59"/>
        <v>1875</v>
      </c>
      <c r="B1880" s="2">
        <v>114731</v>
      </c>
      <c r="C1880" s="2" t="s">
        <v>4386</v>
      </c>
      <c r="D1880" s="14" t="s">
        <v>1869</v>
      </c>
      <c r="E1880" s="14">
        <v>0</v>
      </c>
      <c r="F1880" s="14">
        <v>0</v>
      </c>
      <c r="G1880" s="14">
        <v>0</v>
      </c>
      <c r="H1880" s="16">
        <v>0</v>
      </c>
      <c r="I1880" s="16">
        <v>0</v>
      </c>
      <c r="J1880" s="3" t="s">
        <v>5011</v>
      </c>
      <c r="K1880" s="16">
        <v>0</v>
      </c>
      <c r="L1880" s="16">
        <v>0</v>
      </c>
      <c r="M1880" s="16">
        <v>0</v>
      </c>
    </row>
    <row r="1881" spans="1:13" x14ac:dyDescent="0.25">
      <c r="A1881" s="2">
        <f t="shared" si="59"/>
        <v>1876</v>
      </c>
      <c r="B1881" s="2">
        <v>114739</v>
      </c>
      <c r="C1881" s="2" t="s">
        <v>4387</v>
      </c>
      <c r="D1881" s="14" t="s">
        <v>1870</v>
      </c>
      <c r="E1881" s="14">
        <v>0</v>
      </c>
      <c r="F1881" s="14">
        <v>0</v>
      </c>
      <c r="G1881" s="14">
        <v>0</v>
      </c>
      <c r="H1881" s="16">
        <v>0</v>
      </c>
      <c r="I1881" s="16">
        <v>0</v>
      </c>
      <c r="J1881" s="3" t="s">
        <v>5011</v>
      </c>
      <c r="K1881" s="16">
        <v>0</v>
      </c>
      <c r="L1881" s="16">
        <v>0</v>
      </c>
      <c r="M1881" s="16">
        <v>0</v>
      </c>
    </row>
    <row r="1882" spans="1:13" x14ac:dyDescent="0.25">
      <c r="A1882" s="2">
        <f t="shared" si="59"/>
        <v>1877</v>
      </c>
      <c r="B1882" s="2">
        <v>114771</v>
      </c>
      <c r="C1882" s="2" t="s">
        <v>4388</v>
      </c>
      <c r="D1882" s="14" t="s">
        <v>1871</v>
      </c>
      <c r="E1882" s="14">
        <v>0.54852400000000001</v>
      </c>
      <c r="F1882" s="14">
        <v>0</v>
      </c>
      <c r="G1882" s="14">
        <v>0.54852400000000001</v>
      </c>
      <c r="H1882" s="16">
        <v>214.5216216</v>
      </c>
      <c r="I1882" s="16">
        <v>177.88927370000002</v>
      </c>
      <c r="J1882" s="3" t="s">
        <v>5011</v>
      </c>
      <c r="K1882" s="16">
        <v>804.82909303979989</v>
      </c>
      <c r="L1882" s="16">
        <v>203.30578539999999</v>
      </c>
      <c r="M1882" s="16">
        <f t="shared" si="58"/>
        <v>0.94771698947478022</v>
      </c>
    </row>
    <row r="1883" spans="1:13" x14ac:dyDescent="0.25">
      <c r="A1883" s="2">
        <f t="shared" si="59"/>
        <v>1878</v>
      </c>
      <c r="B1883" s="2">
        <v>114893</v>
      </c>
      <c r="C1883" s="2" t="s">
        <v>4389</v>
      </c>
      <c r="D1883" s="14" t="s">
        <v>1872</v>
      </c>
      <c r="E1883" s="14">
        <v>0.10915889999999999</v>
      </c>
      <c r="F1883" s="14">
        <v>0</v>
      </c>
      <c r="G1883" s="14">
        <v>0.10915889999999999</v>
      </c>
      <c r="H1883" s="16">
        <v>31.862770699999999</v>
      </c>
      <c r="I1883" s="16">
        <v>23.390183099999994</v>
      </c>
      <c r="J1883" s="3" t="s">
        <v>5011</v>
      </c>
      <c r="K1883" s="16">
        <v>194.7784441124</v>
      </c>
      <c r="L1883" s="16">
        <v>37.783418399999995</v>
      </c>
      <c r="M1883" s="16">
        <f t="shared" si="58"/>
        <v>1.1858171015868371</v>
      </c>
    </row>
    <row r="1884" spans="1:13" x14ac:dyDescent="0.25">
      <c r="A1884" s="2">
        <f t="shared" si="59"/>
        <v>1879</v>
      </c>
      <c r="B1884" s="2">
        <v>114911</v>
      </c>
      <c r="C1884" s="2" t="s">
        <v>4390</v>
      </c>
      <c r="D1884" s="14" t="s">
        <v>1873</v>
      </c>
      <c r="E1884" s="14">
        <v>0</v>
      </c>
      <c r="F1884" s="14">
        <v>0</v>
      </c>
      <c r="G1884" s="14">
        <v>0</v>
      </c>
      <c r="H1884" s="16">
        <v>0</v>
      </c>
      <c r="I1884" s="16">
        <v>0</v>
      </c>
      <c r="J1884" s="3" t="s">
        <v>5011</v>
      </c>
      <c r="K1884" s="16">
        <v>0</v>
      </c>
      <c r="L1884" s="16">
        <v>0</v>
      </c>
      <c r="M1884" s="16">
        <v>0</v>
      </c>
    </row>
    <row r="1885" spans="1:13" x14ac:dyDescent="0.25">
      <c r="A1885" s="2">
        <f t="shared" si="59"/>
        <v>1880</v>
      </c>
      <c r="B1885" s="2">
        <v>114934</v>
      </c>
      <c r="C1885" s="2" t="s">
        <v>4391</v>
      </c>
      <c r="D1885" s="14" t="s">
        <v>1874</v>
      </c>
      <c r="E1885" s="14">
        <v>0.38130970000000003</v>
      </c>
      <c r="F1885" s="14">
        <v>0</v>
      </c>
      <c r="G1885" s="14">
        <v>0.38130970000000003</v>
      </c>
      <c r="H1885" s="16">
        <v>29.5335237</v>
      </c>
      <c r="I1885" s="16">
        <v>28.513186000000001</v>
      </c>
      <c r="J1885" s="3" t="s">
        <v>5011</v>
      </c>
      <c r="K1885" s="16">
        <v>393.09454795670001</v>
      </c>
      <c r="L1885" s="16">
        <v>61.794149299999994</v>
      </c>
      <c r="M1885" s="16">
        <f t="shared" si="58"/>
        <v>2.0923391982515107</v>
      </c>
    </row>
    <row r="1886" spans="1:13" x14ac:dyDescent="0.25">
      <c r="A1886" s="2">
        <f t="shared" si="59"/>
        <v>1881</v>
      </c>
      <c r="B1886" s="2">
        <v>115287</v>
      </c>
      <c r="C1886" s="2" t="s">
        <v>4392</v>
      </c>
      <c r="D1886" s="14" t="s">
        <v>1875</v>
      </c>
      <c r="E1886" s="14">
        <v>20.783417900000003</v>
      </c>
      <c r="F1886" s="14">
        <v>0</v>
      </c>
      <c r="G1886" s="14">
        <v>20.783417900000003</v>
      </c>
      <c r="H1886" s="16">
        <v>1788.0434324</v>
      </c>
      <c r="I1886" s="16">
        <v>1355.1361023000002</v>
      </c>
      <c r="J1886" s="3" t="s">
        <v>5011</v>
      </c>
      <c r="K1886" s="16">
        <v>19607.276370194304</v>
      </c>
      <c r="L1886" s="16">
        <v>3004.1938001999997</v>
      </c>
      <c r="M1886" s="16">
        <f t="shared" si="58"/>
        <v>1.6801570620505692</v>
      </c>
    </row>
    <row r="1887" spans="1:13" x14ac:dyDescent="0.25">
      <c r="A1887" s="2">
        <f t="shared" si="59"/>
        <v>1882</v>
      </c>
      <c r="B1887" s="2">
        <v>115318</v>
      </c>
      <c r="C1887" s="2" t="s">
        <v>4393</v>
      </c>
      <c r="D1887" s="14" t="s">
        <v>1876</v>
      </c>
      <c r="E1887" s="14">
        <v>0</v>
      </c>
      <c r="F1887" s="14">
        <v>0</v>
      </c>
      <c r="G1887" s="14">
        <v>0</v>
      </c>
      <c r="H1887" s="16">
        <v>0</v>
      </c>
      <c r="I1887" s="16">
        <v>0</v>
      </c>
      <c r="J1887" s="3" t="s">
        <v>5011</v>
      </c>
      <c r="K1887" s="16">
        <v>0</v>
      </c>
      <c r="L1887" s="16">
        <v>0</v>
      </c>
      <c r="M1887" s="16">
        <v>0</v>
      </c>
    </row>
    <row r="1888" spans="1:13" x14ac:dyDescent="0.25">
      <c r="A1888" s="2">
        <f t="shared" si="59"/>
        <v>1883</v>
      </c>
      <c r="B1888" s="2">
        <v>115404</v>
      </c>
      <c r="C1888" s="2" t="s">
        <v>4394</v>
      </c>
      <c r="D1888" s="14" t="s">
        <v>1877</v>
      </c>
      <c r="E1888" s="14">
        <v>0.34783190000000003</v>
      </c>
      <c r="F1888" s="14">
        <v>0</v>
      </c>
      <c r="G1888" s="14">
        <v>0.34783190000000003</v>
      </c>
      <c r="H1888" s="16">
        <v>106.07052949999999</v>
      </c>
      <c r="I1888" s="16">
        <v>90.012721999999997</v>
      </c>
      <c r="J1888" s="3" t="s">
        <v>5011</v>
      </c>
      <c r="K1888" s="16">
        <v>408.97607075640008</v>
      </c>
      <c r="L1888" s="16">
        <v>110.0158902</v>
      </c>
      <c r="M1888" s="16">
        <f t="shared" si="58"/>
        <v>1.0371956350043487</v>
      </c>
    </row>
    <row r="1889" spans="1:13" x14ac:dyDescent="0.25">
      <c r="A1889" s="2">
        <f t="shared" si="59"/>
        <v>1884</v>
      </c>
      <c r="B1889" s="2">
        <v>115473</v>
      </c>
      <c r="C1889" s="2" t="s">
        <v>4395</v>
      </c>
      <c r="D1889" s="14" t="s">
        <v>1878</v>
      </c>
      <c r="E1889" s="14">
        <v>4.0958281999999997</v>
      </c>
      <c r="F1889" s="14">
        <v>0</v>
      </c>
      <c r="G1889" s="14">
        <v>4.0958281999999997</v>
      </c>
      <c r="H1889" s="16">
        <v>705.78360889999999</v>
      </c>
      <c r="I1889" s="16">
        <v>570.08005460000004</v>
      </c>
      <c r="J1889" s="3" t="s">
        <v>5011</v>
      </c>
      <c r="K1889" s="16">
        <v>4355.5813572778006</v>
      </c>
      <c r="L1889" s="16">
        <v>867.5096006</v>
      </c>
      <c r="M1889" s="16">
        <f t="shared" si="58"/>
        <v>1.229143875914118</v>
      </c>
    </row>
    <row r="1890" spans="1:13" x14ac:dyDescent="0.25">
      <c r="A1890" s="2">
        <f t="shared" si="59"/>
        <v>1885</v>
      </c>
      <c r="B1890" s="2">
        <v>115486</v>
      </c>
      <c r="C1890" s="2" t="s">
        <v>4396</v>
      </c>
      <c r="D1890" s="14" t="s">
        <v>1879</v>
      </c>
      <c r="E1890" s="14">
        <v>6.6830000000000004E-4</v>
      </c>
      <c r="F1890" s="14">
        <v>0</v>
      </c>
      <c r="G1890" s="14">
        <v>6.6830000000000004E-4</v>
      </c>
      <c r="H1890" s="16">
        <v>5.899705</v>
      </c>
      <c r="I1890" s="16">
        <v>3.2836814000000003</v>
      </c>
      <c r="J1890" s="3" t="s">
        <v>5011</v>
      </c>
      <c r="K1890" s="16">
        <v>8.9701302673000001</v>
      </c>
      <c r="L1890" s="16">
        <v>5.1154470000000005</v>
      </c>
      <c r="M1890" s="16">
        <f t="shared" si="58"/>
        <v>0.86706826866767073</v>
      </c>
    </row>
    <row r="1891" spans="1:13" x14ac:dyDescent="0.25">
      <c r="A1891" s="2">
        <f t="shared" si="59"/>
        <v>1886</v>
      </c>
      <c r="B1891" s="2">
        <v>115499</v>
      </c>
      <c r="C1891" s="2" t="s">
        <v>4397</v>
      </c>
      <c r="D1891" s="14" t="s">
        <v>1880</v>
      </c>
      <c r="E1891" s="14">
        <v>0</v>
      </c>
      <c r="F1891" s="14">
        <v>0</v>
      </c>
      <c r="G1891" s="14">
        <v>0</v>
      </c>
      <c r="H1891" s="16">
        <v>0</v>
      </c>
      <c r="I1891" s="16">
        <v>0</v>
      </c>
      <c r="J1891" s="3" t="s">
        <v>5011</v>
      </c>
      <c r="K1891" s="16">
        <v>0</v>
      </c>
      <c r="L1891" s="16">
        <v>0</v>
      </c>
      <c r="M1891" s="16">
        <v>0</v>
      </c>
    </row>
    <row r="1892" spans="1:13" x14ac:dyDescent="0.25">
      <c r="A1892" s="2">
        <f t="shared" si="59"/>
        <v>1887</v>
      </c>
      <c r="B1892" s="2">
        <v>115573</v>
      </c>
      <c r="C1892" s="2" t="s">
        <v>4398</v>
      </c>
      <c r="D1892" s="14" t="s">
        <v>1881</v>
      </c>
      <c r="E1892" s="14">
        <v>0.23595809999999998</v>
      </c>
      <c r="F1892" s="14">
        <v>0</v>
      </c>
      <c r="G1892" s="14">
        <v>0.23595809999999998</v>
      </c>
      <c r="H1892" s="16">
        <v>1.279936</v>
      </c>
      <c r="I1892" s="16">
        <v>1.279936</v>
      </c>
      <c r="J1892" s="3" t="s">
        <v>5011</v>
      </c>
      <c r="K1892" s="16">
        <v>212.27570204179997</v>
      </c>
      <c r="L1892" s="16">
        <v>22.0988519</v>
      </c>
      <c r="M1892" s="16">
        <f t="shared" si="58"/>
        <v>17.265591326441321</v>
      </c>
    </row>
    <row r="1893" spans="1:13" x14ac:dyDescent="0.25">
      <c r="A1893" s="2">
        <f t="shared" si="59"/>
        <v>1888</v>
      </c>
      <c r="B1893" s="2">
        <v>115844</v>
      </c>
      <c r="C1893" s="2" t="s">
        <v>4399</v>
      </c>
      <c r="D1893" s="14" t="s">
        <v>1882</v>
      </c>
      <c r="E1893" s="14">
        <v>2.3236000000000003E-3</v>
      </c>
      <c r="F1893" s="14">
        <v>0</v>
      </c>
      <c r="G1893" s="14">
        <v>2.3236000000000003E-3</v>
      </c>
      <c r="H1893" s="16">
        <v>120.9939502</v>
      </c>
      <c r="I1893" s="16">
        <v>110.11765109999999</v>
      </c>
      <c r="J1893" s="3" t="s">
        <v>5011</v>
      </c>
      <c r="K1893" s="16">
        <v>117.64349654980002</v>
      </c>
      <c r="L1893" s="16">
        <v>121.7236999</v>
      </c>
      <c r="M1893" s="16">
        <f t="shared" si="58"/>
        <v>1.0060312908107698</v>
      </c>
    </row>
    <row r="1894" spans="1:13" x14ac:dyDescent="0.25">
      <c r="A1894" s="2">
        <f t="shared" si="59"/>
        <v>1889</v>
      </c>
      <c r="B1894" s="2">
        <v>115858</v>
      </c>
      <c r="C1894" s="2" t="s">
        <v>4400</v>
      </c>
      <c r="D1894" s="14" t="s">
        <v>1883</v>
      </c>
      <c r="E1894" s="14">
        <v>23.122809799999999</v>
      </c>
      <c r="F1894" s="14">
        <v>0</v>
      </c>
      <c r="G1894" s="14">
        <v>23.122809799999999</v>
      </c>
      <c r="H1894" s="16">
        <v>626.11723829999994</v>
      </c>
      <c r="I1894" s="16">
        <v>359.84350700000005</v>
      </c>
      <c r="J1894" s="3" t="s">
        <v>5011</v>
      </c>
      <c r="K1894" s="16">
        <v>19125.687284105203</v>
      </c>
      <c r="L1894" s="16">
        <v>2154.9337255999999</v>
      </c>
      <c r="M1894" s="16">
        <f t="shared" si="58"/>
        <v>3.4417415681621555</v>
      </c>
    </row>
    <row r="1895" spans="1:13" x14ac:dyDescent="0.25">
      <c r="A1895" s="2">
        <f t="shared" si="59"/>
        <v>1890</v>
      </c>
      <c r="B1895" s="2">
        <v>115984</v>
      </c>
      <c r="C1895" s="2" t="s">
        <v>4401</v>
      </c>
      <c r="D1895" s="14" t="s">
        <v>1884</v>
      </c>
      <c r="E1895" s="14">
        <v>0.48187449999999998</v>
      </c>
      <c r="F1895" s="14">
        <v>0</v>
      </c>
      <c r="G1895" s="14">
        <v>0.48187449999999998</v>
      </c>
      <c r="H1895" s="16">
        <v>125.8137091</v>
      </c>
      <c r="I1895" s="16">
        <v>125.8137091</v>
      </c>
      <c r="J1895" s="3" t="s">
        <v>5011</v>
      </c>
      <c r="K1895" s="16">
        <v>801.44710783649998</v>
      </c>
      <c r="L1895" s="16">
        <v>156.37297949999999</v>
      </c>
      <c r="M1895" s="16">
        <f t="shared" si="58"/>
        <v>1.2428930091847994</v>
      </c>
    </row>
    <row r="1896" spans="1:13" x14ac:dyDescent="0.25">
      <c r="A1896" s="2">
        <f t="shared" si="59"/>
        <v>1891</v>
      </c>
      <c r="B1896" s="2">
        <v>116047</v>
      </c>
      <c r="C1896" s="2" t="s">
        <v>4402</v>
      </c>
      <c r="D1896" s="14" t="s">
        <v>1885</v>
      </c>
      <c r="E1896" s="14">
        <v>0</v>
      </c>
      <c r="F1896" s="14">
        <v>0</v>
      </c>
      <c r="G1896" s="14">
        <v>0</v>
      </c>
      <c r="H1896" s="16">
        <v>0</v>
      </c>
      <c r="I1896" s="16">
        <v>0</v>
      </c>
      <c r="J1896" s="3" t="s">
        <v>5011</v>
      </c>
      <c r="K1896" s="16">
        <v>0</v>
      </c>
      <c r="L1896" s="16">
        <v>0</v>
      </c>
      <c r="M1896" s="16">
        <v>0</v>
      </c>
    </row>
    <row r="1897" spans="1:13" x14ac:dyDescent="0.25">
      <c r="A1897" s="2">
        <f t="shared" si="59"/>
        <v>1892</v>
      </c>
      <c r="B1897" s="2">
        <v>116166</v>
      </c>
      <c r="C1897" s="2" t="s">
        <v>4403</v>
      </c>
      <c r="D1897" s="14" t="s">
        <v>1886</v>
      </c>
      <c r="E1897" s="14">
        <v>0</v>
      </c>
      <c r="F1897" s="14">
        <v>0</v>
      </c>
      <c r="G1897" s="14">
        <v>0</v>
      </c>
      <c r="H1897" s="16">
        <v>0</v>
      </c>
      <c r="I1897" s="16">
        <v>0</v>
      </c>
      <c r="J1897" s="3" t="s">
        <v>5011</v>
      </c>
      <c r="K1897" s="16">
        <v>0</v>
      </c>
      <c r="L1897" s="16">
        <v>0</v>
      </c>
      <c r="M1897" s="16">
        <v>0</v>
      </c>
    </row>
    <row r="1898" spans="1:13" x14ac:dyDescent="0.25">
      <c r="A1898" s="2">
        <f t="shared" si="59"/>
        <v>1893</v>
      </c>
      <c r="B1898" s="2">
        <v>116312</v>
      </c>
      <c r="C1898" s="2" t="s">
        <v>4404</v>
      </c>
      <c r="D1898" s="14" t="s">
        <v>1887</v>
      </c>
      <c r="E1898" s="14">
        <v>1.9659009000000003</v>
      </c>
      <c r="F1898" s="14">
        <v>0</v>
      </c>
      <c r="G1898" s="14">
        <v>1.9659009000000003</v>
      </c>
      <c r="H1898" s="16">
        <v>204.31860420000001</v>
      </c>
      <c r="I1898" s="16">
        <v>128.24425580000002</v>
      </c>
      <c r="J1898" s="3" t="s">
        <v>5011</v>
      </c>
      <c r="K1898" s="16">
        <v>1922.2757598633</v>
      </c>
      <c r="L1898" s="16">
        <v>264.85074429999997</v>
      </c>
      <c r="M1898" s="16">
        <f t="shared" si="58"/>
        <v>1.2962634770191914</v>
      </c>
    </row>
    <row r="1899" spans="1:13" x14ac:dyDescent="0.25">
      <c r="A1899" s="2">
        <f t="shared" si="59"/>
        <v>1894</v>
      </c>
      <c r="B1899" s="2">
        <v>116347</v>
      </c>
      <c r="C1899" s="2" t="s">
        <v>4405</v>
      </c>
      <c r="D1899" s="14" t="s">
        <v>1888</v>
      </c>
      <c r="E1899" s="14">
        <v>3.5781734000000003</v>
      </c>
      <c r="F1899" s="14">
        <v>0</v>
      </c>
      <c r="G1899" s="14">
        <v>3.5781734000000003</v>
      </c>
      <c r="H1899" s="16">
        <v>263.95681059999998</v>
      </c>
      <c r="I1899" s="16">
        <v>255.41515869999998</v>
      </c>
      <c r="J1899" s="3" t="s">
        <v>5011</v>
      </c>
      <c r="K1899" s="16">
        <v>2981.7841695913003</v>
      </c>
      <c r="L1899" s="16">
        <v>447.21598569999998</v>
      </c>
      <c r="M1899" s="16">
        <f t="shared" si="58"/>
        <v>1.6942771231529647</v>
      </c>
    </row>
    <row r="1900" spans="1:13" x14ac:dyDescent="0.25">
      <c r="A1900" s="2">
        <f t="shared" si="59"/>
        <v>1895</v>
      </c>
      <c r="B1900" s="2">
        <v>116356</v>
      </c>
      <c r="C1900" s="2" t="s">
        <v>4406</v>
      </c>
      <c r="D1900" s="14" t="s">
        <v>1889</v>
      </c>
      <c r="E1900" s="14">
        <v>64.364074099999996</v>
      </c>
      <c r="F1900" s="14">
        <v>0</v>
      </c>
      <c r="G1900" s="14">
        <v>64.364074099999996</v>
      </c>
      <c r="H1900" s="16">
        <v>2266.7488877999999</v>
      </c>
      <c r="I1900" s="16">
        <v>1422.6670406000001</v>
      </c>
      <c r="J1900" s="3" t="s">
        <v>5011</v>
      </c>
      <c r="K1900" s="16">
        <v>57008.307638053884</v>
      </c>
      <c r="L1900" s="16">
        <v>6423.9460736000001</v>
      </c>
      <c r="M1900" s="16">
        <f t="shared" si="58"/>
        <v>2.8339910557250922</v>
      </c>
    </row>
    <row r="1901" spans="1:13" x14ac:dyDescent="0.25">
      <c r="A1901" s="2">
        <f t="shared" si="59"/>
        <v>1896</v>
      </c>
      <c r="B1901" s="2">
        <v>116461</v>
      </c>
      <c r="C1901" s="2" t="s">
        <v>4407</v>
      </c>
      <c r="D1901" s="14" t="s">
        <v>1890</v>
      </c>
      <c r="E1901" s="14">
        <v>11.136021299999999</v>
      </c>
      <c r="F1901" s="14">
        <v>0</v>
      </c>
      <c r="G1901" s="14">
        <v>11.136021299999999</v>
      </c>
      <c r="H1901" s="16">
        <v>1682.6890112999999</v>
      </c>
      <c r="I1901" s="16">
        <v>1037.969218</v>
      </c>
      <c r="J1901" s="3" t="s">
        <v>5011</v>
      </c>
      <c r="K1901" s="16">
        <v>14032.8574315802</v>
      </c>
      <c r="L1901" s="16">
        <v>1958.9451415999999</v>
      </c>
      <c r="M1901" s="16">
        <f t="shared" si="58"/>
        <v>1.1641753933405508</v>
      </c>
    </row>
    <row r="1902" spans="1:13" x14ac:dyDescent="0.25">
      <c r="A1902" s="2">
        <f t="shared" si="59"/>
        <v>1897</v>
      </c>
      <c r="B1902" s="2">
        <v>116464</v>
      </c>
      <c r="C1902" s="2" t="s">
        <v>4408</v>
      </c>
      <c r="D1902" s="14" t="s">
        <v>1891</v>
      </c>
      <c r="E1902" s="14">
        <v>0</v>
      </c>
      <c r="F1902" s="14">
        <v>0</v>
      </c>
      <c r="G1902" s="14">
        <v>0</v>
      </c>
      <c r="H1902" s="16">
        <v>0</v>
      </c>
      <c r="I1902" s="16">
        <v>0</v>
      </c>
      <c r="J1902" s="3" t="s">
        <v>5011</v>
      </c>
      <c r="K1902" s="16">
        <v>0</v>
      </c>
      <c r="L1902" s="16">
        <v>0</v>
      </c>
      <c r="M1902" s="16">
        <v>0</v>
      </c>
    </row>
    <row r="1903" spans="1:13" x14ac:dyDescent="0.25">
      <c r="A1903" s="2">
        <f t="shared" si="59"/>
        <v>1898</v>
      </c>
      <c r="B1903" s="2">
        <v>116627</v>
      </c>
      <c r="C1903" s="2" t="s">
        <v>4409</v>
      </c>
      <c r="D1903" s="14" t="s">
        <v>1892</v>
      </c>
      <c r="E1903" s="14">
        <v>0.83302770000000004</v>
      </c>
      <c r="F1903" s="14">
        <v>0</v>
      </c>
      <c r="G1903" s="14">
        <v>0.83302770000000004</v>
      </c>
      <c r="H1903" s="16">
        <v>28.1443789</v>
      </c>
      <c r="I1903" s="16">
        <v>22.238553600000003</v>
      </c>
      <c r="J1903" s="3" t="s">
        <v>5011</v>
      </c>
      <c r="K1903" s="16">
        <v>933.64635432339992</v>
      </c>
      <c r="L1903" s="16">
        <v>107.44175630000001</v>
      </c>
      <c r="M1903" s="16">
        <f t="shared" si="58"/>
        <v>3.8175209579771545</v>
      </c>
    </row>
    <row r="1904" spans="1:13" x14ac:dyDescent="0.25">
      <c r="A1904" s="2">
        <f t="shared" si="59"/>
        <v>1899</v>
      </c>
      <c r="B1904" s="2">
        <v>116724</v>
      </c>
      <c r="C1904" s="2" t="s">
        <v>4410</v>
      </c>
      <c r="D1904" s="14" t="s">
        <v>1893</v>
      </c>
      <c r="E1904" s="14">
        <v>0.28401139999999997</v>
      </c>
      <c r="F1904" s="14">
        <v>0</v>
      </c>
      <c r="G1904" s="14">
        <v>0.28401139999999997</v>
      </c>
      <c r="H1904" s="16">
        <v>73.066347100000002</v>
      </c>
      <c r="I1904" s="16">
        <v>67.975733700000006</v>
      </c>
      <c r="J1904" s="3" t="s">
        <v>5011</v>
      </c>
      <c r="K1904" s="16">
        <v>502.88104184270003</v>
      </c>
      <c r="L1904" s="16">
        <v>86.106549600000008</v>
      </c>
      <c r="M1904" s="16">
        <f t="shared" si="58"/>
        <v>1.1784707052913557</v>
      </c>
    </row>
    <row r="1905" spans="1:13" x14ac:dyDescent="0.25">
      <c r="A1905" s="2">
        <f t="shared" si="59"/>
        <v>1900</v>
      </c>
      <c r="B1905" s="2">
        <v>116864</v>
      </c>
      <c r="C1905" s="2" t="s">
        <v>4411</v>
      </c>
      <c r="D1905" s="14" t="s">
        <v>1894</v>
      </c>
      <c r="E1905" s="14">
        <v>0</v>
      </c>
      <c r="F1905" s="14">
        <v>0</v>
      </c>
      <c r="G1905" s="14">
        <v>0</v>
      </c>
      <c r="H1905" s="16">
        <v>0</v>
      </c>
      <c r="I1905" s="16">
        <v>0</v>
      </c>
      <c r="J1905" s="3" t="s">
        <v>5011</v>
      </c>
      <c r="K1905" s="16">
        <v>0</v>
      </c>
      <c r="L1905" s="16">
        <v>0</v>
      </c>
      <c r="M1905" s="16">
        <v>0</v>
      </c>
    </row>
    <row r="1906" spans="1:13" x14ac:dyDescent="0.25">
      <c r="A1906" s="2">
        <f t="shared" si="59"/>
        <v>1901</v>
      </c>
      <c r="B1906" s="2">
        <v>116900</v>
      </c>
      <c r="C1906" s="2" t="s">
        <v>4412</v>
      </c>
      <c r="D1906" s="14" t="s">
        <v>1895</v>
      </c>
      <c r="E1906" s="14">
        <v>0</v>
      </c>
      <c r="F1906" s="14">
        <v>0</v>
      </c>
      <c r="G1906" s="14">
        <v>0</v>
      </c>
      <c r="H1906" s="16">
        <v>0</v>
      </c>
      <c r="I1906" s="16">
        <v>0</v>
      </c>
      <c r="J1906" s="3" t="s">
        <v>5011</v>
      </c>
      <c r="K1906" s="16">
        <v>0</v>
      </c>
      <c r="L1906" s="16">
        <v>0</v>
      </c>
      <c r="M1906" s="16">
        <v>0</v>
      </c>
    </row>
    <row r="1907" spans="1:13" x14ac:dyDescent="0.25">
      <c r="A1907" s="2">
        <f t="shared" si="59"/>
        <v>1902</v>
      </c>
      <c r="B1907" s="2">
        <v>117052</v>
      </c>
      <c r="C1907" s="2" t="s">
        <v>4413</v>
      </c>
      <c r="D1907" s="14" t="s">
        <v>1896</v>
      </c>
      <c r="E1907" s="14">
        <v>2.1433499999999998E-2</v>
      </c>
      <c r="F1907" s="14">
        <v>0</v>
      </c>
      <c r="G1907" s="14">
        <v>2.1433499999999998E-2</v>
      </c>
      <c r="H1907" s="16">
        <v>57.627118700000004</v>
      </c>
      <c r="I1907" s="16">
        <v>54.988367599999997</v>
      </c>
      <c r="J1907" s="3" t="s">
        <v>5011</v>
      </c>
      <c r="K1907" s="16">
        <v>71.2210223533</v>
      </c>
      <c r="L1907" s="16">
        <v>56.041765999999996</v>
      </c>
      <c r="M1907" s="16">
        <f t="shared" si="58"/>
        <v>0.97248946787964241</v>
      </c>
    </row>
    <row r="1908" spans="1:13" x14ac:dyDescent="0.25">
      <c r="A1908" s="2">
        <f t="shared" si="59"/>
        <v>1903</v>
      </c>
      <c r="B1908" s="2">
        <v>117143</v>
      </c>
      <c r="C1908" s="2" t="s">
        <v>4414</v>
      </c>
      <c r="D1908" s="14" t="s">
        <v>1897</v>
      </c>
      <c r="E1908" s="14">
        <v>0</v>
      </c>
      <c r="F1908" s="14">
        <v>0</v>
      </c>
      <c r="G1908" s="14">
        <v>0</v>
      </c>
      <c r="H1908" s="16">
        <v>0.19999</v>
      </c>
      <c r="I1908" s="16">
        <v>0.19999</v>
      </c>
      <c r="J1908" s="3" t="s">
        <v>5011</v>
      </c>
      <c r="K1908" s="16">
        <v>38.827613921700006</v>
      </c>
      <c r="L1908" s="16">
        <v>3.8916588999999999</v>
      </c>
      <c r="M1908" s="16">
        <f t="shared" si="58"/>
        <v>19.45926746337317</v>
      </c>
    </row>
    <row r="1909" spans="1:13" x14ac:dyDescent="0.25">
      <c r="A1909" s="2">
        <f t="shared" si="59"/>
        <v>1904</v>
      </c>
      <c r="B1909" s="2">
        <v>117293</v>
      </c>
      <c r="C1909" s="2" t="s">
        <v>4415</v>
      </c>
      <c r="D1909" s="14" t="s">
        <v>1898</v>
      </c>
      <c r="E1909" s="14">
        <v>0</v>
      </c>
      <c r="F1909" s="14">
        <v>0</v>
      </c>
      <c r="G1909" s="14">
        <v>0</v>
      </c>
      <c r="H1909" s="16">
        <v>3.9998</v>
      </c>
      <c r="I1909" s="16">
        <v>3.9998</v>
      </c>
      <c r="J1909" s="3" t="s">
        <v>5011</v>
      </c>
      <c r="K1909" s="16">
        <v>3.3624230291000003</v>
      </c>
      <c r="L1909" s="16">
        <v>4.0195012999999999</v>
      </c>
      <c r="M1909" s="16">
        <f t="shared" si="58"/>
        <v>1.0049255712785639</v>
      </c>
    </row>
    <row r="1910" spans="1:13" x14ac:dyDescent="0.25">
      <c r="A1910" s="2">
        <f t="shared" si="59"/>
        <v>1905</v>
      </c>
      <c r="B1910" s="2">
        <v>117408</v>
      </c>
      <c r="C1910" s="2" t="s">
        <v>4416</v>
      </c>
      <c r="D1910" s="14" t="s">
        <v>1899</v>
      </c>
      <c r="E1910" s="14">
        <v>3.4727418999999999</v>
      </c>
      <c r="F1910" s="14">
        <v>0</v>
      </c>
      <c r="G1910" s="14">
        <v>3.4727418999999999</v>
      </c>
      <c r="H1910" s="16">
        <v>89.633406300000004</v>
      </c>
      <c r="I1910" s="16">
        <v>84.172950300000011</v>
      </c>
      <c r="J1910" s="3" t="s">
        <v>5011</v>
      </c>
      <c r="K1910" s="16">
        <v>2971.9970482459994</v>
      </c>
      <c r="L1910" s="16">
        <v>353.11719259999995</v>
      </c>
      <c r="M1910" s="16">
        <f t="shared" si="58"/>
        <v>3.9395712734393755</v>
      </c>
    </row>
    <row r="1911" spans="1:13" x14ac:dyDescent="0.25">
      <c r="A1911" s="2">
        <f t="shared" si="59"/>
        <v>1906</v>
      </c>
      <c r="B1911" s="2">
        <v>117409</v>
      </c>
      <c r="C1911" s="2" t="s">
        <v>4417</v>
      </c>
      <c r="D1911" s="14" t="s">
        <v>1900</v>
      </c>
      <c r="E1911" s="14">
        <v>0.24515970000000004</v>
      </c>
      <c r="F1911" s="14">
        <v>0</v>
      </c>
      <c r="G1911" s="14">
        <v>0.24515970000000004</v>
      </c>
      <c r="H1911" s="16">
        <v>192.84035789999999</v>
      </c>
      <c r="I1911" s="16">
        <v>174.13994589999999</v>
      </c>
      <c r="J1911" s="3" t="s">
        <v>5011</v>
      </c>
      <c r="K1911" s="16">
        <v>476.03890026020002</v>
      </c>
      <c r="L1911" s="16">
        <v>206.68788030000002</v>
      </c>
      <c r="M1911" s="16">
        <f t="shared" si="58"/>
        <v>1.0718082176925894</v>
      </c>
    </row>
    <row r="1912" spans="1:13" x14ac:dyDescent="0.25">
      <c r="A1912" s="2">
        <f t="shared" si="59"/>
        <v>1907</v>
      </c>
      <c r="B1912" s="2">
        <v>117422</v>
      </c>
      <c r="C1912" s="2" t="s">
        <v>4418</v>
      </c>
      <c r="D1912" s="14" t="s">
        <v>1901</v>
      </c>
      <c r="E1912" s="14">
        <v>0</v>
      </c>
      <c r="F1912" s="14">
        <v>0</v>
      </c>
      <c r="G1912" s="14">
        <v>0</v>
      </c>
      <c r="H1912" s="16">
        <v>0</v>
      </c>
      <c r="I1912" s="16">
        <v>0</v>
      </c>
      <c r="J1912" s="3" t="s">
        <v>5011</v>
      </c>
      <c r="K1912" s="16">
        <v>0</v>
      </c>
      <c r="L1912" s="16">
        <v>0</v>
      </c>
      <c r="M1912" s="16">
        <v>0</v>
      </c>
    </row>
    <row r="1913" spans="1:13" x14ac:dyDescent="0.25">
      <c r="A1913" s="2">
        <f t="shared" si="59"/>
        <v>1908</v>
      </c>
      <c r="B1913" s="2">
        <v>117558</v>
      </c>
      <c r="C1913" s="2" t="s">
        <v>4419</v>
      </c>
      <c r="D1913" s="14" t="s">
        <v>1902</v>
      </c>
      <c r="E1913" s="14">
        <v>0</v>
      </c>
      <c r="F1913" s="14">
        <v>0</v>
      </c>
      <c r="G1913" s="14">
        <v>0</v>
      </c>
      <c r="H1913" s="16">
        <v>0</v>
      </c>
      <c r="I1913" s="16">
        <v>0</v>
      </c>
      <c r="J1913" s="3" t="s">
        <v>5011</v>
      </c>
      <c r="K1913" s="16">
        <v>0</v>
      </c>
      <c r="L1913" s="16">
        <v>0</v>
      </c>
      <c r="M1913" s="16">
        <v>0</v>
      </c>
    </row>
    <row r="1914" spans="1:13" x14ac:dyDescent="0.25">
      <c r="A1914" s="2">
        <f t="shared" si="59"/>
        <v>1909</v>
      </c>
      <c r="B1914" s="2">
        <v>117722</v>
      </c>
      <c r="C1914" s="2" t="s">
        <v>4420</v>
      </c>
      <c r="D1914" s="14" t="s">
        <v>1903</v>
      </c>
      <c r="E1914" s="14">
        <v>2.5802206999999999</v>
      </c>
      <c r="F1914" s="14">
        <v>0</v>
      </c>
      <c r="G1914" s="14">
        <v>2.5802206999999999</v>
      </c>
      <c r="H1914" s="16">
        <v>651.83943979999992</v>
      </c>
      <c r="I1914" s="16">
        <v>462.55016369999998</v>
      </c>
      <c r="J1914" s="3" t="s">
        <v>5011</v>
      </c>
      <c r="K1914" s="16">
        <v>3929.8492171971011</v>
      </c>
      <c r="L1914" s="16">
        <v>661.85128369999995</v>
      </c>
      <c r="M1914" s="16">
        <f t="shared" si="58"/>
        <v>1.01535937117133</v>
      </c>
    </row>
    <row r="1915" spans="1:13" x14ac:dyDescent="0.25">
      <c r="A1915" s="2">
        <f t="shared" si="59"/>
        <v>1910</v>
      </c>
      <c r="B1915" s="2">
        <v>117902</v>
      </c>
      <c r="C1915" s="2" t="s">
        <v>4421</v>
      </c>
      <c r="D1915" s="14" t="s">
        <v>1904</v>
      </c>
      <c r="E1915" s="14">
        <v>4.57884E-2</v>
      </c>
      <c r="F1915" s="14">
        <v>0</v>
      </c>
      <c r="G1915" s="14">
        <v>4.57884E-2</v>
      </c>
      <c r="H1915" s="16">
        <v>115.0893761</v>
      </c>
      <c r="I1915" s="16">
        <v>103.1693502</v>
      </c>
      <c r="J1915" s="3" t="s">
        <v>5011</v>
      </c>
      <c r="K1915" s="16">
        <v>228.50568315719997</v>
      </c>
      <c r="L1915" s="16">
        <v>106.22208230000001</v>
      </c>
      <c r="M1915" s="16">
        <f t="shared" si="58"/>
        <v>0.92295297706457913</v>
      </c>
    </row>
    <row r="1916" spans="1:13" x14ac:dyDescent="0.25">
      <c r="A1916" s="2">
        <f t="shared" si="59"/>
        <v>1911</v>
      </c>
      <c r="B1916" s="2">
        <v>117977</v>
      </c>
      <c r="C1916" s="2" t="s">
        <v>4422</v>
      </c>
      <c r="D1916" s="14" t="s">
        <v>1905</v>
      </c>
      <c r="E1916" s="14">
        <v>0.17047229999999999</v>
      </c>
      <c r="F1916" s="14">
        <v>0</v>
      </c>
      <c r="G1916" s="14">
        <v>0.17047229999999999</v>
      </c>
      <c r="H1916" s="16">
        <v>90.510572799999991</v>
      </c>
      <c r="I1916" s="16">
        <v>64.232974699999986</v>
      </c>
      <c r="J1916" s="3" t="s">
        <v>5011</v>
      </c>
      <c r="K1916" s="16">
        <v>492.96780070049988</v>
      </c>
      <c r="L1916" s="16">
        <v>91.695376199999998</v>
      </c>
      <c r="M1916" s="16">
        <f t="shared" si="58"/>
        <v>1.0130902209912873</v>
      </c>
    </row>
    <row r="1917" spans="1:13" x14ac:dyDescent="0.25">
      <c r="A1917" s="2">
        <f t="shared" si="59"/>
        <v>1912</v>
      </c>
      <c r="B1917" s="2">
        <v>118014</v>
      </c>
      <c r="C1917" s="2" t="s">
        <v>4423</v>
      </c>
      <c r="D1917" s="14" t="s">
        <v>1906</v>
      </c>
      <c r="E1917" s="14">
        <v>3.6484567000000006</v>
      </c>
      <c r="F1917" s="14">
        <v>0</v>
      </c>
      <c r="G1917" s="14">
        <v>3.6484567000000006</v>
      </c>
      <c r="H1917" s="16">
        <v>193.70919179999999</v>
      </c>
      <c r="I1917" s="16">
        <v>188.5503138</v>
      </c>
      <c r="J1917" s="3" t="s">
        <v>5011</v>
      </c>
      <c r="K1917" s="16">
        <v>3166.4537425293001</v>
      </c>
      <c r="L1917" s="16">
        <v>425.62912299999999</v>
      </c>
      <c r="M1917" s="16">
        <f t="shared" si="58"/>
        <v>2.1972582666053952</v>
      </c>
    </row>
    <row r="1918" spans="1:13" x14ac:dyDescent="0.25">
      <c r="A1918" s="2">
        <f t="shared" si="59"/>
        <v>1913</v>
      </c>
      <c r="B1918" s="2">
        <v>118077</v>
      </c>
      <c r="C1918" s="2" t="s">
        <v>4424</v>
      </c>
      <c r="D1918" s="14" t="s">
        <v>1907</v>
      </c>
      <c r="E1918" s="14">
        <v>1.417E-4</v>
      </c>
      <c r="F1918" s="14">
        <v>0</v>
      </c>
      <c r="G1918" s="14">
        <v>1.417E-4</v>
      </c>
      <c r="H1918" s="16">
        <v>0.77496130000000008</v>
      </c>
      <c r="I1918" s="16">
        <v>0.77496130000000008</v>
      </c>
      <c r="J1918" s="3" t="s">
        <v>5011</v>
      </c>
      <c r="K1918" s="16">
        <v>0.98597335220000004</v>
      </c>
      <c r="L1918" s="16">
        <v>0.76749350000000005</v>
      </c>
      <c r="M1918" s="16">
        <f t="shared" si="58"/>
        <v>0.99036364783635</v>
      </c>
    </row>
    <row r="1919" spans="1:13" x14ac:dyDescent="0.25">
      <c r="A1919" s="2">
        <f t="shared" si="59"/>
        <v>1914</v>
      </c>
      <c r="B1919" s="2">
        <v>118251</v>
      </c>
      <c r="C1919" s="2" t="s">
        <v>4425</v>
      </c>
      <c r="D1919" s="14" t="s">
        <v>1908</v>
      </c>
      <c r="E1919" s="14">
        <v>0.24740390000000004</v>
      </c>
      <c r="F1919" s="14">
        <v>0</v>
      </c>
      <c r="G1919" s="14">
        <v>0.24740390000000004</v>
      </c>
      <c r="H1919" s="16">
        <v>34.0483008</v>
      </c>
      <c r="I1919" s="16">
        <v>30.139282600000001</v>
      </c>
      <c r="J1919" s="3" t="s">
        <v>5011</v>
      </c>
      <c r="K1919" s="16">
        <v>310.56096252069995</v>
      </c>
      <c r="L1919" s="16">
        <v>53.400262900000001</v>
      </c>
      <c r="M1919" s="16">
        <f t="shared" si="58"/>
        <v>1.5683679257203931</v>
      </c>
    </row>
    <row r="1920" spans="1:13" x14ac:dyDescent="0.25">
      <c r="A1920" s="2">
        <f t="shared" si="59"/>
        <v>1915</v>
      </c>
      <c r="B1920" s="2">
        <v>118266</v>
      </c>
      <c r="C1920" s="2" t="s">
        <v>4426</v>
      </c>
      <c r="D1920" s="14" t="s">
        <v>1909</v>
      </c>
      <c r="E1920" s="14">
        <v>1.1593600000000001E-2</v>
      </c>
      <c r="F1920" s="14">
        <v>0</v>
      </c>
      <c r="G1920" s="14">
        <v>1.1593600000000001E-2</v>
      </c>
      <c r="H1920" s="16">
        <v>14.750294199999999</v>
      </c>
      <c r="I1920" s="16">
        <v>9.1185025999999993</v>
      </c>
      <c r="J1920" s="3" t="s">
        <v>5011</v>
      </c>
      <c r="K1920" s="16">
        <v>103.31440344900001</v>
      </c>
      <c r="L1920" s="16">
        <v>18.847780199999999</v>
      </c>
      <c r="M1920" s="16">
        <f t="shared" si="58"/>
        <v>1.2777901202811264</v>
      </c>
    </row>
    <row r="1921" spans="1:13" x14ac:dyDescent="0.25">
      <c r="A1921" s="2">
        <f t="shared" si="59"/>
        <v>1916</v>
      </c>
      <c r="B1921" s="2">
        <v>118486</v>
      </c>
      <c r="C1921" s="2" t="s">
        <v>4427</v>
      </c>
      <c r="D1921" s="14" t="s">
        <v>1910</v>
      </c>
      <c r="E1921" s="14">
        <v>6.3160802</v>
      </c>
      <c r="F1921" s="14">
        <v>0</v>
      </c>
      <c r="G1921" s="14">
        <v>6.3160802</v>
      </c>
      <c r="H1921" s="16">
        <v>234.68325329999999</v>
      </c>
      <c r="I1921" s="16">
        <v>131.716038</v>
      </c>
      <c r="J1921" s="3" t="s">
        <v>5011</v>
      </c>
      <c r="K1921" s="16">
        <v>5172.5980225448011</v>
      </c>
      <c r="L1921" s="16">
        <v>613.04853360000004</v>
      </c>
      <c r="M1921" s="16">
        <f t="shared" si="58"/>
        <v>2.6122380910423493</v>
      </c>
    </row>
    <row r="1922" spans="1:13" x14ac:dyDescent="0.25">
      <c r="A1922" s="2">
        <f t="shared" si="59"/>
        <v>1917</v>
      </c>
      <c r="B1922" s="2">
        <v>118672</v>
      </c>
      <c r="C1922" s="2" t="s">
        <v>4428</v>
      </c>
      <c r="D1922" s="14" t="s">
        <v>1911</v>
      </c>
      <c r="E1922" s="14">
        <v>0.15362590000000001</v>
      </c>
      <c r="F1922" s="14">
        <v>0</v>
      </c>
      <c r="G1922" s="14">
        <v>0.15362590000000001</v>
      </c>
      <c r="H1922" s="16">
        <v>21.298935</v>
      </c>
      <c r="I1922" s="16">
        <v>20.935931699999998</v>
      </c>
      <c r="J1922" s="3" t="s">
        <v>5011</v>
      </c>
      <c r="K1922" s="16">
        <v>189.3136251382</v>
      </c>
      <c r="L1922" s="16">
        <v>30.493847899999999</v>
      </c>
      <c r="M1922" s="16">
        <f t="shared" si="58"/>
        <v>1.4317076370250437</v>
      </c>
    </row>
    <row r="1923" spans="1:13" x14ac:dyDescent="0.25">
      <c r="A1923" s="2">
        <f t="shared" si="59"/>
        <v>1918</v>
      </c>
      <c r="B1923" s="2">
        <v>118681</v>
      </c>
      <c r="C1923" s="2" t="s">
        <v>4429</v>
      </c>
      <c r="D1923" s="14" t="s">
        <v>1912</v>
      </c>
      <c r="E1923" s="14">
        <v>25.729925399999999</v>
      </c>
      <c r="F1923" s="14">
        <v>0</v>
      </c>
      <c r="G1923" s="14">
        <v>25.729925399999999</v>
      </c>
      <c r="H1923" s="16">
        <v>3409.3820577999995</v>
      </c>
      <c r="I1923" s="16">
        <v>2865.9602771</v>
      </c>
      <c r="J1923" s="3" t="s">
        <v>5011</v>
      </c>
      <c r="K1923" s="16">
        <v>27302.406663343532</v>
      </c>
      <c r="L1923" s="16">
        <v>4663.4519336000003</v>
      </c>
      <c r="M1923" s="16">
        <f t="shared" si="58"/>
        <v>1.3678290829656166</v>
      </c>
    </row>
    <row r="1924" spans="1:13" x14ac:dyDescent="0.25">
      <c r="A1924" s="2">
        <f t="shared" si="59"/>
        <v>1919</v>
      </c>
      <c r="B1924" s="2">
        <v>118821</v>
      </c>
      <c r="C1924" s="2" t="s">
        <v>4430</v>
      </c>
      <c r="D1924" s="14" t="s">
        <v>1913</v>
      </c>
      <c r="E1924" s="14">
        <v>0</v>
      </c>
      <c r="F1924" s="14">
        <v>0</v>
      </c>
      <c r="G1924" s="14">
        <v>0</v>
      </c>
      <c r="H1924" s="16">
        <v>0</v>
      </c>
      <c r="I1924" s="16">
        <v>0</v>
      </c>
      <c r="J1924" s="3" t="s">
        <v>5011</v>
      </c>
      <c r="K1924" s="16">
        <v>0</v>
      </c>
      <c r="L1924" s="16">
        <v>0</v>
      </c>
      <c r="M1924" s="16">
        <v>0</v>
      </c>
    </row>
    <row r="1925" spans="1:13" x14ac:dyDescent="0.25">
      <c r="A1925" s="2">
        <f t="shared" si="59"/>
        <v>1920</v>
      </c>
      <c r="B1925" s="2">
        <v>118933</v>
      </c>
      <c r="C1925" s="2" t="s">
        <v>4431</v>
      </c>
      <c r="D1925" s="14" t="s">
        <v>1914</v>
      </c>
      <c r="E1925" s="14">
        <v>40.856996000000002</v>
      </c>
      <c r="F1925" s="14">
        <v>0</v>
      </c>
      <c r="G1925" s="14">
        <v>40.856996000000002</v>
      </c>
      <c r="H1925" s="16">
        <v>7233.6782278999999</v>
      </c>
      <c r="I1925" s="16">
        <v>4900.4762915000001</v>
      </c>
      <c r="J1925" s="3" t="s">
        <v>5011</v>
      </c>
      <c r="K1925" s="16">
        <v>47194.820378735501</v>
      </c>
      <c r="L1925" s="16">
        <v>6349.7914849999997</v>
      </c>
      <c r="M1925" s="16">
        <f t="shared" si="58"/>
        <v>0.87780950229568055</v>
      </c>
    </row>
    <row r="1926" spans="1:13" x14ac:dyDescent="0.25">
      <c r="A1926" s="2">
        <f t="shared" si="59"/>
        <v>1921</v>
      </c>
      <c r="B1926" s="2">
        <v>118996</v>
      </c>
      <c r="C1926" s="2" t="s">
        <v>4432</v>
      </c>
      <c r="D1926" s="14" t="s">
        <v>1915</v>
      </c>
      <c r="E1926" s="14">
        <v>0</v>
      </c>
      <c r="F1926" s="14">
        <v>0</v>
      </c>
      <c r="G1926" s="14">
        <v>0</v>
      </c>
      <c r="H1926" s="16">
        <v>0</v>
      </c>
      <c r="I1926" s="16">
        <v>0</v>
      </c>
      <c r="J1926" s="3" t="s">
        <v>5011</v>
      </c>
      <c r="K1926" s="16">
        <v>0</v>
      </c>
      <c r="L1926" s="16">
        <v>0</v>
      </c>
      <c r="M1926" s="16">
        <v>0</v>
      </c>
    </row>
    <row r="1927" spans="1:13" x14ac:dyDescent="0.25">
      <c r="A1927" s="2">
        <f t="shared" si="59"/>
        <v>1922</v>
      </c>
      <c r="B1927" s="2">
        <v>119147</v>
      </c>
      <c r="C1927" s="2" t="s">
        <v>4433</v>
      </c>
      <c r="D1927" s="14" t="s">
        <v>1916</v>
      </c>
      <c r="E1927" s="14">
        <v>0</v>
      </c>
      <c r="F1927" s="14">
        <v>0</v>
      </c>
      <c r="G1927" s="14">
        <v>0</v>
      </c>
      <c r="H1927" s="16">
        <v>0</v>
      </c>
      <c r="I1927" s="16">
        <v>0</v>
      </c>
      <c r="J1927" s="3" t="s">
        <v>5011</v>
      </c>
      <c r="K1927" s="16">
        <v>0</v>
      </c>
      <c r="L1927" s="16">
        <v>0</v>
      </c>
      <c r="M1927" s="16">
        <v>0</v>
      </c>
    </row>
    <row r="1928" spans="1:13" x14ac:dyDescent="0.25">
      <c r="A1928" s="2">
        <f t="shared" ref="A1928:A1991" si="60">A1927+1</f>
        <v>1923</v>
      </c>
      <c r="B1928" s="2">
        <v>119383</v>
      </c>
      <c r="C1928" s="2" t="s">
        <v>4434</v>
      </c>
      <c r="D1928" s="14" t="s">
        <v>1917</v>
      </c>
      <c r="E1928" s="14">
        <v>4.1507323999999999</v>
      </c>
      <c r="F1928" s="14">
        <v>0</v>
      </c>
      <c r="G1928" s="14">
        <v>4.1507323999999999</v>
      </c>
      <c r="H1928" s="16">
        <v>174.90675469999999</v>
      </c>
      <c r="I1928" s="16">
        <v>109.58752</v>
      </c>
      <c r="J1928" s="3" t="s">
        <v>5011</v>
      </c>
      <c r="K1928" s="16">
        <v>3273.7642967865986</v>
      </c>
      <c r="L1928" s="16">
        <v>401.10110909999997</v>
      </c>
      <c r="M1928" s="16">
        <f t="shared" ref="M1927:M1990" si="61">L1928/H1928</f>
        <v>2.2932282391721719</v>
      </c>
    </row>
    <row r="1929" spans="1:13" x14ac:dyDescent="0.25">
      <c r="A1929" s="2">
        <f t="shared" si="60"/>
        <v>1924</v>
      </c>
      <c r="B1929" s="2">
        <v>119459</v>
      </c>
      <c r="C1929" s="2" t="s">
        <v>4435</v>
      </c>
      <c r="D1929" s="14" t="s">
        <v>1918</v>
      </c>
      <c r="E1929" s="14">
        <v>4.982530000000001E-2</v>
      </c>
      <c r="F1929" s="14">
        <v>0</v>
      </c>
      <c r="G1929" s="14">
        <v>4.982530000000001E-2</v>
      </c>
      <c r="H1929" s="16">
        <v>0.77496199999999993</v>
      </c>
      <c r="I1929" s="16">
        <v>0.25353189999999998</v>
      </c>
      <c r="J1929" s="3" t="s">
        <v>5011</v>
      </c>
      <c r="K1929" s="16">
        <v>40.120907708099999</v>
      </c>
      <c r="L1929" s="16">
        <v>4.1950294000000001</v>
      </c>
      <c r="M1929" s="16">
        <f t="shared" si="61"/>
        <v>5.4132065830324594</v>
      </c>
    </row>
    <row r="1930" spans="1:13" x14ac:dyDescent="0.25">
      <c r="A1930" s="2">
        <f t="shared" si="60"/>
        <v>1925</v>
      </c>
      <c r="B1930" s="2">
        <v>119692</v>
      </c>
      <c r="C1930" s="2" t="s">
        <v>4436</v>
      </c>
      <c r="D1930" s="14" t="s">
        <v>1919</v>
      </c>
      <c r="E1930" s="14">
        <v>0</v>
      </c>
      <c r="F1930" s="14">
        <v>0</v>
      </c>
      <c r="G1930" s="14">
        <v>0</v>
      </c>
      <c r="H1930" s="16">
        <v>0</v>
      </c>
      <c r="I1930" s="16">
        <v>0</v>
      </c>
      <c r="J1930" s="3" t="s">
        <v>5011</v>
      </c>
      <c r="K1930" s="16">
        <v>0</v>
      </c>
      <c r="L1930" s="16">
        <v>0</v>
      </c>
      <c r="M1930" s="16">
        <v>0</v>
      </c>
    </row>
    <row r="1931" spans="1:13" x14ac:dyDescent="0.25">
      <c r="A1931" s="2">
        <f t="shared" si="60"/>
        <v>1926</v>
      </c>
      <c r="B1931" s="2">
        <v>119695</v>
      </c>
      <c r="C1931" s="2" t="s">
        <v>4437</v>
      </c>
      <c r="D1931" s="14" t="s">
        <v>1920</v>
      </c>
      <c r="E1931" s="14">
        <v>0</v>
      </c>
      <c r="F1931" s="14">
        <v>0</v>
      </c>
      <c r="G1931" s="14">
        <v>0</v>
      </c>
      <c r="H1931" s="16">
        <v>0</v>
      </c>
      <c r="I1931" s="16">
        <v>0</v>
      </c>
      <c r="J1931" s="3" t="s">
        <v>5011</v>
      </c>
      <c r="K1931" s="16">
        <v>0</v>
      </c>
      <c r="L1931" s="16">
        <v>0</v>
      </c>
      <c r="M1931" s="16">
        <v>0</v>
      </c>
    </row>
    <row r="1932" spans="1:13" x14ac:dyDescent="0.25">
      <c r="A1932" s="2">
        <f t="shared" si="60"/>
        <v>1927</v>
      </c>
      <c r="B1932" s="2">
        <v>119893</v>
      </c>
      <c r="C1932" s="2" t="s">
        <v>4438</v>
      </c>
      <c r="D1932" s="14" t="s">
        <v>1921</v>
      </c>
      <c r="E1932" s="14">
        <v>0.10304579999999999</v>
      </c>
      <c r="F1932" s="14">
        <v>0</v>
      </c>
      <c r="G1932" s="14">
        <v>0.10304579999999999</v>
      </c>
      <c r="H1932" s="16">
        <v>11.504803000000001</v>
      </c>
      <c r="I1932" s="16">
        <v>7.8273567000000002</v>
      </c>
      <c r="J1932" s="3" t="s">
        <v>5011</v>
      </c>
      <c r="K1932" s="16">
        <v>104.43295481210001</v>
      </c>
      <c r="L1932" s="16">
        <v>11.8456352</v>
      </c>
      <c r="M1932" s="16">
        <f t="shared" si="61"/>
        <v>1.0296252095755138</v>
      </c>
    </row>
    <row r="1933" spans="1:13" x14ac:dyDescent="0.25">
      <c r="A1933" s="2">
        <f t="shared" si="60"/>
        <v>1928</v>
      </c>
      <c r="B1933" s="2">
        <v>120004</v>
      </c>
      <c r="C1933" s="2" t="s">
        <v>4439</v>
      </c>
      <c r="D1933" s="14" t="s">
        <v>1922</v>
      </c>
      <c r="E1933" s="14">
        <v>0</v>
      </c>
      <c r="F1933" s="14">
        <v>0</v>
      </c>
      <c r="G1933" s="14">
        <v>0</v>
      </c>
      <c r="H1933" s="16">
        <v>0</v>
      </c>
      <c r="I1933" s="16">
        <v>0</v>
      </c>
      <c r="J1933" s="3" t="s">
        <v>5011</v>
      </c>
      <c r="K1933" s="16">
        <v>0</v>
      </c>
      <c r="L1933" s="16">
        <v>0</v>
      </c>
      <c r="M1933" s="16">
        <v>0</v>
      </c>
    </row>
    <row r="1934" spans="1:13" x14ac:dyDescent="0.25">
      <c r="A1934" s="2">
        <f t="shared" si="60"/>
        <v>1929</v>
      </c>
      <c r="B1934" s="2">
        <v>120049</v>
      </c>
      <c r="C1934" s="2" t="s">
        <v>4440</v>
      </c>
      <c r="D1934" s="14" t="s">
        <v>1923</v>
      </c>
      <c r="E1934" s="14">
        <v>3.4361599999999999E-2</v>
      </c>
      <c r="F1934" s="14">
        <v>0</v>
      </c>
      <c r="G1934" s="14">
        <v>3.4361599999999999E-2</v>
      </c>
      <c r="H1934" s="16">
        <v>4.0047997999999998</v>
      </c>
      <c r="I1934" s="16">
        <v>3.1742631000000001</v>
      </c>
      <c r="J1934" s="3" t="s">
        <v>5011</v>
      </c>
      <c r="K1934" s="16">
        <v>41.5522726608</v>
      </c>
      <c r="L1934" s="16">
        <v>6.8345127000000003</v>
      </c>
      <c r="M1934" s="16">
        <f t="shared" si="61"/>
        <v>1.7065803638923476</v>
      </c>
    </row>
    <row r="1935" spans="1:13" x14ac:dyDescent="0.25">
      <c r="A1935" s="2">
        <f t="shared" si="60"/>
        <v>1930</v>
      </c>
      <c r="B1935" s="2">
        <v>120088</v>
      </c>
      <c r="C1935" s="2" t="s">
        <v>4441</v>
      </c>
      <c r="D1935" s="14" t="s">
        <v>1924</v>
      </c>
      <c r="E1935" s="14">
        <v>0</v>
      </c>
      <c r="F1935" s="14">
        <v>0</v>
      </c>
      <c r="G1935" s="14">
        <v>0</v>
      </c>
      <c r="H1935" s="16">
        <v>0</v>
      </c>
      <c r="I1935" s="16">
        <v>0</v>
      </c>
      <c r="J1935" s="3" t="s">
        <v>5011</v>
      </c>
      <c r="K1935" s="16">
        <v>0</v>
      </c>
      <c r="L1935" s="16">
        <v>0</v>
      </c>
      <c r="M1935" s="16">
        <v>0</v>
      </c>
    </row>
    <row r="1936" spans="1:13" x14ac:dyDescent="0.25">
      <c r="A1936" s="2">
        <f t="shared" si="60"/>
        <v>1931</v>
      </c>
      <c r="B1936" s="2">
        <v>120116</v>
      </c>
      <c r="C1936" s="2" t="s">
        <v>4442</v>
      </c>
      <c r="D1936" s="14" t="s">
        <v>1925</v>
      </c>
      <c r="E1936" s="14">
        <v>0</v>
      </c>
      <c r="F1936" s="14">
        <v>0</v>
      </c>
      <c r="G1936" s="14">
        <v>0</v>
      </c>
      <c r="H1936" s="16">
        <v>0</v>
      </c>
      <c r="I1936" s="16">
        <v>0</v>
      </c>
      <c r="J1936" s="3" t="s">
        <v>5011</v>
      </c>
      <c r="K1936" s="16">
        <v>0.77910659549999994</v>
      </c>
      <c r="L1936" s="16">
        <v>7.9854999999999995E-2</v>
      </c>
      <c r="M1936" s="16">
        <v>0</v>
      </c>
    </row>
    <row r="1937" spans="1:13" x14ac:dyDescent="0.25">
      <c r="A1937" s="2">
        <f t="shared" si="60"/>
        <v>1932</v>
      </c>
      <c r="B1937" s="2">
        <v>120121</v>
      </c>
      <c r="C1937" s="2" t="s">
        <v>4443</v>
      </c>
      <c r="D1937" s="14" t="s">
        <v>1926</v>
      </c>
      <c r="E1937" s="14">
        <v>7.4262481000000005</v>
      </c>
      <c r="F1937" s="14">
        <v>0</v>
      </c>
      <c r="G1937" s="14">
        <v>7.4262481000000005</v>
      </c>
      <c r="H1937" s="16">
        <v>889.9479270999999</v>
      </c>
      <c r="I1937" s="16">
        <v>772.10534919999986</v>
      </c>
      <c r="J1937" s="3" t="s">
        <v>5011</v>
      </c>
      <c r="K1937" s="16">
        <v>6968.9618740800925</v>
      </c>
      <c r="L1937" s="16">
        <v>1184.2089572</v>
      </c>
      <c r="M1937" s="16">
        <f t="shared" si="61"/>
        <v>1.3306497168422924</v>
      </c>
    </row>
    <row r="1938" spans="1:13" x14ac:dyDescent="0.25">
      <c r="A1938" s="2">
        <f t="shared" si="60"/>
        <v>1933</v>
      </c>
      <c r="B1938" s="2">
        <v>120300</v>
      </c>
      <c r="C1938" s="2" t="s">
        <v>4444</v>
      </c>
      <c r="D1938" s="14" t="s">
        <v>1927</v>
      </c>
      <c r="E1938" s="14">
        <v>0.52025869999999996</v>
      </c>
      <c r="F1938" s="14">
        <v>0</v>
      </c>
      <c r="G1938" s="14">
        <v>0.52025869999999996</v>
      </c>
      <c r="H1938" s="16">
        <v>20.835223299999999</v>
      </c>
      <c r="I1938" s="16">
        <v>13.5397231</v>
      </c>
      <c r="J1938" s="3" t="s">
        <v>5011</v>
      </c>
      <c r="K1938" s="16">
        <v>501.80825843579998</v>
      </c>
      <c r="L1938" s="16">
        <v>60.731581799999994</v>
      </c>
      <c r="M1938" s="16">
        <f t="shared" si="61"/>
        <v>2.9148514957360692</v>
      </c>
    </row>
    <row r="1939" spans="1:13" x14ac:dyDescent="0.25">
      <c r="A1939" s="2">
        <f t="shared" si="60"/>
        <v>1934</v>
      </c>
      <c r="B1939" s="2">
        <v>120335</v>
      </c>
      <c r="C1939" s="2" t="s">
        <v>4445</v>
      </c>
      <c r="D1939" s="14" t="s">
        <v>1928</v>
      </c>
      <c r="E1939" s="14">
        <v>7.8208845999999994</v>
      </c>
      <c r="F1939" s="14">
        <v>0</v>
      </c>
      <c r="G1939" s="14">
        <v>7.8208845999999994</v>
      </c>
      <c r="H1939" s="16">
        <v>1252.0347558999999</v>
      </c>
      <c r="I1939" s="16">
        <v>902.55732310000008</v>
      </c>
      <c r="J1939" s="3" t="s">
        <v>5011</v>
      </c>
      <c r="K1939" s="16">
        <v>8708.0324207981994</v>
      </c>
      <c r="L1939" s="16">
        <v>1478.1016716999998</v>
      </c>
      <c r="M1939" s="16">
        <f t="shared" si="61"/>
        <v>1.1805596168434607</v>
      </c>
    </row>
    <row r="1940" spans="1:13" x14ac:dyDescent="0.25">
      <c r="A1940" s="2">
        <f t="shared" si="60"/>
        <v>1935</v>
      </c>
      <c r="B1940" s="2">
        <v>120435</v>
      </c>
      <c r="C1940" s="2" t="s">
        <v>4446</v>
      </c>
      <c r="D1940" s="14" t="s">
        <v>1929</v>
      </c>
      <c r="E1940" s="14">
        <v>1.50803E-2</v>
      </c>
      <c r="F1940" s="14">
        <v>0</v>
      </c>
      <c r="G1940" s="14">
        <v>1.50803E-2</v>
      </c>
      <c r="H1940" s="16">
        <v>0.82995910000000006</v>
      </c>
      <c r="I1940" s="16">
        <v>0.7318593000000001</v>
      </c>
      <c r="J1940" s="3" t="s">
        <v>5011</v>
      </c>
      <c r="K1940" s="16">
        <v>17.398517350799999</v>
      </c>
      <c r="L1940" s="16">
        <v>2.2515380999999999</v>
      </c>
      <c r="M1940" s="16">
        <f t="shared" si="61"/>
        <v>2.712830186451356</v>
      </c>
    </row>
    <row r="1941" spans="1:13" x14ac:dyDescent="0.25">
      <c r="A1941" s="2">
        <f t="shared" si="60"/>
        <v>1936</v>
      </c>
      <c r="B1941" s="2">
        <v>120498</v>
      </c>
      <c r="C1941" s="2" t="s">
        <v>4447</v>
      </c>
      <c r="D1941" s="14" t="s">
        <v>1930</v>
      </c>
      <c r="E1941" s="14">
        <v>0</v>
      </c>
      <c r="F1941" s="14">
        <v>0</v>
      </c>
      <c r="G1941" s="14">
        <v>0</v>
      </c>
      <c r="H1941" s="16">
        <v>0</v>
      </c>
      <c r="I1941" s="16">
        <v>0</v>
      </c>
      <c r="J1941" s="3" t="s">
        <v>5011</v>
      </c>
      <c r="K1941" s="16">
        <v>0</v>
      </c>
      <c r="L1941" s="16">
        <v>0</v>
      </c>
      <c r="M1941" s="16">
        <v>0</v>
      </c>
    </row>
    <row r="1942" spans="1:13" x14ac:dyDescent="0.25">
      <c r="A1942" s="2">
        <f t="shared" si="60"/>
        <v>1937</v>
      </c>
      <c r="B1942" s="2">
        <v>120646</v>
      </c>
      <c r="C1942" s="2" t="s">
        <v>4448</v>
      </c>
      <c r="D1942" s="14" t="s">
        <v>1931</v>
      </c>
      <c r="E1942" s="14">
        <v>7.7151411999999997</v>
      </c>
      <c r="F1942" s="14">
        <v>0</v>
      </c>
      <c r="G1942" s="14">
        <v>7.7151411999999997</v>
      </c>
      <c r="H1942" s="16">
        <v>1810.1061671</v>
      </c>
      <c r="I1942" s="16">
        <v>1789.7053181000001</v>
      </c>
      <c r="J1942" s="3" t="s">
        <v>5011</v>
      </c>
      <c r="K1942" s="16">
        <v>8521.8009205970993</v>
      </c>
      <c r="L1942" s="16">
        <v>2052.0359944000002</v>
      </c>
      <c r="M1942" s="16">
        <f t="shared" si="61"/>
        <v>1.1336550483597323</v>
      </c>
    </row>
    <row r="1943" spans="1:13" x14ac:dyDescent="0.25">
      <c r="A1943" s="2">
        <f t="shared" si="60"/>
        <v>1938</v>
      </c>
      <c r="B1943" s="2">
        <v>120781</v>
      </c>
      <c r="C1943" s="2" t="s">
        <v>4449</v>
      </c>
      <c r="D1943" s="14" t="s">
        <v>1932</v>
      </c>
      <c r="E1943" s="14">
        <v>0.87273740000000011</v>
      </c>
      <c r="F1943" s="14">
        <v>0</v>
      </c>
      <c r="G1943" s="14">
        <v>0.87273740000000011</v>
      </c>
      <c r="H1943" s="16">
        <v>31.678397799999999</v>
      </c>
      <c r="I1943" s="16">
        <v>22.0512555</v>
      </c>
      <c r="J1943" s="3" t="s">
        <v>5011</v>
      </c>
      <c r="K1943" s="16">
        <v>959.46629166569994</v>
      </c>
      <c r="L1943" s="16">
        <v>106.1594874</v>
      </c>
      <c r="M1943" s="16">
        <f t="shared" si="61"/>
        <v>3.3511634038511886</v>
      </c>
    </row>
    <row r="1944" spans="1:13" x14ac:dyDescent="0.25">
      <c r="A1944" s="2">
        <f t="shared" si="60"/>
        <v>1939</v>
      </c>
      <c r="B1944" s="2">
        <v>121064</v>
      </c>
      <c r="C1944" s="2" t="s">
        <v>4450</v>
      </c>
      <c r="D1944" s="14" t="s">
        <v>1933</v>
      </c>
      <c r="E1944" s="14">
        <v>3.2285688999999995</v>
      </c>
      <c r="F1944" s="14">
        <v>0</v>
      </c>
      <c r="G1944" s="14">
        <v>3.2285688999999995</v>
      </c>
      <c r="H1944" s="16">
        <v>463.34174090000005</v>
      </c>
      <c r="I1944" s="16">
        <v>306.52629640000004</v>
      </c>
      <c r="J1944" s="3" t="s">
        <v>5011</v>
      </c>
      <c r="K1944" s="16">
        <v>3662.8203305113993</v>
      </c>
      <c r="L1944" s="16">
        <v>606.22514079999996</v>
      </c>
      <c r="M1944" s="16">
        <f t="shared" si="61"/>
        <v>1.3083758428982928</v>
      </c>
    </row>
    <row r="1945" spans="1:13" x14ac:dyDescent="0.25">
      <c r="A1945" s="2">
        <f t="shared" si="60"/>
        <v>1940</v>
      </c>
      <c r="B1945" s="2">
        <v>121121</v>
      </c>
      <c r="C1945" s="2" t="s">
        <v>4451</v>
      </c>
      <c r="D1945" s="14" t="s">
        <v>1934</v>
      </c>
      <c r="E1945" s="14">
        <v>2.9405497000000009</v>
      </c>
      <c r="F1945" s="14">
        <v>0</v>
      </c>
      <c r="G1945" s="14">
        <v>2.9405497000000009</v>
      </c>
      <c r="H1945" s="16">
        <v>191.5171694</v>
      </c>
      <c r="I1945" s="16">
        <v>151.379716</v>
      </c>
      <c r="J1945" s="3" t="s">
        <v>5011</v>
      </c>
      <c r="K1945" s="16">
        <v>2606.3008042741994</v>
      </c>
      <c r="L1945" s="16">
        <v>380.14498829999997</v>
      </c>
      <c r="M1945" s="16">
        <f t="shared" si="61"/>
        <v>1.9849133604623961</v>
      </c>
    </row>
    <row r="1946" spans="1:13" x14ac:dyDescent="0.25">
      <c r="A1946" s="2">
        <f t="shared" si="60"/>
        <v>1941</v>
      </c>
      <c r="B1946" s="2">
        <v>121196</v>
      </c>
      <c r="C1946" s="2" t="s">
        <v>4452</v>
      </c>
      <c r="D1946" s="14" t="s">
        <v>1935</v>
      </c>
      <c r="E1946" s="14">
        <v>0</v>
      </c>
      <c r="F1946" s="14">
        <v>0</v>
      </c>
      <c r="G1946" s="14">
        <v>0</v>
      </c>
      <c r="H1946" s="16">
        <v>0</v>
      </c>
      <c r="I1946" s="16">
        <v>0</v>
      </c>
      <c r="J1946" s="3" t="s">
        <v>5011</v>
      </c>
      <c r="K1946" s="16">
        <v>0</v>
      </c>
      <c r="L1946" s="16">
        <v>0</v>
      </c>
      <c r="M1946" s="16">
        <v>0</v>
      </c>
    </row>
    <row r="1947" spans="1:13" x14ac:dyDescent="0.25">
      <c r="A1947" s="2">
        <f t="shared" si="60"/>
        <v>1942</v>
      </c>
      <c r="B1947" s="2">
        <v>121232</v>
      </c>
      <c r="C1947" s="2" t="s">
        <v>4453</v>
      </c>
      <c r="D1947" s="14" t="s">
        <v>1936</v>
      </c>
      <c r="E1947" s="14">
        <v>0</v>
      </c>
      <c r="F1947" s="14">
        <v>0</v>
      </c>
      <c r="G1947" s="14">
        <v>0</v>
      </c>
      <c r="H1947" s="16">
        <v>0</v>
      </c>
      <c r="I1947" s="16">
        <v>0</v>
      </c>
      <c r="J1947" s="3" t="s">
        <v>5011</v>
      </c>
      <c r="K1947" s="16">
        <v>0</v>
      </c>
      <c r="L1947" s="16">
        <v>0</v>
      </c>
      <c r="M1947" s="16">
        <v>0</v>
      </c>
    </row>
    <row r="1948" spans="1:13" x14ac:dyDescent="0.25">
      <c r="A1948" s="2">
        <f t="shared" si="60"/>
        <v>1943</v>
      </c>
      <c r="B1948" s="2">
        <v>121333</v>
      </c>
      <c r="C1948" s="2" t="s">
        <v>4454</v>
      </c>
      <c r="D1948" s="14" t="s">
        <v>1937</v>
      </c>
      <c r="E1948" s="14">
        <v>0</v>
      </c>
      <c r="F1948" s="14">
        <v>0</v>
      </c>
      <c r="G1948" s="14">
        <v>0</v>
      </c>
      <c r="H1948" s="16">
        <v>0</v>
      </c>
      <c r="I1948" s="16">
        <v>0</v>
      </c>
      <c r="J1948" s="3" t="s">
        <v>5011</v>
      </c>
      <c r="K1948" s="16">
        <v>0</v>
      </c>
      <c r="L1948" s="16">
        <v>0</v>
      </c>
      <c r="M1948" s="16">
        <v>0</v>
      </c>
    </row>
    <row r="1949" spans="1:13" x14ac:dyDescent="0.25">
      <c r="A1949" s="2">
        <f t="shared" si="60"/>
        <v>1944</v>
      </c>
      <c r="B1949" s="2">
        <v>121338</v>
      </c>
      <c r="C1949" s="2" t="s">
        <v>4455</v>
      </c>
      <c r="D1949" s="14" t="s">
        <v>1938</v>
      </c>
      <c r="E1949" s="14">
        <v>5.1858000000000008E-3</v>
      </c>
      <c r="F1949" s="14">
        <v>0</v>
      </c>
      <c r="G1949" s="14">
        <v>5.1858000000000008E-3</v>
      </c>
      <c r="H1949" s="16">
        <v>15.999200099999999</v>
      </c>
      <c r="I1949" s="16">
        <v>12.5991821</v>
      </c>
      <c r="J1949" s="3" t="s">
        <v>5011</v>
      </c>
      <c r="K1949" s="16">
        <v>37.517712001199996</v>
      </c>
      <c r="L1949" s="16">
        <v>17.8988117</v>
      </c>
      <c r="M1949" s="16">
        <f t="shared" si="61"/>
        <v>1.1187316608409692</v>
      </c>
    </row>
    <row r="1950" spans="1:13" x14ac:dyDescent="0.25">
      <c r="A1950" s="2">
        <f t="shared" si="60"/>
        <v>1945</v>
      </c>
      <c r="B1950" s="2">
        <v>121343</v>
      </c>
      <c r="C1950" s="2" t="s">
        <v>4456</v>
      </c>
      <c r="D1950" s="14" t="s">
        <v>1939</v>
      </c>
      <c r="E1950" s="14">
        <v>2.9597305999999999</v>
      </c>
      <c r="F1950" s="14">
        <v>0</v>
      </c>
      <c r="G1950" s="14">
        <v>2.9597305999999999</v>
      </c>
      <c r="H1950" s="16">
        <v>544.35480840000002</v>
      </c>
      <c r="I1950" s="16">
        <v>512.31212760000005</v>
      </c>
      <c r="J1950" s="3" t="s">
        <v>5011</v>
      </c>
      <c r="K1950" s="16">
        <v>3182.9988095439994</v>
      </c>
      <c r="L1950" s="16">
        <v>684.76860099999999</v>
      </c>
      <c r="M1950" s="16">
        <f t="shared" si="61"/>
        <v>1.2579453518794341</v>
      </c>
    </row>
    <row r="1951" spans="1:13" x14ac:dyDescent="0.25">
      <c r="A1951" s="2">
        <f t="shared" si="60"/>
        <v>1946</v>
      </c>
      <c r="B1951" s="2">
        <v>121472</v>
      </c>
      <c r="C1951" s="2" t="s">
        <v>4457</v>
      </c>
      <c r="D1951" s="14" t="s">
        <v>1940</v>
      </c>
      <c r="E1951" s="14">
        <v>0</v>
      </c>
      <c r="F1951" s="14">
        <v>0</v>
      </c>
      <c r="G1951" s="14">
        <v>0</v>
      </c>
      <c r="H1951" s="16">
        <v>0</v>
      </c>
      <c r="I1951" s="16">
        <v>0</v>
      </c>
      <c r="J1951" s="3" t="s">
        <v>5011</v>
      </c>
      <c r="K1951" s="16">
        <v>0</v>
      </c>
      <c r="L1951" s="16">
        <v>0</v>
      </c>
      <c r="M1951" s="16">
        <v>0</v>
      </c>
    </row>
    <row r="1952" spans="1:13" x14ac:dyDescent="0.25">
      <c r="A1952" s="2">
        <f t="shared" si="60"/>
        <v>1947</v>
      </c>
      <c r="B1952" s="2">
        <v>121519</v>
      </c>
      <c r="C1952" s="2" t="s">
        <v>4458</v>
      </c>
      <c r="D1952" s="14" t="s">
        <v>1941</v>
      </c>
      <c r="E1952" s="14">
        <v>9.881899999999999E-3</v>
      </c>
      <c r="F1952" s="14">
        <v>0</v>
      </c>
      <c r="G1952" s="14">
        <v>9.881899999999999E-3</v>
      </c>
      <c r="H1952" s="16">
        <v>1.8217401000000002</v>
      </c>
      <c r="I1952" s="16">
        <v>1.4199089</v>
      </c>
      <c r="J1952" s="3" t="s">
        <v>5011</v>
      </c>
      <c r="K1952" s="16">
        <v>11.3657562194</v>
      </c>
      <c r="L1952" s="16">
        <v>2.3450860000000002</v>
      </c>
      <c r="M1952" s="16">
        <f t="shared" si="61"/>
        <v>1.2872780261026258</v>
      </c>
    </row>
    <row r="1953" spans="1:13" x14ac:dyDescent="0.25">
      <c r="A1953" s="2">
        <f t="shared" si="60"/>
        <v>1948</v>
      </c>
      <c r="B1953" s="2">
        <v>121841</v>
      </c>
      <c r="C1953" s="2" t="s">
        <v>4459</v>
      </c>
      <c r="D1953" s="14" t="s">
        <v>1942</v>
      </c>
      <c r="E1953" s="14">
        <v>0</v>
      </c>
      <c r="F1953" s="14">
        <v>0</v>
      </c>
      <c r="G1953" s="14">
        <v>0</v>
      </c>
      <c r="H1953" s="16">
        <v>0</v>
      </c>
      <c r="I1953" s="16">
        <v>0</v>
      </c>
      <c r="J1953" s="3" t="s">
        <v>5011</v>
      </c>
      <c r="K1953" s="16">
        <v>0</v>
      </c>
      <c r="L1953" s="16">
        <v>0</v>
      </c>
      <c r="M1953" s="16">
        <v>0</v>
      </c>
    </row>
    <row r="1954" spans="1:13" x14ac:dyDescent="0.25">
      <c r="A1954" s="2">
        <f t="shared" si="60"/>
        <v>1949</v>
      </c>
      <c r="B1954" s="2">
        <v>121862</v>
      </c>
      <c r="C1954" s="2" t="s">
        <v>4460</v>
      </c>
      <c r="D1954" s="14" t="s">
        <v>1943</v>
      </c>
      <c r="E1954" s="14">
        <v>11.422448000000001</v>
      </c>
      <c r="F1954" s="14">
        <v>0</v>
      </c>
      <c r="G1954" s="14">
        <v>11.422448000000001</v>
      </c>
      <c r="H1954" s="16">
        <v>257.32594620000003</v>
      </c>
      <c r="I1954" s="16">
        <v>127.6125473</v>
      </c>
      <c r="J1954" s="3" t="s">
        <v>5011</v>
      </c>
      <c r="K1954" s="16">
        <v>7977.9684539531027</v>
      </c>
      <c r="L1954" s="16">
        <v>886.13892409999994</v>
      </c>
      <c r="M1954" s="16">
        <f t="shared" si="61"/>
        <v>3.4436438967226066</v>
      </c>
    </row>
    <row r="1955" spans="1:13" x14ac:dyDescent="0.25">
      <c r="A1955" s="2">
        <f t="shared" si="60"/>
        <v>1950</v>
      </c>
      <c r="B1955" s="2">
        <v>121967</v>
      </c>
      <c r="C1955" s="2" t="s">
        <v>4461</v>
      </c>
      <c r="D1955" s="14" t="s">
        <v>1944</v>
      </c>
      <c r="E1955" s="14">
        <v>3.5252691999999999</v>
      </c>
      <c r="F1955" s="14">
        <v>0</v>
      </c>
      <c r="G1955" s="14">
        <v>3.5252691999999999</v>
      </c>
      <c r="H1955" s="16">
        <v>809.37600120000002</v>
      </c>
      <c r="I1955" s="16">
        <v>739.14076280000006</v>
      </c>
      <c r="J1955" s="3" t="s">
        <v>5011</v>
      </c>
      <c r="K1955" s="16">
        <v>3748.7934696560014</v>
      </c>
      <c r="L1955" s="16">
        <v>866.79782099999989</v>
      </c>
      <c r="M1955" s="16">
        <f t="shared" si="61"/>
        <v>1.0709457899849575</v>
      </c>
    </row>
    <row r="1956" spans="1:13" x14ac:dyDescent="0.25">
      <c r="A1956" s="2">
        <f t="shared" si="60"/>
        <v>1951</v>
      </c>
      <c r="B1956" s="2">
        <v>121999</v>
      </c>
      <c r="C1956" s="2" t="s">
        <v>4462</v>
      </c>
      <c r="D1956" s="14" t="s">
        <v>1945</v>
      </c>
      <c r="E1956" s="14">
        <v>0.31420210000000004</v>
      </c>
      <c r="F1956" s="14">
        <v>0</v>
      </c>
      <c r="G1956" s="14">
        <v>0.31420210000000004</v>
      </c>
      <c r="H1956" s="16">
        <v>298.54253299999999</v>
      </c>
      <c r="I1956" s="16">
        <v>238.3013746</v>
      </c>
      <c r="J1956" s="3" t="s">
        <v>5011</v>
      </c>
      <c r="K1956" s="16">
        <v>803.3457694312001</v>
      </c>
      <c r="L1956" s="16">
        <v>327.24614869999999</v>
      </c>
      <c r="M1956" s="16">
        <f t="shared" si="61"/>
        <v>1.0961458168508271</v>
      </c>
    </row>
    <row r="1957" spans="1:13" x14ac:dyDescent="0.25">
      <c r="A1957" s="2">
        <f t="shared" si="60"/>
        <v>1952</v>
      </c>
      <c r="B1957" s="2">
        <v>122067</v>
      </c>
      <c r="C1957" s="2" t="s">
        <v>4463</v>
      </c>
      <c r="D1957" s="14" t="s">
        <v>1946</v>
      </c>
      <c r="E1957" s="14">
        <v>5.8284085999999986</v>
      </c>
      <c r="F1957" s="14">
        <v>0</v>
      </c>
      <c r="G1957" s="14">
        <v>5.8284085999999986</v>
      </c>
      <c r="H1957" s="16">
        <v>503.08201320000001</v>
      </c>
      <c r="I1957" s="16">
        <v>393.93510689999999</v>
      </c>
      <c r="J1957" s="3" t="s">
        <v>5011</v>
      </c>
      <c r="K1957" s="16">
        <v>4896.9662179853995</v>
      </c>
      <c r="L1957" s="16">
        <v>793.11265379999998</v>
      </c>
      <c r="M1957" s="16">
        <f t="shared" si="61"/>
        <v>1.5765076726857623</v>
      </c>
    </row>
    <row r="1958" spans="1:13" x14ac:dyDescent="0.25">
      <c r="A1958" s="2">
        <f t="shared" si="60"/>
        <v>1953</v>
      </c>
      <c r="B1958" s="2">
        <v>122073</v>
      </c>
      <c r="C1958" s="2" t="s">
        <v>4464</v>
      </c>
      <c r="D1958" s="14" t="s">
        <v>1947</v>
      </c>
      <c r="E1958" s="14">
        <v>1.7684800000000004E-2</v>
      </c>
      <c r="F1958" s="14">
        <v>0</v>
      </c>
      <c r="G1958" s="14">
        <v>1.7684800000000004E-2</v>
      </c>
      <c r="H1958" s="16">
        <v>0</v>
      </c>
      <c r="I1958" s="16">
        <v>0</v>
      </c>
      <c r="J1958" s="3" t="s">
        <v>5011</v>
      </c>
      <c r="K1958" s="16">
        <v>23.210587987699999</v>
      </c>
      <c r="L1958" s="16">
        <v>2.3891306000000001</v>
      </c>
      <c r="M1958" s="16">
        <v>0</v>
      </c>
    </row>
    <row r="1959" spans="1:13" x14ac:dyDescent="0.25">
      <c r="A1959" s="2">
        <f t="shared" si="60"/>
        <v>1954</v>
      </c>
      <c r="B1959" s="2">
        <v>122590</v>
      </c>
      <c r="C1959" s="2" t="s">
        <v>4465</v>
      </c>
      <c r="D1959" s="14" t="s">
        <v>1948</v>
      </c>
      <c r="E1959" s="14">
        <v>0</v>
      </c>
      <c r="F1959" s="14">
        <v>0</v>
      </c>
      <c r="G1959" s="14">
        <v>0</v>
      </c>
      <c r="H1959" s="16">
        <v>0</v>
      </c>
      <c r="I1959" s="16">
        <v>0</v>
      </c>
      <c r="J1959" s="3" t="s">
        <v>5011</v>
      </c>
      <c r="K1959" s="16">
        <v>0</v>
      </c>
      <c r="L1959" s="16">
        <v>0</v>
      </c>
      <c r="M1959" s="16">
        <v>0</v>
      </c>
    </row>
    <row r="1960" spans="1:13" x14ac:dyDescent="0.25">
      <c r="A1960" s="2">
        <f t="shared" si="60"/>
        <v>1955</v>
      </c>
      <c r="B1960" s="2">
        <v>122642</v>
      </c>
      <c r="C1960" s="2" t="s">
        <v>4466</v>
      </c>
      <c r="D1960" s="14" t="s">
        <v>1949</v>
      </c>
      <c r="E1960" s="14">
        <v>16.312358199999998</v>
      </c>
      <c r="F1960" s="14">
        <v>0</v>
      </c>
      <c r="G1960" s="14">
        <v>16.312358199999998</v>
      </c>
      <c r="H1960" s="16">
        <v>740.71304040000007</v>
      </c>
      <c r="I1960" s="16">
        <v>305.20289660000003</v>
      </c>
      <c r="J1960" s="3" t="s">
        <v>5011</v>
      </c>
      <c r="K1960" s="16">
        <v>13592.045911941801</v>
      </c>
      <c r="L1960" s="16">
        <v>1549.6987061000002</v>
      </c>
      <c r="M1960" s="16">
        <f t="shared" si="61"/>
        <v>2.0921714909503031</v>
      </c>
    </row>
    <row r="1961" spans="1:13" x14ac:dyDescent="0.25">
      <c r="A1961" s="2">
        <f t="shared" si="60"/>
        <v>1956</v>
      </c>
      <c r="B1961" s="2">
        <v>122698</v>
      </c>
      <c r="C1961" s="2" t="s">
        <v>4467</v>
      </c>
      <c r="D1961" s="14" t="s">
        <v>1950</v>
      </c>
      <c r="E1961" s="14">
        <v>0.33930540000000003</v>
      </c>
      <c r="F1961" s="14">
        <v>0</v>
      </c>
      <c r="G1961" s="14">
        <v>0.33930540000000003</v>
      </c>
      <c r="H1961" s="16">
        <v>56.3849637</v>
      </c>
      <c r="I1961" s="16">
        <v>53.684280399999999</v>
      </c>
      <c r="J1961" s="3" t="s">
        <v>5011</v>
      </c>
      <c r="K1961" s="16">
        <v>421.17377312320002</v>
      </c>
      <c r="L1961" s="16">
        <v>82.196065899999994</v>
      </c>
      <c r="M1961" s="16">
        <f t="shared" si="61"/>
        <v>1.4577656968501338</v>
      </c>
    </row>
    <row r="1962" spans="1:13" x14ac:dyDescent="0.25">
      <c r="A1962" s="2">
        <f t="shared" si="60"/>
        <v>1957</v>
      </c>
      <c r="B1962" s="2">
        <v>122765</v>
      </c>
      <c r="C1962" s="2" t="s">
        <v>4468</v>
      </c>
      <c r="D1962" s="14" t="s">
        <v>1951</v>
      </c>
      <c r="E1962" s="14">
        <v>8.0567199999999992E-2</v>
      </c>
      <c r="F1962" s="14">
        <v>0</v>
      </c>
      <c r="G1962" s="14">
        <v>8.0567199999999992E-2</v>
      </c>
      <c r="H1962" s="16">
        <v>130.0131059</v>
      </c>
      <c r="I1962" s="16">
        <v>128.0690903</v>
      </c>
      <c r="J1962" s="3" t="s">
        <v>5011</v>
      </c>
      <c r="K1962" s="16">
        <v>488.48260363259999</v>
      </c>
      <c r="L1962" s="16">
        <v>141.4041053</v>
      </c>
      <c r="M1962" s="16">
        <f t="shared" si="61"/>
        <v>1.0876142395118338</v>
      </c>
    </row>
    <row r="1963" spans="1:13" x14ac:dyDescent="0.25">
      <c r="A1963" s="2">
        <f t="shared" si="60"/>
        <v>1958</v>
      </c>
      <c r="B1963" s="2">
        <v>122806</v>
      </c>
      <c r="C1963" s="2" t="s">
        <v>4469</v>
      </c>
      <c r="D1963" s="14" t="s">
        <v>1952</v>
      </c>
      <c r="E1963" s="14">
        <v>13.631859700000001</v>
      </c>
      <c r="F1963" s="14">
        <v>0</v>
      </c>
      <c r="G1963" s="14">
        <v>13.631859700000001</v>
      </c>
      <c r="H1963" s="16">
        <v>1166.4620136999999</v>
      </c>
      <c r="I1963" s="16">
        <v>969.50408270000014</v>
      </c>
      <c r="J1963" s="3" t="s">
        <v>5011</v>
      </c>
      <c r="K1963" s="16">
        <v>13210.018142211602</v>
      </c>
      <c r="L1963" s="16">
        <v>1878.6699053999998</v>
      </c>
      <c r="M1963" s="16">
        <f t="shared" si="61"/>
        <v>1.6105710116019014</v>
      </c>
    </row>
    <row r="1964" spans="1:13" x14ac:dyDescent="0.25">
      <c r="A1964" s="2">
        <f t="shared" si="60"/>
        <v>1959</v>
      </c>
      <c r="B1964" s="2">
        <v>123179</v>
      </c>
      <c r="C1964" s="2" t="s">
        <v>4470</v>
      </c>
      <c r="D1964" s="14" t="s">
        <v>1953</v>
      </c>
      <c r="E1964" s="14">
        <v>0.47102359999999999</v>
      </c>
      <c r="F1964" s="14">
        <v>0</v>
      </c>
      <c r="G1964" s="14">
        <v>0.47102359999999999</v>
      </c>
      <c r="H1964" s="16">
        <v>22.364094600000001</v>
      </c>
      <c r="I1964" s="16">
        <v>-13.040819700000002</v>
      </c>
      <c r="J1964" s="3" t="s">
        <v>5011</v>
      </c>
      <c r="K1964" s="16">
        <v>387.3117503039</v>
      </c>
      <c r="L1964" s="16">
        <v>37.750694199999998</v>
      </c>
      <c r="M1964" s="16">
        <f t="shared" si="61"/>
        <v>1.6880045839190823</v>
      </c>
    </row>
    <row r="1965" spans="1:13" x14ac:dyDescent="0.25">
      <c r="A1965" s="2">
        <f t="shared" si="60"/>
        <v>1960</v>
      </c>
      <c r="B1965" s="2">
        <v>123329</v>
      </c>
      <c r="C1965" s="2" t="s">
        <v>4471</v>
      </c>
      <c r="D1965" s="14" t="s">
        <v>1954</v>
      </c>
      <c r="E1965" s="14">
        <v>0</v>
      </c>
      <c r="F1965" s="14">
        <v>0</v>
      </c>
      <c r="G1965" s="14">
        <v>0</v>
      </c>
      <c r="H1965" s="16">
        <v>0</v>
      </c>
      <c r="I1965" s="16">
        <v>0</v>
      </c>
      <c r="J1965" s="3" t="s">
        <v>5011</v>
      </c>
      <c r="K1965" s="16">
        <v>0</v>
      </c>
      <c r="L1965" s="16">
        <v>0</v>
      </c>
      <c r="M1965" s="16">
        <v>0</v>
      </c>
    </row>
    <row r="1966" spans="1:13" x14ac:dyDescent="0.25">
      <c r="A1966" s="2">
        <f t="shared" si="60"/>
        <v>1961</v>
      </c>
      <c r="B1966" s="2">
        <v>123614</v>
      </c>
      <c r="C1966" s="2" t="s">
        <v>4472</v>
      </c>
      <c r="D1966" s="14" t="s">
        <v>1955</v>
      </c>
      <c r="E1966" s="14">
        <v>1.8323060999999998</v>
      </c>
      <c r="F1966" s="14">
        <v>0</v>
      </c>
      <c r="G1966" s="14">
        <v>1.8323060999999998</v>
      </c>
      <c r="H1966" s="16">
        <v>116.5941109</v>
      </c>
      <c r="I1966" s="16">
        <v>105.32895640000001</v>
      </c>
      <c r="J1966" s="3" t="s">
        <v>5011</v>
      </c>
      <c r="K1966" s="16">
        <v>1693.3864093169002</v>
      </c>
      <c r="L1966" s="16">
        <v>207.53558960000001</v>
      </c>
      <c r="M1966" s="16">
        <f t="shared" si="61"/>
        <v>1.7799834657000673</v>
      </c>
    </row>
    <row r="1967" spans="1:13" x14ac:dyDescent="0.25">
      <c r="A1967" s="2">
        <f t="shared" si="60"/>
        <v>1962</v>
      </c>
      <c r="B1967" s="2">
        <v>123992</v>
      </c>
      <c r="C1967" s="2" t="s">
        <v>4473</v>
      </c>
      <c r="D1967" s="14" t="s">
        <v>1956</v>
      </c>
      <c r="E1967" s="14">
        <v>16.0909178</v>
      </c>
      <c r="F1967" s="14">
        <v>0</v>
      </c>
      <c r="G1967" s="14">
        <v>16.0909178</v>
      </c>
      <c r="H1967" s="16">
        <v>395.62509539999996</v>
      </c>
      <c r="I1967" s="16">
        <v>184.14249509999999</v>
      </c>
      <c r="J1967" s="3" t="s">
        <v>5011</v>
      </c>
      <c r="K1967" s="16">
        <v>13349.725936488601</v>
      </c>
      <c r="L1967" s="16">
        <v>1472.1668113999999</v>
      </c>
      <c r="M1967" s="16">
        <f t="shared" si="61"/>
        <v>3.7211158455748459</v>
      </c>
    </row>
    <row r="1968" spans="1:13" x14ac:dyDescent="0.25">
      <c r="A1968" s="2">
        <f t="shared" si="60"/>
        <v>1963</v>
      </c>
      <c r="B1968" s="2">
        <v>124173</v>
      </c>
      <c r="C1968" s="2" t="s">
        <v>4474</v>
      </c>
      <c r="D1968" s="14" t="s">
        <v>1957</v>
      </c>
      <c r="E1968" s="14">
        <v>0</v>
      </c>
      <c r="F1968" s="14">
        <v>0</v>
      </c>
      <c r="G1968" s="14">
        <v>0</v>
      </c>
      <c r="H1968" s="16">
        <v>0</v>
      </c>
      <c r="I1968" s="16">
        <v>0</v>
      </c>
      <c r="J1968" s="3" t="s">
        <v>5011</v>
      </c>
      <c r="K1968" s="16">
        <v>0</v>
      </c>
      <c r="L1968" s="16">
        <v>0</v>
      </c>
      <c r="M1968" s="16">
        <v>0</v>
      </c>
    </row>
    <row r="1969" spans="1:13" x14ac:dyDescent="0.25">
      <c r="A1969" s="2">
        <f t="shared" si="60"/>
        <v>1964</v>
      </c>
      <c r="B1969" s="2">
        <v>124304</v>
      </c>
      <c r="C1969" s="2" t="s">
        <v>4475</v>
      </c>
      <c r="D1969" s="14" t="s">
        <v>1958</v>
      </c>
      <c r="E1969" s="14">
        <v>2.9094384000000004</v>
      </c>
      <c r="F1969" s="14">
        <v>0</v>
      </c>
      <c r="G1969" s="14">
        <v>2.9094384000000004</v>
      </c>
      <c r="H1969" s="16">
        <v>527.23316179999995</v>
      </c>
      <c r="I1969" s="16">
        <v>408.66695240000001</v>
      </c>
      <c r="J1969" s="3" t="s">
        <v>5011</v>
      </c>
      <c r="K1969" s="16">
        <v>3215.7446743778</v>
      </c>
      <c r="L1969" s="16">
        <v>626.66585859999998</v>
      </c>
      <c r="M1969" s="16">
        <f t="shared" si="61"/>
        <v>1.1885934042170867</v>
      </c>
    </row>
    <row r="1970" spans="1:13" x14ac:dyDescent="0.25">
      <c r="A1970" s="2">
        <f t="shared" si="60"/>
        <v>1965</v>
      </c>
      <c r="B1970" s="2">
        <v>124307</v>
      </c>
      <c r="C1970" s="2" t="s">
        <v>4476</v>
      </c>
      <c r="D1970" s="14" t="s">
        <v>1959</v>
      </c>
      <c r="E1970" s="14">
        <v>6.047782999999999</v>
      </c>
      <c r="F1970" s="14">
        <v>0</v>
      </c>
      <c r="G1970" s="14">
        <v>6.047782999999999</v>
      </c>
      <c r="H1970" s="16">
        <v>498.88213210000004</v>
      </c>
      <c r="I1970" s="16">
        <v>329.97284630000001</v>
      </c>
      <c r="J1970" s="3" t="s">
        <v>5011</v>
      </c>
      <c r="K1970" s="16">
        <v>6418.1055532264982</v>
      </c>
      <c r="L1970" s="16">
        <v>807.2577612</v>
      </c>
      <c r="M1970" s="16">
        <f t="shared" si="61"/>
        <v>1.6181332408156615</v>
      </c>
    </row>
    <row r="1971" spans="1:13" x14ac:dyDescent="0.25">
      <c r="A1971" s="2">
        <f t="shared" si="60"/>
        <v>1966</v>
      </c>
      <c r="B1971" s="2">
        <v>124591</v>
      </c>
      <c r="C1971" s="2" t="s">
        <v>4477</v>
      </c>
      <c r="D1971" s="14" t="s">
        <v>1960</v>
      </c>
      <c r="E1971" s="14">
        <v>1.4402688000000001</v>
      </c>
      <c r="F1971" s="14">
        <v>0</v>
      </c>
      <c r="G1971" s="14">
        <v>1.4402688000000001</v>
      </c>
      <c r="H1971" s="16">
        <v>863.4690822</v>
      </c>
      <c r="I1971" s="16">
        <v>598.3353247</v>
      </c>
      <c r="J1971" s="3" t="s">
        <v>5011</v>
      </c>
      <c r="K1971" s="16">
        <v>2508.6351163258</v>
      </c>
      <c r="L1971" s="16">
        <v>661.93380939999997</v>
      </c>
      <c r="M1971" s="16">
        <f t="shared" si="61"/>
        <v>0.76659815973200107</v>
      </c>
    </row>
    <row r="1972" spans="1:13" x14ac:dyDescent="0.25">
      <c r="A1972" s="2">
        <f t="shared" si="60"/>
        <v>1967</v>
      </c>
      <c r="B1972" s="2">
        <v>124618</v>
      </c>
      <c r="C1972" s="2" t="s">
        <v>4478</v>
      </c>
      <c r="D1972" s="14" t="s">
        <v>1961</v>
      </c>
      <c r="E1972" s="14">
        <v>5.8650246999999993</v>
      </c>
      <c r="F1972" s="14">
        <v>0</v>
      </c>
      <c r="G1972" s="14">
        <v>5.8650246999999993</v>
      </c>
      <c r="H1972" s="16">
        <v>267.83694919999999</v>
      </c>
      <c r="I1972" s="16">
        <v>138.20909780000002</v>
      </c>
      <c r="J1972" s="3" t="s">
        <v>5011</v>
      </c>
      <c r="K1972" s="16">
        <v>4781.5826943903994</v>
      </c>
      <c r="L1972" s="16">
        <v>529.49020959999996</v>
      </c>
      <c r="M1972" s="16">
        <f t="shared" si="61"/>
        <v>1.9769124879204678</v>
      </c>
    </row>
    <row r="1973" spans="1:13" x14ac:dyDescent="0.25">
      <c r="A1973" s="2">
        <f t="shared" si="60"/>
        <v>1968</v>
      </c>
      <c r="B1973" s="2">
        <v>124619</v>
      </c>
      <c r="C1973" s="2" t="s">
        <v>4479</v>
      </c>
      <c r="D1973" s="14" t="s">
        <v>1962</v>
      </c>
      <c r="E1973" s="14">
        <v>0</v>
      </c>
      <c r="F1973" s="14">
        <v>0</v>
      </c>
      <c r="G1973" s="14">
        <v>0</v>
      </c>
      <c r="H1973" s="16">
        <v>0</v>
      </c>
      <c r="I1973" s="16">
        <v>0</v>
      </c>
      <c r="J1973" s="3" t="s">
        <v>5011</v>
      </c>
      <c r="K1973" s="16">
        <v>0</v>
      </c>
      <c r="L1973" s="16">
        <v>0</v>
      </c>
      <c r="M1973" s="16">
        <v>0</v>
      </c>
    </row>
    <row r="1974" spans="1:13" x14ac:dyDescent="0.25">
      <c r="A1974" s="2">
        <f t="shared" si="60"/>
        <v>1969</v>
      </c>
      <c r="B1974" s="2">
        <v>124881</v>
      </c>
      <c r="C1974" s="2" t="s">
        <v>4480</v>
      </c>
      <c r="D1974" s="14" t="s">
        <v>1963</v>
      </c>
      <c r="E1974" s="14">
        <v>0</v>
      </c>
      <c r="F1974" s="14">
        <v>0</v>
      </c>
      <c r="G1974" s="14">
        <v>0</v>
      </c>
      <c r="H1974" s="16">
        <v>0</v>
      </c>
      <c r="I1974" s="16">
        <v>0</v>
      </c>
      <c r="J1974" s="3" t="s">
        <v>5011</v>
      </c>
      <c r="K1974" s="16">
        <v>0</v>
      </c>
      <c r="L1974" s="16">
        <v>0</v>
      </c>
      <c r="M1974" s="16">
        <v>0</v>
      </c>
    </row>
    <row r="1975" spans="1:13" x14ac:dyDescent="0.25">
      <c r="A1975" s="2">
        <f t="shared" si="60"/>
        <v>1970</v>
      </c>
      <c r="B1975" s="2">
        <v>124974</v>
      </c>
      <c r="C1975" s="2" t="s">
        <v>4481</v>
      </c>
      <c r="D1975" s="14" t="s">
        <v>1964</v>
      </c>
      <c r="E1975" s="14">
        <v>0</v>
      </c>
      <c r="F1975" s="14">
        <v>0</v>
      </c>
      <c r="G1975" s="14">
        <v>0</v>
      </c>
      <c r="H1975" s="16">
        <v>0</v>
      </c>
      <c r="I1975" s="16">
        <v>0</v>
      </c>
      <c r="J1975" s="3" t="s">
        <v>5011</v>
      </c>
      <c r="K1975" s="16">
        <v>0</v>
      </c>
      <c r="L1975" s="16">
        <v>0</v>
      </c>
      <c r="M1975" s="16">
        <v>0</v>
      </c>
    </row>
    <row r="1976" spans="1:13" x14ac:dyDescent="0.25">
      <c r="A1976" s="2">
        <f t="shared" si="60"/>
        <v>1971</v>
      </c>
      <c r="B1976" s="2">
        <v>125172</v>
      </c>
      <c r="C1976" s="2" t="s">
        <v>4482</v>
      </c>
      <c r="D1976" s="14" t="s">
        <v>1965</v>
      </c>
      <c r="E1976" s="14">
        <v>5.0477325999999998</v>
      </c>
      <c r="F1976" s="14">
        <v>0</v>
      </c>
      <c r="G1976" s="14">
        <v>5.0477325999999998</v>
      </c>
      <c r="H1976" s="16">
        <v>519.22122950000005</v>
      </c>
      <c r="I1976" s="16">
        <v>265.92373790000005</v>
      </c>
      <c r="J1976" s="3" t="s">
        <v>5011</v>
      </c>
      <c r="K1976" s="16">
        <v>4829.9266708862997</v>
      </c>
      <c r="L1976" s="16">
        <v>614.75949430000003</v>
      </c>
      <c r="M1976" s="16">
        <f t="shared" si="61"/>
        <v>1.1840030017493728</v>
      </c>
    </row>
    <row r="1977" spans="1:13" x14ac:dyDescent="0.25">
      <c r="A1977" s="2">
        <f t="shared" si="60"/>
        <v>1972</v>
      </c>
      <c r="B1977" s="2">
        <v>125185</v>
      </c>
      <c r="C1977" s="2" t="s">
        <v>4483</v>
      </c>
      <c r="D1977" s="14" t="s">
        <v>1966</v>
      </c>
      <c r="E1977" s="14">
        <v>0</v>
      </c>
      <c r="F1977" s="14">
        <v>0</v>
      </c>
      <c r="G1977" s="14">
        <v>0</v>
      </c>
      <c r="H1977" s="16">
        <v>0</v>
      </c>
      <c r="I1977" s="16">
        <v>0</v>
      </c>
      <c r="J1977" s="3" t="s">
        <v>5011</v>
      </c>
      <c r="K1977" s="16">
        <v>0</v>
      </c>
      <c r="L1977" s="16">
        <v>0</v>
      </c>
      <c r="M1977" s="16">
        <v>0</v>
      </c>
    </row>
    <row r="1978" spans="1:13" x14ac:dyDescent="0.25">
      <c r="A1978" s="2">
        <f t="shared" si="60"/>
        <v>1973</v>
      </c>
      <c r="B1978" s="2">
        <v>125299</v>
      </c>
      <c r="C1978" s="2" t="s">
        <v>4484</v>
      </c>
      <c r="D1978" s="14" t="s">
        <v>1967</v>
      </c>
      <c r="E1978" s="14">
        <v>0</v>
      </c>
      <c r="F1978" s="14">
        <v>0</v>
      </c>
      <c r="G1978" s="14">
        <v>0</v>
      </c>
      <c r="H1978" s="16">
        <v>0</v>
      </c>
      <c r="I1978" s="16">
        <v>0</v>
      </c>
      <c r="J1978" s="3" t="s">
        <v>5011</v>
      </c>
      <c r="K1978" s="16">
        <v>0</v>
      </c>
      <c r="L1978" s="16">
        <v>0</v>
      </c>
      <c r="M1978" s="16">
        <v>0</v>
      </c>
    </row>
    <row r="1979" spans="1:13" x14ac:dyDescent="0.25">
      <c r="A1979" s="2">
        <f t="shared" si="60"/>
        <v>1974</v>
      </c>
      <c r="B1979" s="2">
        <v>125335</v>
      </c>
      <c r="C1979" s="2" t="s">
        <v>4485</v>
      </c>
      <c r="D1979" s="14" t="s">
        <v>1968</v>
      </c>
      <c r="E1979" s="14">
        <v>0</v>
      </c>
      <c r="F1979" s="14">
        <v>0</v>
      </c>
      <c r="G1979" s="14">
        <v>0</v>
      </c>
      <c r="H1979" s="16">
        <v>0</v>
      </c>
      <c r="I1979" s="16">
        <v>0</v>
      </c>
      <c r="J1979" s="3" t="s">
        <v>5011</v>
      </c>
      <c r="K1979" s="16">
        <v>0</v>
      </c>
      <c r="L1979" s="16">
        <v>0</v>
      </c>
      <c r="M1979" s="16">
        <v>0</v>
      </c>
    </row>
    <row r="1980" spans="1:13" x14ac:dyDescent="0.25">
      <c r="A1980" s="2">
        <f t="shared" si="60"/>
        <v>1975</v>
      </c>
      <c r="B1980" s="2">
        <v>125371</v>
      </c>
      <c r="C1980" s="2" t="s">
        <v>4486</v>
      </c>
      <c r="D1980" s="14" t="s">
        <v>1969</v>
      </c>
      <c r="E1980" s="14">
        <v>2.9086447999999998</v>
      </c>
      <c r="F1980" s="14">
        <v>0</v>
      </c>
      <c r="G1980" s="14">
        <v>2.9086447999999998</v>
      </c>
      <c r="H1980" s="16">
        <v>545.90247039999997</v>
      </c>
      <c r="I1980" s="16">
        <v>362.22850269999998</v>
      </c>
      <c r="J1980" s="3" t="s">
        <v>5011</v>
      </c>
      <c r="K1980" s="16">
        <v>3668.1687727768995</v>
      </c>
      <c r="L1980" s="16">
        <v>540.76156020000008</v>
      </c>
      <c r="M1980" s="16">
        <f t="shared" si="61"/>
        <v>0.9905827313874711</v>
      </c>
    </row>
    <row r="1981" spans="1:13" x14ac:dyDescent="0.25">
      <c r="A1981" s="2">
        <f t="shared" si="60"/>
        <v>1976</v>
      </c>
      <c r="B1981" s="2">
        <v>125375</v>
      </c>
      <c r="C1981" s="2" t="s">
        <v>4487</v>
      </c>
      <c r="D1981" s="14" t="s">
        <v>1970</v>
      </c>
      <c r="E1981" s="14">
        <v>9.5326153999999992</v>
      </c>
      <c r="F1981" s="14">
        <v>0</v>
      </c>
      <c r="G1981" s="14">
        <v>9.5326153999999992</v>
      </c>
      <c r="H1981" s="16">
        <v>380.0854238</v>
      </c>
      <c r="I1981" s="16">
        <v>184.95658760000001</v>
      </c>
      <c r="J1981" s="3" t="s">
        <v>5011</v>
      </c>
      <c r="K1981" s="16">
        <v>8803.2102898778976</v>
      </c>
      <c r="L1981" s="16">
        <v>738.17766670000003</v>
      </c>
      <c r="M1981" s="16">
        <f t="shared" si="61"/>
        <v>1.9421362159061044</v>
      </c>
    </row>
    <row r="1982" spans="1:13" x14ac:dyDescent="0.25">
      <c r="A1982" s="2">
        <f t="shared" si="60"/>
        <v>1977</v>
      </c>
      <c r="B1982" s="2">
        <v>125677</v>
      </c>
      <c r="C1982" s="2" t="s">
        <v>4488</v>
      </c>
      <c r="D1982" s="14" t="s">
        <v>1971</v>
      </c>
      <c r="E1982" s="14">
        <v>0</v>
      </c>
      <c r="F1982" s="14">
        <v>0</v>
      </c>
      <c r="G1982" s="14">
        <v>0</v>
      </c>
      <c r="H1982" s="16">
        <v>0.19999</v>
      </c>
      <c r="I1982" s="16">
        <v>0.19999</v>
      </c>
      <c r="J1982" s="3" t="s">
        <v>5011</v>
      </c>
      <c r="K1982" s="16">
        <v>10.8069961104</v>
      </c>
      <c r="L1982" s="16">
        <v>1.1333827999999999</v>
      </c>
      <c r="M1982" s="16">
        <f t="shared" si="61"/>
        <v>5.667197359867993</v>
      </c>
    </row>
    <row r="1983" spans="1:13" x14ac:dyDescent="0.25">
      <c r="A1983" s="2">
        <f t="shared" si="60"/>
        <v>1978</v>
      </c>
      <c r="B1983" s="2">
        <v>125716</v>
      </c>
      <c r="C1983" s="2" t="s">
        <v>4489</v>
      </c>
      <c r="D1983" s="14" t="s">
        <v>1972</v>
      </c>
      <c r="E1983" s="14">
        <v>2.4370301000000003</v>
      </c>
      <c r="F1983" s="14">
        <v>0</v>
      </c>
      <c r="G1983" s="14">
        <v>2.4370301000000003</v>
      </c>
      <c r="H1983" s="16">
        <v>177.92276510000002</v>
      </c>
      <c r="I1983" s="16">
        <v>113.00043280000001</v>
      </c>
      <c r="J1983" s="3" t="s">
        <v>5011</v>
      </c>
      <c r="K1983" s="16">
        <v>2561.5887958478997</v>
      </c>
      <c r="L1983" s="16">
        <v>331.34742670000003</v>
      </c>
      <c r="M1983" s="16">
        <f t="shared" si="61"/>
        <v>1.8623104610237422</v>
      </c>
    </row>
    <row r="1984" spans="1:13" x14ac:dyDescent="0.25">
      <c r="A1984" s="2">
        <f t="shared" si="60"/>
        <v>1979</v>
      </c>
      <c r="B1984" s="2">
        <v>125855</v>
      </c>
      <c r="C1984" s="2" t="s">
        <v>4490</v>
      </c>
      <c r="D1984" s="14" t="s">
        <v>1973</v>
      </c>
      <c r="E1984" s="14">
        <v>0</v>
      </c>
      <c r="F1984" s="14">
        <v>0</v>
      </c>
      <c r="G1984" s="14">
        <v>0</v>
      </c>
      <c r="H1984" s="16">
        <v>0</v>
      </c>
      <c r="I1984" s="16">
        <v>0</v>
      </c>
      <c r="J1984" s="3" t="s">
        <v>5011</v>
      </c>
      <c r="K1984" s="16">
        <v>0</v>
      </c>
      <c r="L1984" s="16">
        <v>0</v>
      </c>
      <c r="M1984" s="16">
        <v>0</v>
      </c>
    </row>
    <row r="1985" spans="1:13" x14ac:dyDescent="0.25">
      <c r="A1985" s="2">
        <f t="shared" si="60"/>
        <v>1980</v>
      </c>
      <c r="B1985" s="2">
        <v>126236</v>
      </c>
      <c r="C1985" s="2" t="s">
        <v>4491</v>
      </c>
      <c r="D1985" s="14" t="s">
        <v>1974</v>
      </c>
      <c r="E1985" s="14">
        <v>0</v>
      </c>
      <c r="F1985" s="14">
        <v>0</v>
      </c>
      <c r="G1985" s="14">
        <v>0</v>
      </c>
      <c r="H1985" s="16">
        <v>0</v>
      </c>
      <c r="I1985" s="16">
        <v>0</v>
      </c>
      <c r="J1985" s="3" t="s">
        <v>5011</v>
      </c>
      <c r="K1985" s="16">
        <v>0</v>
      </c>
      <c r="L1985" s="16">
        <v>0</v>
      </c>
      <c r="M1985" s="16">
        <v>0</v>
      </c>
    </row>
    <row r="1986" spans="1:13" x14ac:dyDescent="0.25">
      <c r="A1986" s="2">
        <f t="shared" si="60"/>
        <v>1981</v>
      </c>
      <c r="B1986" s="2">
        <v>126827</v>
      </c>
      <c r="C1986" s="2" t="s">
        <v>4492</v>
      </c>
      <c r="D1986" s="14" t="s">
        <v>1975</v>
      </c>
      <c r="E1986" s="14">
        <v>2.8711585000000004</v>
      </c>
      <c r="F1986" s="14">
        <v>0</v>
      </c>
      <c r="G1986" s="14">
        <v>2.8711585000000004</v>
      </c>
      <c r="H1986" s="16">
        <v>362.98185079999996</v>
      </c>
      <c r="I1986" s="16">
        <v>362.98185079999996</v>
      </c>
      <c r="J1986" s="3" t="s">
        <v>5011</v>
      </c>
      <c r="K1986" s="16">
        <v>3711.2272794904002</v>
      </c>
      <c r="L1986" s="16">
        <v>636.00710960000004</v>
      </c>
      <c r="M1986" s="16">
        <f t="shared" si="61"/>
        <v>1.7521733061811808</v>
      </c>
    </row>
    <row r="1987" spans="1:13" x14ac:dyDescent="0.25">
      <c r="A1987" s="2">
        <f t="shared" si="60"/>
        <v>1982</v>
      </c>
      <c r="B1987" s="2">
        <v>126908</v>
      </c>
      <c r="C1987" s="2" t="s">
        <v>4493</v>
      </c>
      <c r="D1987" s="14" t="s">
        <v>1976</v>
      </c>
      <c r="E1987" s="14">
        <v>0.29693409999999998</v>
      </c>
      <c r="F1987" s="14">
        <v>0</v>
      </c>
      <c r="G1987" s="14">
        <v>0.29693409999999998</v>
      </c>
      <c r="H1987" s="16">
        <v>108.95438369999999</v>
      </c>
      <c r="I1987" s="16">
        <v>96.035517499999997</v>
      </c>
      <c r="J1987" s="3" t="s">
        <v>5011</v>
      </c>
      <c r="K1987" s="16">
        <v>408.15746254190003</v>
      </c>
      <c r="L1987" s="16">
        <v>119.14952650000001</v>
      </c>
      <c r="M1987" s="16">
        <f t="shared" si="61"/>
        <v>1.0935725801365808</v>
      </c>
    </row>
    <row r="1988" spans="1:13" x14ac:dyDescent="0.25">
      <c r="A1988" s="2">
        <f t="shared" si="60"/>
        <v>1983</v>
      </c>
      <c r="B1988" s="2">
        <v>127058</v>
      </c>
      <c r="C1988" s="2" t="s">
        <v>4494</v>
      </c>
      <c r="D1988" s="14" t="s">
        <v>1977</v>
      </c>
      <c r="E1988" s="14">
        <v>0</v>
      </c>
      <c r="F1988" s="14">
        <v>0</v>
      </c>
      <c r="G1988" s="14">
        <v>0</v>
      </c>
      <c r="H1988" s="16">
        <v>0</v>
      </c>
      <c r="I1988" s="16">
        <v>0</v>
      </c>
      <c r="J1988" s="3" t="s">
        <v>5011</v>
      </c>
      <c r="K1988" s="16">
        <v>0</v>
      </c>
      <c r="L1988" s="16">
        <v>0</v>
      </c>
      <c r="M1988" s="16">
        <v>0</v>
      </c>
    </row>
    <row r="1989" spans="1:13" x14ac:dyDescent="0.25">
      <c r="A1989" s="2">
        <f t="shared" si="60"/>
        <v>1984</v>
      </c>
      <c r="B1989" s="2">
        <v>127060</v>
      </c>
      <c r="C1989" s="2" t="s">
        <v>4495</v>
      </c>
      <c r="D1989" s="14" t="s">
        <v>1978</v>
      </c>
      <c r="E1989" s="14">
        <v>3.1800999999999999E-3</v>
      </c>
      <c r="F1989" s="14">
        <v>0</v>
      </c>
      <c r="G1989" s="14">
        <v>3.1800999999999999E-3</v>
      </c>
      <c r="H1989" s="16">
        <v>2.6598670000000002</v>
      </c>
      <c r="I1989" s="16">
        <v>2.6598670000000002</v>
      </c>
      <c r="J1989" s="3" t="s">
        <v>5011</v>
      </c>
      <c r="K1989" s="16">
        <v>7.6501736934000011</v>
      </c>
      <c r="L1989" s="16">
        <v>2.9939784999999999</v>
      </c>
      <c r="M1989" s="16">
        <f t="shared" si="61"/>
        <v>1.1256121076730528</v>
      </c>
    </row>
    <row r="1990" spans="1:13" x14ac:dyDescent="0.25">
      <c r="A1990" s="2">
        <f t="shared" si="60"/>
        <v>1985</v>
      </c>
      <c r="B1990" s="2">
        <v>127213</v>
      </c>
      <c r="C1990" s="2" t="s">
        <v>4496</v>
      </c>
      <c r="D1990" s="14" t="s">
        <v>1979</v>
      </c>
      <c r="E1990" s="14">
        <v>4.6314904000000006</v>
      </c>
      <c r="F1990" s="14">
        <v>0</v>
      </c>
      <c r="G1990" s="14">
        <v>4.6314904000000006</v>
      </c>
      <c r="H1990" s="16">
        <v>102.2540667</v>
      </c>
      <c r="I1990" s="16">
        <v>97.430051300000002</v>
      </c>
      <c r="J1990" s="3" t="s">
        <v>5011</v>
      </c>
      <c r="K1990" s="16">
        <v>4259.7570203887999</v>
      </c>
      <c r="L1990" s="16">
        <v>510.30336009999996</v>
      </c>
      <c r="M1990" s="16">
        <f t="shared" si="61"/>
        <v>4.9905434235409238</v>
      </c>
    </row>
    <row r="1991" spans="1:13" x14ac:dyDescent="0.25">
      <c r="A1991" s="2">
        <f t="shared" si="60"/>
        <v>1986</v>
      </c>
      <c r="B1991" s="2">
        <v>127251</v>
      </c>
      <c r="C1991" s="2" t="s">
        <v>4497</v>
      </c>
      <c r="D1991" s="14" t="s">
        <v>1980</v>
      </c>
      <c r="E1991" s="14">
        <v>2.4745477</v>
      </c>
      <c r="F1991" s="14">
        <v>0</v>
      </c>
      <c r="G1991" s="14">
        <v>2.4745477</v>
      </c>
      <c r="H1991" s="16">
        <v>351.592961</v>
      </c>
      <c r="I1991" s="16">
        <v>337.15306679999998</v>
      </c>
      <c r="J1991" s="3" t="s">
        <v>5011</v>
      </c>
      <c r="K1991" s="16">
        <v>2131.4926851130003</v>
      </c>
      <c r="L1991" s="16">
        <v>425.39736670000002</v>
      </c>
      <c r="M1991" s="16">
        <f t="shared" ref="M1991:M2054" si="62">L1991/H1991</f>
        <v>1.2099143438198696</v>
      </c>
    </row>
    <row r="1992" spans="1:13" x14ac:dyDescent="0.25">
      <c r="A1992" s="2">
        <f t="shared" ref="A1992:A2055" si="63">A1991+1</f>
        <v>1987</v>
      </c>
      <c r="B1992" s="2">
        <v>127286</v>
      </c>
      <c r="C1992" s="2" t="s">
        <v>4498</v>
      </c>
      <c r="D1992" s="14" t="s">
        <v>1981</v>
      </c>
      <c r="E1992" s="14">
        <v>0</v>
      </c>
      <c r="F1992" s="14">
        <v>0</v>
      </c>
      <c r="G1992" s="14">
        <v>0</v>
      </c>
      <c r="H1992" s="16">
        <v>0</v>
      </c>
      <c r="I1992" s="16">
        <v>0</v>
      </c>
      <c r="J1992" s="3" t="s">
        <v>5011</v>
      </c>
      <c r="K1992" s="16">
        <v>0</v>
      </c>
      <c r="L1992" s="16">
        <v>0</v>
      </c>
      <c r="M1992" s="16">
        <v>0</v>
      </c>
    </row>
    <row r="1993" spans="1:13" x14ac:dyDescent="0.25">
      <c r="A1993" s="2">
        <f t="shared" si="63"/>
        <v>1988</v>
      </c>
      <c r="B1993" s="2">
        <v>127385</v>
      </c>
      <c r="C1993" s="2" t="s">
        <v>4499</v>
      </c>
      <c r="D1993" s="14" t="s">
        <v>1982</v>
      </c>
      <c r="E1993" s="14">
        <v>5.2913000000000002E-2</v>
      </c>
      <c r="F1993" s="14">
        <v>0</v>
      </c>
      <c r="G1993" s="14">
        <v>5.2913000000000002E-2</v>
      </c>
      <c r="H1993" s="16">
        <v>25.498725</v>
      </c>
      <c r="I1993" s="16">
        <v>25.498725</v>
      </c>
      <c r="J1993" s="3" t="s">
        <v>5011</v>
      </c>
      <c r="K1993" s="16">
        <v>101.42836032370001</v>
      </c>
      <c r="L1993" s="16">
        <v>28.539789300000002</v>
      </c>
      <c r="M1993" s="16">
        <f t="shared" si="62"/>
        <v>1.1192633866987467</v>
      </c>
    </row>
    <row r="1994" spans="1:13" x14ac:dyDescent="0.25">
      <c r="A1994" s="2">
        <f t="shared" si="63"/>
        <v>1989</v>
      </c>
      <c r="B1994" s="2">
        <v>127545</v>
      </c>
      <c r="C1994" s="2" t="s">
        <v>4500</v>
      </c>
      <c r="D1994" s="14" t="s">
        <v>1983</v>
      </c>
      <c r="E1994" s="14">
        <v>0.43090279999999992</v>
      </c>
      <c r="F1994" s="14">
        <v>0</v>
      </c>
      <c r="G1994" s="14">
        <v>0.43090279999999992</v>
      </c>
      <c r="H1994" s="16">
        <v>46.103694699999998</v>
      </c>
      <c r="I1994" s="16">
        <v>45.871514799999993</v>
      </c>
      <c r="J1994" s="3" t="s">
        <v>5011</v>
      </c>
      <c r="K1994" s="16">
        <v>553.84485440449998</v>
      </c>
      <c r="L1994" s="16">
        <v>70.811396200000004</v>
      </c>
      <c r="M1994" s="16">
        <f t="shared" si="62"/>
        <v>1.5359158666300992</v>
      </c>
    </row>
    <row r="1995" spans="1:13" x14ac:dyDescent="0.25">
      <c r="A1995" s="2">
        <f t="shared" si="63"/>
        <v>1990</v>
      </c>
      <c r="B1995" s="2">
        <v>127549</v>
      </c>
      <c r="C1995" s="2" t="s">
        <v>4501</v>
      </c>
      <c r="D1995" s="14" t="s">
        <v>1984</v>
      </c>
      <c r="E1995" s="14">
        <v>0</v>
      </c>
      <c r="F1995" s="14">
        <v>0</v>
      </c>
      <c r="G1995" s="14">
        <v>0</v>
      </c>
      <c r="H1995" s="16">
        <v>0</v>
      </c>
      <c r="I1995" s="16">
        <v>0</v>
      </c>
      <c r="J1995" s="3" t="s">
        <v>5011</v>
      </c>
      <c r="K1995" s="16">
        <v>0</v>
      </c>
      <c r="L1995" s="16">
        <v>0</v>
      </c>
      <c r="M1995" s="16">
        <v>0</v>
      </c>
    </row>
    <row r="1996" spans="1:13" x14ac:dyDescent="0.25">
      <c r="A1996" s="2">
        <f t="shared" si="63"/>
        <v>1991</v>
      </c>
      <c r="B1996" s="2">
        <v>127678</v>
      </c>
      <c r="C1996" s="2" t="s">
        <v>4502</v>
      </c>
      <c r="D1996" s="14" t="s">
        <v>1985</v>
      </c>
      <c r="E1996" s="14">
        <v>0</v>
      </c>
      <c r="F1996" s="14">
        <v>0</v>
      </c>
      <c r="G1996" s="14">
        <v>0</v>
      </c>
      <c r="H1996" s="16">
        <v>0</v>
      </c>
      <c r="I1996" s="16">
        <v>0</v>
      </c>
      <c r="J1996" s="3" t="s">
        <v>5011</v>
      </c>
      <c r="K1996" s="16">
        <v>0</v>
      </c>
      <c r="L1996" s="16">
        <v>0</v>
      </c>
      <c r="M1996" s="16">
        <v>0</v>
      </c>
    </row>
    <row r="1997" spans="1:13" x14ac:dyDescent="0.25">
      <c r="A1997" s="2">
        <f t="shared" si="63"/>
        <v>1992</v>
      </c>
      <c r="B1997" s="2">
        <v>127881</v>
      </c>
      <c r="C1997" s="2" t="s">
        <v>4503</v>
      </c>
      <c r="D1997" s="14" t="s">
        <v>1986</v>
      </c>
      <c r="E1997" s="14">
        <v>9.2367006000000007</v>
      </c>
      <c r="F1997" s="14">
        <v>0</v>
      </c>
      <c r="G1997" s="14">
        <v>9.2367006000000007</v>
      </c>
      <c r="H1997" s="16">
        <v>729.4907498</v>
      </c>
      <c r="I1997" s="16">
        <v>507.16861219999998</v>
      </c>
      <c r="J1997" s="3" t="s">
        <v>5011</v>
      </c>
      <c r="K1997" s="16">
        <v>8982.3522052871067</v>
      </c>
      <c r="L1997" s="16">
        <v>1134.0498571999999</v>
      </c>
      <c r="M1997" s="16">
        <f t="shared" si="62"/>
        <v>1.5545774329707613</v>
      </c>
    </row>
    <row r="1998" spans="1:13" x14ac:dyDescent="0.25">
      <c r="A1998" s="2">
        <f t="shared" si="63"/>
        <v>1993</v>
      </c>
      <c r="B1998" s="2">
        <v>128216</v>
      </c>
      <c r="C1998" s="2" t="s">
        <v>4504</v>
      </c>
      <c r="D1998" s="14" t="s">
        <v>1987</v>
      </c>
      <c r="E1998" s="14">
        <v>0.34762770000000004</v>
      </c>
      <c r="F1998" s="14">
        <v>0</v>
      </c>
      <c r="G1998" s="14">
        <v>0.34762770000000004</v>
      </c>
      <c r="H1998" s="16">
        <v>28.2807636</v>
      </c>
      <c r="I1998" s="16">
        <v>24.039060699999997</v>
      </c>
      <c r="J1998" s="3" t="s">
        <v>5011</v>
      </c>
      <c r="K1998" s="16">
        <v>329.28276617009999</v>
      </c>
      <c r="L1998" s="16">
        <v>46.126180900000001</v>
      </c>
      <c r="M1998" s="16">
        <f t="shared" si="62"/>
        <v>1.6310090332921563</v>
      </c>
    </row>
    <row r="1999" spans="1:13" x14ac:dyDescent="0.25">
      <c r="A1999" s="2">
        <f t="shared" si="63"/>
        <v>1994</v>
      </c>
      <c r="B1999" s="2">
        <v>128548</v>
      </c>
      <c r="C1999" s="2" t="s">
        <v>4505</v>
      </c>
      <c r="D1999" s="14" t="s">
        <v>1988</v>
      </c>
      <c r="E1999" s="14">
        <v>17.445348000000003</v>
      </c>
      <c r="F1999" s="14">
        <v>0</v>
      </c>
      <c r="G1999" s="14">
        <v>17.445348000000003</v>
      </c>
      <c r="H1999" s="16">
        <v>995.06464410000001</v>
      </c>
      <c r="I1999" s="16">
        <v>712.47626489999993</v>
      </c>
      <c r="J1999" s="3" t="s">
        <v>5011</v>
      </c>
      <c r="K1999" s="16">
        <v>13732.449265135401</v>
      </c>
      <c r="L1999" s="16">
        <v>1824.3569625</v>
      </c>
      <c r="M1999" s="16">
        <f t="shared" si="62"/>
        <v>1.8334054710084338</v>
      </c>
    </row>
    <row r="2000" spans="1:13" x14ac:dyDescent="0.25">
      <c r="A2000" s="2">
        <f t="shared" si="63"/>
        <v>1995</v>
      </c>
      <c r="B2000" s="2">
        <v>128555</v>
      </c>
      <c r="C2000" s="2" t="s">
        <v>4506</v>
      </c>
      <c r="D2000" s="14" t="s">
        <v>1989</v>
      </c>
      <c r="E2000" s="14">
        <v>0</v>
      </c>
      <c r="F2000" s="14">
        <v>0</v>
      </c>
      <c r="G2000" s="14">
        <v>0</v>
      </c>
      <c r="H2000" s="16">
        <v>0</v>
      </c>
      <c r="I2000" s="16">
        <v>0</v>
      </c>
      <c r="J2000" s="3" t="s">
        <v>5011</v>
      </c>
      <c r="K2000" s="16">
        <v>0</v>
      </c>
      <c r="L2000" s="16">
        <v>0</v>
      </c>
      <c r="M2000" s="16">
        <v>0</v>
      </c>
    </row>
    <row r="2001" spans="1:13" x14ac:dyDescent="0.25">
      <c r="A2001" s="2">
        <f t="shared" si="63"/>
        <v>1996</v>
      </c>
      <c r="B2001" s="2">
        <v>128606</v>
      </c>
      <c r="C2001" s="2" t="s">
        <v>4507</v>
      </c>
      <c r="D2001" s="14" t="s">
        <v>1990</v>
      </c>
      <c r="E2001" s="14">
        <v>1.0175804000000002</v>
      </c>
      <c r="F2001" s="14">
        <v>0</v>
      </c>
      <c r="G2001" s="14">
        <v>1.0175804000000002</v>
      </c>
      <c r="H2001" s="16">
        <v>443.38250360000001</v>
      </c>
      <c r="I2001" s="16">
        <v>337.64891069999999</v>
      </c>
      <c r="J2001" s="3" t="s">
        <v>5011</v>
      </c>
      <c r="K2001" s="16">
        <v>1715.1379925044998</v>
      </c>
      <c r="L2001" s="16">
        <v>406.86838990000001</v>
      </c>
      <c r="M2001" s="16">
        <f t="shared" si="62"/>
        <v>0.9176464713796163</v>
      </c>
    </row>
    <row r="2002" spans="1:13" x14ac:dyDescent="0.25">
      <c r="A2002" s="2">
        <f t="shared" si="63"/>
        <v>1997</v>
      </c>
      <c r="B2002" s="2">
        <v>128693</v>
      </c>
      <c r="C2002" s="2" t="s">
        <v>4508</v>
      </c>
      <c r="D2002" s="14" t="s">
        <v>1991</v>
      </c>
      <c r="E2002" s="14">
        <v>0</v>
      </c>
      <c r="F2002" s="14">
        <v>0</v>
      </c>
      <c r="G2002" s="14">
        <v>0</v>
      </c>
      <c r="H2002" s="16">
        <v>3.9997999999999999E-2</v>
      </c>
      <c r="I2002" s="16">
        <v>-0.43011399999999994</v>
      </c>
      <c r="J2002" s="3" t="s">
        <v>5011</v>
      </c>
      <c r="K2002" s="16">
        <v>2.4420553939</v>
      </c>
      <c r="L2002" s="16">
        <v>0</v>
      </c>
      <c r="M2002" s="16">
        <f t="shared" si="62"/>
        <v>0</v>
      </c>
    </row>
    <row r="2003" spans="1:13" x14ac:dyDescent="0.25">
      <c r="A2003" s="2">
        <f t="shared" si="63"/>
        <v>1998</v>
      </c>
      <c r="B2003" s="2">
        <v>128724</v>
      </c>
      <c r="C2003" s="2" t="s">
        <v>4509</v>
      </c>
      <c r="D2003" s="14" t="s">
        <v>1992</v>
      </c>
      <c r="E2003" s="14">
        <v>0</v>
      </c>
      <c r="F2003" s="14">
        <v>0</v>
      </c>
      <c r="G2003" s="14">
        <v>0</v>
      </c>
      <c r="H2003" s="16">
        <v>0</v>
      </c>
      <c r="I2003" s="16">
        <v>0</v>
      </c>
      <c r="J2003" s="3" t="s">
        <v>5011</v>
      </c>
      <c r="K2003" s="16">
        <v>0</v>
      </c>
      <c r="L2003" s="16">
        <v>0</v>
      </c>
      <c r="M2003" s="16">
        <v>0</v>
      </c>
    </row>
    <row r="2004" spans="1:13" x14ac:dyDescent="0.25">
      <c r="A2004" s="2">
        <f t="shared" si="63"/>
        <v>1999</v>
      </c>
      <c r="B2004" s="2">
        <v>128769</v>
      </c>
      <c r="C2004" s="2" t="s">
        <v>4510</v>
      </c>
      <c r="D2004" s="14" t="s">
        <v>1993</v>
      </c>
      <c r="E2004" s="14">
        <v>18.777560399999999</v>
      </c>
      <c r="F2004" s="14">
        <v>0</v>
      </c>
      <c r="G2004" s="14">
        <v>18.777560399999999</v>
      </c>
      <c r="H2004" s="16">
        <v>1101.0450618</v>
      </c>
      <c r="I2004" s="16">
        <v>685.51571890000014</v>
      </c>
      <c r="J2004" s="3" t="s">
        <v>5011</v>
      </c>
      <c r="K2004" s="16">
        <v>18884.45071510351</v>
      </c>
      <c r="L2004" s="16">
        <v>2259.2394111000003</v>
      </c>
      <c r="M2004" s="16">
        <f t="shared" si="62"/>
        <v>2.0519045854549969</v>
      </c>
    </row>
    <row r="2005" spans="1:13" x14ac:dyDescent="0.25">
      <c r="A2005" s="2">
        <f t="shared" si="63"/>
        <v>2000</v>
      </c>
      <c r="B2005" s="2">
        <v>128837</v>
      </c>
      <c r="C2005" s="2" t="s">
        <v>4511</v>
      </c>
      <c r="D2005" s="14" t="s">
        <v>1994</v>
      </c>
      <c r="E2005" s="14">
        <v>1.0644897</v>
      </c>
      <c r="F2005" s="14">
        <v>0</v>
      </c>
      <c r="G2005" s="14">
        <v>1.0644897</v>
      </c>
      <c r="H2005" s="16">
        <v>128.39674310000001</v>
      </c>
      <c r="I2005" s="16">
        <v>122.45431440000002</v>
      </c>
      <c r="J2005" s="3" t="s">
        <v>5011</v>
      </c>
      <c r="K2005" s="16">
        <v>1002.9146149559002</v>
      </c>
      <c r="L2005" s="16">
        <v>168.71427239999997</v>
      </c>
      <c r="M2005" s="16">
        <f t="shared" si="62"/>
        <v>1.3140074142581577</v>
      </c>
    </row>
    <row r="2006" spans="1:13" x14ac:dyDescent="0.25">
      <c r="A2006" s="2">
        <f t="shared" si="63"/>
        <v>2001</v>
      </c>
      <c r="B2006" s="2">
        <v>129067</v>
      </c>
      <c r="C2006" s="2" t="s">
        <v>4512</v>
      </c>
      <c r="D2006" s="14" t="s">
        <v>1995</v>
      </c>
      <c r="E2006" s="14">
        <v>4.8805399999999992E-2</v>
      </c>
      <c r="F2006" s="14">
        <v>0</v>
      </c>
      <c r="G2006" s="14">
        <v>4.8805399999999992E-2</v>
      </c>
      <c r="H2006" s="16">
        <v>3.9598021999999999</v>
      </c>
      <c r="I2006" s="16">
        <v>3.9598021999999999</v>
      </c>
      <c r="J2006" s="3" t="s">
        <v>5011</v>
      </c>
      <c r="K2006" s="16">
        <v>62.675555350300002</v>
      </c>
      <c r="L2006" s="16">
        <v>8.511856400000001</v>
      </c>
      <c r="M2006" s="16">
        <f t="shared" si="62"/>
        <v>2.1495660566075752</v>
      </c>
    </row>
    <row r="2007" spans="1:13" x14ac:dyDescent="0.25">
      <c r="A2007" s="2">
        <f t="shared" si="63"/>
        <v>2002</v>
      </c>
      <c r="B2007" s="2">
        <v>129543</v>
      </c>
      <c r="C2007" s="2" t="s">
        <v>4513</v>
      </c>
      <c r="D2007" s="14" t="s">
        <v>1996</v>
      </c>
      <c r="E2007" s="14">
        <v>3.5945000000000005E-3</v>
      </c>
      <c r="F2007" s="14">
        <v>0</v>
      </c>
      <c r="G2007" s="14">
        <v>3.5945000000000005E-3</v>
      </c>
      <c r="H2007" s="16">
        <v>2.7298641999999997</v>
      </c>
      <c r="I2007" s="16">
        <v>2.3763424</v>
      </c>
      <c r="J2007" s="3" t="s">
        <v>5011</v>
      </c>
      <c r="K2007" s="16">
        <v>27.044196965299999</v>
      </c>
      <c r="L2007" s="16">
        <v>5.0186196999999995</v>
      </c>
      <c r="M2007" s="16">
        <f t="shared" si="62"/>
        <v>1.8384136837282967</v>
      </c>
    </row>
    <row r="2008" spans="1:13" x14ac:dyDescent="0.25">
      <c r="A2008" s="2">
        <f t="shared" si="63"/>
        <v>2003</v>
      </c>
      <c r="B2008" s="2">
        <v>130074</v>
      </c>
      <c r="C2008" s="2" t="s">
        <v>4514</v>
      </c>
      <c r="D2008" s="14" t="s">
        <v>1997</v>
      </c>
      <c r="E2008" s="14">
        <v>0</v>
      </c>
      <c r="F2008" s="14">
        <v>0</v>
      </c>
      <c r="G2008" s="14">
        <v>0</v>
      </c>
      <c r="H2008" s="16">
        <v>0</v>
      </c>
      <c r="I2008" s="16">
        <v>0</v>
      </c>
      <c r="J2008" s="3" t="s">
        <v>5011</v>
      </c>
      <c r="K2008" s="16">
        <v>0</v>
      </c>
      <c r="L2008" s="16">
        <v>0</v>
      </c>
      <c r="M2008" s="16">
        <v>0</v>
      </c>
    </row>
    <row r="2009" spans="1:13" x14ac:dyDescent="0.25">
      <c r="A2009" s="2">
        <f t="shared" si="63"/>
        <v>2004</v>
      </c>
      <c r="B2009" s="2">
        <v>130604</v>
      </c>
      <c r="C2009" s="2" t="s">
        <v>4515</v>
      </c>
      <c r="D2009" s="14" t="s">
        <v>1998</v>
      </c>
      <c r="E2009" s="14">
        <v>5.5660354000000005</v>
      </c>
      <c r="F2009" s="14">
        <v>0</v>
      </c>
      <c r="G2009" s="14">
        <v>5.5660354000000005</v>
      </c>
      <c r="H2009" s="16">
        <v>438.45518869999995</v>
      </c>
      <c r="I2009" s="16">
        <v>365.25577369999996</v>
      </c>
      <c r="J2009" s="3" t="s">
        <v>5011</v>
      </c>
      <c r="K2009" s="16">
        <v>5168.1285786710987</v>
      </c>
      <c r="L2009" s="16">
        <v>765.18357540000011</v>
      </c>
      <c r="M2009" s="16">
        <f t="shared" si="62"/>
        <v>1.7451807963973132</v>
      </c>
    </row>
    <row r="2010" spans="1:13" x14ac:dyDescent="0.25">
      <c r="A2010" s="2">
        <f t="shared" si="63"/>
        <v>2005</v>
      </c>
      <c r="B2010" s="2">
        <v>130786</v>
      </c>
      <c r="C2010" s="2" t="s">
        <v>4516</v>
      </c>
      <c r="D2010" s="14" t="s">
        <v>1999</v>
      </c>
      <c r="E2010" s="14">
        <v>0</v>
      </c>
      <c r="F2010" s="14">
        <v>0</v>
      </c>
      <c r="G2010" s="14">
        <v>0</v>
      </c>
      <c r="H2010" s="16">
        <v>0</v>
      </c>
      <c r="I2010" s="16">
        <v>0</v>
      </c>
      <c r="J2010" s="3" t="s">
        <v>5011</v>
      </c>
      <c r="K2010" s="16">
        <v>0</v>
      </c>
      <c r="L2010" s="16">
        <v>0</v>
      </c>
      <c r="M2010" s="16">
        <v>0</v>
      </c>
    </row>
    <row r="2011" spans="1:13" x14ac:dyDescent="0.25">
      <c r="A2011" s="2">
        <f t="shared" si="63"/>
        <v>2006</v>
      </c>
      <c r="B2011" s="2">
        <v>130934</v>
      </c>
      <c r="C2011" s="2" t="s">
        <v>4517</v>
      </c>
      <c r="D2011" s="14" t="s">
        <v>2000</v>
      </c>
      <c r="E2011" s="14">
        <v>3.7720721999999998</v>
      </c>
      <c r="F2011" s="14">
        <v>0</v>
      </c>
      <c r="G2011" s="14">
        <v>3.7720721999999998</v>
      </c>
      <c r="H2011" s="16">
        <v>375.66320189999999</v>
      </c>
      <c r="I2011" s="16">
        <v>339.1311503</v>
      </c>
      <c r="J2011" s="3" t="s">
        <v>5011</v>
      </c>
      <c r="K2011" s="16">
        <v>4343.3812585963005</v>
      </c>
      <c r="L2011" s="16">
        <v>634.35924479999994</v>
      </c>
      <c r="M2011" s="16">
        <f t="shared" si="62"/>
        <v>1.6886382312443362</v>
      </c>
    </row>
    <row r="2012" spans="1:13" x14ac:dyDescent="0.25">
      <c r="A2012" s="2">
        <f t="shared" si="63"/>
        <v>2007</v>
      </c>
      <c r="B2012" s="2">
        <v>131057</v>
      </c>
      <c r="C2012" s="2" t="s">
        <v>4518</v>
      </c>
      <c r="D2012" s="14" t="s">
        <v>2001</v>
      </c>
      <c r="E2012" s="14">
        <v>6.8920000000000006E-3</v>
      </c>
      <c r="F2012" s="14">
        <v>0</v>
      </c>
      <c r="G2012" s="14">
        <v>6.8920000000000006E-3</v>
      </c>
      <c r="H2012" s="16">
        <v>5.0647470999999999</v>
      </c>
      <c r="I2012" s="16">
        <v>5.0647470999999999</v>
      </c>
      <c r="J2012" s="3" t="s">
        <v>5011</v>
      </c>
      <c r="K2012" s="16">
        <v>15.996167465299999</v>
      </c>
      <c r="L2012" s="16">
        <v>5.5615684999999999</v>
      </c>
      <c r="M2012" s="16">
        <f t="shared" si="62"/>
        <v>1.0980940193440261</v>
      </c>
    </row>
    <row r="2013" spans="1:13" x14ac:dyDescent="0.25">
      <c r="A2013" s="2">
        <f t="shared" si="63"/>
        <v>2008</v>
      </c>
      <c r="B2013" s="2">
        <v>131557</v>
      </c>
      <c r="C2013" s="2" t="s">
        <v>4519</v>
      </c>
      <c r="D2013" s="14" t="s">
        <v>2002</v>
      </c>
      <c r="E2013" s="14">
        <v>0.94839800000000007</v>
      </c>
      <c r="F2013" s="14">
        <v>0</v>
      </c>
      <c r="G2013" s="14">
        <v>0.94839800000000007</v>
      </c>
      <c r="H2013" s="16">
        <v>54.005523499999995</v>
      </c>
      <c r="I2013" s="16">
        <v>23.375162499999995</v>
      </c>
      <c r="J2013" s="3" t="s">
        <v>5011</v>
      </c>
      <c r="K2013" s="16">
        <v>1026.8984666578999</v>
      </c>
      <c r="L2013" s="16">
        <v>120.25672970000001</v>
      </c>
      <c r="M2013" s="16">
        <f t="shared" si="62"/>
        <v>2.226748708398318</v>
      </c>
    </row>
    <row r="2014" spans="1:13" x14ac:dyDescent="0.25">
      <c r="A2014" s="2">
        <f t="shared" si="63"/>
        <v>2009</v>
      </c>
      <c r="B2014" s="2">
        <v>131587</v>
      </c>
      <c r="C2014" s="2" t="s">
        <v>4520</v>
      </c>
      <c r="D2014" s="14" t="s">
        <v>2003</v>
      </c>
      <c r="E2014" s="14">
        <v>2.8483999999999996E-3</v>
      </c>
      <c r="F2014" s="14">
        <v>0</v>
      </c>
      <c r="G2014" s="14">
        <v>2.8483999999999996E-3</v>
      </c>
      <c r="H2014" s="16">
        <v>7.8496075000000003</v>
      </c>
      <c r="I2014" s="16">
        <v>7.8496075000000003</v>
      </c>
      <c r="J2014" s="3" t="s">
        <v>5011</v>
      </c>
      <c r="K2014" s="16">
        <v>13.798523506800001</v>
      </c>
      <c r="L2014" s="16">
        <v>8.2835026999999997</v>
      </c>
      <c r="M2014" s="16">
        <f t="shared" si="62"/>
        <v>1.0552760376872345</v>
      </c>
    </row>
    <row r="2015" spans="1:13" x14ac:dyDescent="0.25">
      <c r="A2015" s="2">
        <f t="shared" si="63"/>
        <v>2010</v>
      </c>
      <c r="B2015" s="2">
        <v>131837</v>
      </c>
      <c r="C2015" s="2" t="s">
        <v>4521</v>
      </c>
      <c r="D2015" s="14" t="s">
        <v>2004</v>
      </c>
      <c r="E2015" s="14">
        <v>0</v>
      </c>
      <c r="F2015" s="14">
        <v>0</v>
      </c>
      <c r="G2015" s="14">
        <v>0</v>
      </c>
      <c r="H2015" s="16">
        <v>0</v>
      </c>
      <c r="I2015" s="16">
        <v>0</v>
      </c>
      <c r="J2015" s="3" t="s">
        <v>5011</v>
      </c>
      <c r="K2015" s="16">
        <v>0</v>
      </c>
      <c r="L2015" s="16">
        <v>0</v>
      </c>
      <c r="M2015" s="16">
        <v>0</v>
      </c>
    </row>
    <row r="2016" spans="1:13" x14ac:dyDescent="0.25">
      <c r="A2016" s="2">
        <f t="shared" si="63"/>
        <v>2011</v>
      </c>
      <c r="B2016" s="2">
        <v>131903</v>
      </c>
      <c r="C2016" s="2" t="s">
        <v>4522</v>
      </c>
      <c r="D2016" s="14" t="s">
        <v>2005</v>
      </c>
      <c r="E2016" s="14">
        <v>0</v>
      </c>
      <c r="F2016" s="14">
        <v>0</v>
      </c>
      <c r="G2016" s="14">
        <v>0</v>
      </c>
      <c r="H2016" s="16">
        <v>0</v>
      </c>
      <c r="I2016" s="16">
        <v>0</v>
      </c>
      <c r="J2016" s="3" t="s">
        <v>5011</v>
      </c>
      <c r="K2016" s="16">
        <v>0</v>
      </c>
      <c r="L2016" s="16">
        <v>0</v>
      </c>
      <c r="M2016" s="16">
        <v>0</v>
      </c>
    </row>
    <row r="2017" spans="1:13" x14ac:dyDescent="0.25">
      <c r="A2017" s="2">
        <f t="shared" si="63"/>
        <v>2012</v>
      </c>
      <c r="B2017" s="2">
        <v>132017</v>
      </c>
      <c r="C2017" s="2" t="s">
        <v>4523</v>
      </c>
      <c r="D2017" s="14" t="s">
        <v>2006</v>
      </c>
      <c r="E2017" s="14">
        <v>80.780976500000008</v>
      </c>
      <c r="F2017" s="14">
        <v>0</v>
      </c>
      <c r="G2017" s="14">
        <v>80.780976500000008</v>
      </c>
      <c r="H2017" s="16">
        <v>2832.8729281000001</v>
      </c>
      <c r="I2017" s="16">
        <v>1677.9034283999999</v>
      </c>
      <c r="J2017" s="3" t="s">
        <v>5011</v>
      </c>
      <c r="K2017" s="16">
        <v>59475.819032836691</v>
      </c>
      <c r="L2017" s="16">
        <v>7024.3460853999995</v>
      </c>
      <c r="M2017" s="16">
        <f t="shared" si="62"/>
        <v>2.4795838936945218</v>
      </c>
    </row>
    <row r="2018" spans="1:13" x14ac:dyDescent="0.25">
      <c r="A2018" s="2">
        <f t="shared" si="63"/>
        <v>2013</v>
      </c>
      <c r="B2018" s="2">
        <v>132269</v>
      </c>
      <c r="C2018" s="2" t="s">
        <v>4524</v>
      </c>
      <c r="D2018" s="14" t="s">
        <v>2007</v>
      </c>
      <c r="E2018" s="14">
        <v>0.1370777</v>
      </c>
      <c r="F2018" s="14">
        <v>0</v>
      </c>
      <c r="G2018" s="14">
        <v>0.1370777</v>
      </c>
      <c r="H2018" s="16">
        <v>192.49037530000001</v>
      </c>
      <c r="I2018" s="16">
        <v>157.79037530000002</v>
      </c>
      <c r="J2018" s="3" t="s">
        <v>5011</v>
      </c>
      <c r="K2018" s="16">
        <v>284.3250503877</v>
      </c>
      <c r="L2018" s="16">
        <v>162.92368050000002</v>
      </c>
      <c r="M2018" s="16">
        <f t="shared" si="62"/>
        <v>0.84639910045414102</v>
      </c>
    </row>
    <row r="2019" spans="1:13" x14ac:dyDescent="0.25">
      <c r="A2019" s="2">
        <f t="shared" si="63"/>
        <v>2014</v>
      </c>
      <c r="B2019" s="2">
        <v>132638</v>
      </c>
      <c r="C2019" s="2" t="s">
        <v>4525</v>
      </c>
      <c r="D2019" s="14" t="s">
        <v>2008</v>
      </c>
      <c r="E2019" s="14">
        <v>3.2200477999999997</v>
      </c>
      <c r="F2019" s="14">
        <v>0</v>
      </c>
      <c r="G2019" s="14">
        <v>3.2200477999999997</v>
      </c>
      <c r="H2019" s="16">
        <v>885.58623840000007</v>
      </c>
      <c r="I2019" s="16">
        <v>579.26506070000005</v>
      </c>
      <c r="J2019" s="3" t="s">
        <v>5011</v>
      </c>
      <c r="K2019" s="16">
        <v>4774.0567685218994</v>
      </c>
      <c r="L2019" s="16">
        <v>834.27195610000001</v>
      </c>
      <c r="M2019" s="16">
        <f t="shared" si="62"/>
        <v>0.9420561430666422</v>
      </c>
    </row>
    <row r="2020" spans="1:13" x14ac:dyDescent="0.25">
      <c r="A2020" s="2">
        <f t="shared" si="63"/>
        <v>2015</v>
      </c>
      <c r="B2020" s="2">
        <v>132902</v>
      </c>
      <c r="C2020" s="2" t="s">
        <v>4526</v>
      </c>
      <c r="D2020" s="14" t="s">
        <v>2009</v>
      </c>
      <c r="E2020" s="14">
        <v>0</v>
      </c>
      <c r="F2020" s="14">
        <v>0</v>
      </c>
      <c r="G2020" s="14">
        <v>0</v>
      </c>
      <c r="H2020" s="16">
        <v>0</v>
      </c>
      <c r="I2020" s="16">
        <v>0</v>
      </c>
      <c r="J2020" s="3" t="s">
        <v>5011</v>
      </c>
      <c r="K2020" s="16">
        <v>0</v>
      </c>
      <c r="L2020" s="16">
        <v>0</v>
      </c>
      <c r="M2020" s="16">
        <v>0</v>
      </c>
    </row>
    <row r="2021" spans="1:13" x14ac:dyDescent="0.25">
      <c r="A2021" s="2">
        <f t="shared" si="63"/>
        <v>2016</v>
      </c>
      <c r="B2021" s="2">
        <v>133099</v>
      </c>
      <c r="C2021" s="2" t="s">
        <v>4527</v>
      </c>
      <c r="D2021" s="14" t="s">
        <v>2010</v>
      </c>
      <c r="E2021" s="14">
        <v>0</v>
      </c>
      <c r="F2021" s="14">
        <v>0</v>
      </c>
      <c r="G2021" s="14">
        <v>0</v>
      </c>
      <c r="H2021" s="16">
        <v>0</v>
      </c>
      <c r="I2021" s="16">
        <v>0</v>
      </c>
      <c r="J2021" s="3" t="s">
        <v>5011</v>
      </c>
      <c r="K2021" s="16">
        <v>0</v>
      </c>
      <c r="L2021" s="16">
        <v>0</v>
      </c>
      <c r="M2021" s="16">
        <v>0</v>
      </c>
    </row>
    <row r="2022" spans="1:13" x14ac:dyDescent="0.25">
      <c r="A2022" s="2">
        <f t="shared" si="63"/>
        <v>2017</v>
      </c>
      <c r="B2022" s="2">
        <v>133132</v>
      </c>
      <c r="C2022" s="2" t="s">
        <v>4528</v>
      </c>
      <c r="D2022" s="14" t="s">
        <v>2011</v>
      </c>
      <c r="E2022" s="14">
        <v>0</v>
      </c>
      <c r="F2022" s="14">
        <v>0</v>
      </c>
      <c r="G2022" s="14">
        <v>0</v>
      </c>
      <c r="H2022" s="16">
        <v>0</v>
      </c>
      <c r="I2022" s="16">
        <v>0</v>
      </c>
      <c r="J2022" s="3" t="s">
        <v>5011</v>
      </c>
      <c r="K2022" s="16">
        <v>0</v>
      </c>
      <c r="L2022" s="16">
        <v>0</v>
      </c>
      <c r="M2022" s="16">
        <v>0</v>
      </c>
    </row>
    <row r="2023" spans="1:13" x14ac:dyDescent="0.25">
      <c r="A2023" s="2">
        <f t="shared" si="63"/>
        <v>2018</v>
      </c>
      <c r="B2023" s="2">
        <v>133153</v>
      </c>
      <c r="C2023" s="2" t="s">
        <v>4529</v>
      </c>
      <c r="D2023" s="14" t="s">
        <v>2012</v>
      </c>
      <c r="E2023" s="14">
        <v>4.0393000000000009E-3</v>
      </c>
      <c r="F2023" s="14">
        <v>0</v>
      </c>
      <c r="G2023" s="14">
        <v>4.0393000000000009E-3</v>
      </c>
      <c r="H2023" s="16">
        <v>0.6199694</v>
      </c>
      <c r="I2023" s="16">
        <v>0.6199694</v>
      </c>
      <c r="J2023" s="3" t="s">
        <v>5011</v>
      </c>
      <c r="K2023" s="16">
        <v>4.9985433013999998</v>
      </c>
      <c r="L2023" s="16">
        <v>0.87508429999999993</v>
      </c>
      <c r="M2023" s="16">
        <f t="shared" si="62"/>
        <v>1.4114959544777532</v>
      </c>
    </row>
    <row r="2024" spans="1:13" x14ac:dyDescent="0.25">
      <c r="A2024" s="2">
        <f t="shared" si="63"/>
        <v>2019</v>
      </c>
      <c r="B2024" s="2">
        <v>133390</v>
      </c>
      <c r="C2024" s="2" t="s">
        <v>4530</v>
      </c>
      <c r="D2024" s="14" t="s">
        <v>2013</v>
      </c>
      <c r="E2024" s="14">
        <v>0</v>
      </c>
      <c r="F2024" s="14">
        <v>0</v>
      </c>
      <c r="G2024" s="14">
        <v>0</v>
      </c>
      <c r="H2024" s="16">
        <v>0.2499875</v>
      </c>
      <c r="I2024" s="16">
        <v>0.2499875</v>
      </c>
      <c r="J2024" s="3" t="s">
        <v>5011</v>
      </c>
      <c r="K2024" s="16">
        <v>6.2500744192999997</v>
      </c>
      <c r="L2024" s="16">
        <v>9.9726006999999992</v>
      </c>
      <c r="M2024" s="16">
        <f t="shared" si="62"/>
        <v>39.892397419870989</v>
      </c>
    </row>
    <row r="2025" spans="1:13" x14ac:dyDescent="0.25">
      <c r="A2025" s="2">
        <f t="shared" si="63"/>
        <v>2020</v>
      </c>
      <c r="B2025" s="2">
        <v>133777</v>
      </c>
      <c r="C2025" s="2" t="s">
        <v>4531</v>
      </c>
      <c r="D2025" s="14" t="s">
        <v>2014</v>
      </c>
      <c r="E2025" s="14">
        <v>17.135569799999999</v>
      </c>
      <c r="F2025" s="14">
        <v>0</v>
      </c>
      <c r="G2025" s="14">
        <v>17.135569799999999</v>
      </c>
      <c r="H2025" s="16">
        <v>618.19907709999995</v>
      </c>
      <c r="I2025" s="16">
        <v>570.45852450000007</v>
      </c>
      <c r="J2025" s="3" t="s">
        <v>5011</v>
      </c>
      <c r="K2025" s="16">
        <v>14642.164507158204</v>
      </c>
      <c r="L2025" s="16">
        <v>1806.2062265</v>
      </c>
      <c r="M2025" s="16">
        <f t="shared" si="62"/>
        <v>2.9217226188253074</v>
      </c>
    </row>
    <row r="2026" spans="1:13" x14ac:dyDescent="0.25">
      <c r="A2026" s="2">
        <f t="shared" si="63"/>
        <v>2021</v>
      </c>
      <c r="B2026" s="2">
        <v>134063</v>
      </c>
      <c r="C2026" s="2" t="s">
        <v>4532</v>
      </c>
      <c r="D2026" s="14" t="s">
        <v>2015</v>
      </c>
      <c r="E2026" s="14">
        <v>1.3560000000000002E-4</v>
      </c>
      <c r="F2026" s="14">
        <v>0</v>
      </c>
      <c r="G2026" s="14">
        <v>1.3560000000000002E-4</v>
      </c>
      <c r="H2026" s="16">
        <v>2.7398629999999997</v>
      </c>
      <c r="I2026" s="16">
        <v>1.3655108999999999</v>
      </c>
      <c r="J2026" s="3" t="s">
        <v>5011</v>
      </c>
      <c r="K2026" s="16">
        <v>31.098782650899999</v>
      </c>
      <c r="L2026" s="16">
        <v>7.7884057999999996</v>
      </c>
      <c r="M2026" s="16">
        <f t="shared" si="62"/>
        <v>2.8426259999131345</v>
      </c>
    </row>
    <row r="2027" spans="1:13" x14ac:dyDescent="0.25">
      <c r="A2027" s="2">
        <f t="shared" si="63"/>
        <v>2022</v>
      </c>
      <c r="B2027" s="2">
        <v>134141</v>
      </c>
      <c r="C2027" s="2" t="s">
        <v>4533</v>
      </c>
      <c r="D2027" s="14" t="s">
        <v>2016</v>
      </c>
      <c r="E2027" s="14">
        <v>0</v>
      </c>
      <c r="F2027" s="14">
        <v>0</v>
      </c>
      <c r="G2027" s="14">
        <v>0</v>
      </c>
      <c r="H2027" s="16">
        <v>0</v>
      </c>
      <c r="I2027" s="16">
        <v>0</v>
      </c>
      <c r="J2027" s="3" t="s">
        <v>5011</v>
      </c>
      <c r="K2027" s="16">
        <v>0</v>
      </c>
      <c r="L2027" s="16">
        <v>0</v>
      </c>
      <c r="M2027" s="16">
        <v>0</v>
      </c>
    </row>
    <row r="2028" spans="1:13" x14ac:dyDescent="0.25">
      <c r="A2028" s="2">
        <f t="shared" si="63"/>
        <v>2023</v>
      </c>
      <c r="B2028" s="2">
        <v>134483</v>
      </c>
      <c r="C2028" s="2" t="s">
        <v>4534</v>
      </c>
      <c r="D2028" s="14" t="s">
        <v>2017</v>
      </c>
      <c r="E2028" s="14">
        <v>5.1623773999999996</v>
      </c>
      <c r="F2028" s="14">
        <v>0</v>
      </c>
      <c r="G2028" s="14">
        <v>5.1623773999999996</v>
      </c>
      <c r="H2028" s="16">
        <v>707.93373379999991</v>
      </c>
      <c r="I2028" s="16">
        <v>504.42749399999991</v>
      </c>
      <c r="J2028" s="3" t="s">
        <v>5011</v>
      </c>
      <c r="K2028" s="16">
        <v>6311.5795781625002</v>
      </c>
      <c r="L2028" s="16">
        <v>915.38773450000008</v>
      </c>
      <c r="M2028" s="16">
        <f t="shared" si="62"/>
        <v>1.2930415528956958</v>
      </c>
    </row>
    <row r="2029" spans="1:13" x14ac:dyDescent="0.25">
      <c r="A2029" s="2">
        <f t="shared" si="63"/>
        <v>2024</v>
      </c>
      <c r="B2029" s="2">
        <v>134569</v>
      </c>
      <c r="C2029" s="2" t="s">
        <v>4535</v>
      </c>
      <c r="D2029" s="14" t="s">
        <v>2018</v>
      </c>
      <c r="E2029" s="14">
        <v>102.09248339999999</v>
      </c>
      <c r="F2029" s="14">
        <v>0</v>
      </c>
      <c r="G2029" s="14">
        <v>102.09248339999999</v>
      </c>
      <c r="H2029" s="16">
        <v>4785.9092658999998</v>
      </c>
      <c r="I2029" s="16">
        <v>2104.1988189999997</v>
      </c>
      <c r="J2029" s="3" t="s">
        <v>5011</v>
      </c>
      <c r="K2029" s="16">
        <v>80951.266214841467</v>
      </c>
      <c r="L2029" s="16">
        <v>9952.8703024000006</v>
      </c>
      <c r="M2029" s="16">
        <f t="shared" si="62"/>
        <v>2.079619514167355</v>
      </c>
    </row>
    <row r="2030" spans="1:13" x14ac:dyDescent="0.25">
      <c r="A2030" s="2">
        <f t="shared" si="63"/>
        <v>2025</v>
      </c>
      <c r="B2030" s="2">
        <v>134655</v>
      </c>
      <c r="C2030" s="2" t="s">
        <v>4536</v>
      </c>
      <c r="D2030" s="14" t="s">
        <v>2019</v>
      </c>
      <c r="E2030" s="14">
        <v>0</v>
      </c>
      <c r="F2030" s="14">
        <v>0</v>
      </c>
      <c r="G2030" s="14">
        <v>0</v>
      </c>
      <c r="H2030" s="16">
        <v>0</v>
      </c>
      <c r="I2030" s="16">
        <v>0</v>
      </c>
      <c r="J2030" s="3" t="s">
        <v>5011</v>
      </c>
      <c r="K2030" s="16">
        <v>0</v>
      </c>
      <c r="L2030" s="16">
        <v>0</v>
      </c>
      <c r="M2030" s="16">
        <v>0</v>
      </c>
    </row>
    <row r="2031" spans="1:13" x14ac:dyDescent="0.25">
      <c r="A2031" s="2">
        <f t="shared" si="63"/>
        <v>2026</v>
      </c>
      <c r="B2031" s="2">
        <v>134887</v>
      </c>
      <c r="C2031" s="2" t="s">
        <v>4537</v>
      </c>
      <c r="D2031" s="14" t="s">
        <v>2020</v>
      </c>
      <c r="E2031" s="14">
        <v>0</v>
      </c>
      <c r="F2031" s="14">
        <v>0</v>
      </c>
      <c r="G2031" s="14">
        <v>0</v>
      </c>
      <c r="H2031" s="16">
        <v>0</v>
      </c>
      <c r="I2031" s="16">
        <v>0</v>
      </c>
      <c r="J2031" s="3" t="s">
        <v>5011</v>
      </c>
      <c r="K2031" s="16">
        <v>0</v>
      </c>
      <c r="L2031" s="16">
        <v>0</v>
      </c>
      <c r="M2031" s="16">
        <v>0</v>
      </c>
    </row>
    <row r="2032" spans="1:13" x14ac:dyDescent="0.25">
      <c r="A2032" s="2">
        <f t="shared" si="63"/>
        <v>2027</v>
      </c>
      <c r="B2032" s="2">
        <v>135280</v>
      </c>
      <c r="C2032" s="2" t="s">
        <v>4538</v>
      </c>
      <c r="D2032" s="14" t="s">
        <v>2021</v>
      </c>
      <c r="E2032" s="14">
        <v>0.20984940000000002</v>
      </c>
      <c r="F2032" s="14">
        <v>0</v>
      </c>
      <c r="G2032" s="14">
        <v>0.20984940000000002</v>
      </c>
      <c r="H2032" s="16">
        <v>15.9993</v>
      </c>
      <c r="I2032" s="16">
        <v>11.8747682</v>
      </c>
      <c r="J2032" s="3" t="s">
        <v>5011</v>
      </c>
      <c r="K2032" s="16">
        <v>188.38311200139998</v>
      </c>
      <c r="L2032" s="16">
        <v>27.5023348</v>
      </c>
      <c r="M2032" s="16">
        <f t="shared" si="62"/>
        <v>1.718971129986937</v>
      </c>
    </row>
    <row r="2033" spans="1:13" x14ac:dyDescent="0.25">
      <c r="A2033" s="2">
        <f t="shared" si="63"/>
        <v>2028</v>
      </c>
      <c r="B2033" s="2">
        <v>135987</v>
      </c>
      <c r="C2033" s="2" t="s">
        <v>4539</v>
      </c>
      <c r="D2033" s="14" t="s">
        <v>2022</v>
      </c>
      <c r="E2033" s="14">
        <v>0.13640950000000002</v>
      </c>
      <c r="F2033" s="14">
        <v>0</v>
      </c>
      <c r="G2033" s="14">
        <v>0.13640950000000002</v>
      </c>
      <c r="H2033" s="16">
        <v>20.001858300000002</v>
      </c>
      <c r="I2033" s="16">
        <v>20.001858300000002</v>
      </c>
      <c r="J2033" s="3" t="s">
        <v>5011</v>
      </c>
      <c r="K2033" s="16">
        <v>164.95999701580001</v>
      </c>
      <c r="L2033" s="16">
        <v>29.705373300000002</v>
      </c>
      <c r="M2033" s="16">
        <f t="shared" si="62"/>
        <v>1.4851306740834174</v>
      </c>
    </row>
    <row r="2034" spans="1:13" x14ac:dyDescent="0.25">
      <c r="A2034" s="2">
        <f t="shared" si="63"/>
        <v>2029</v>
      </c>
      <c r="B2034" s="2">
        <v>136649</v>
      </c>
      <c r="C2034" s="2" t="s">
        <v>4540</v>
      </c>
      <c r="D2034" s="14" t="s">
        <v>2023</v>
      </c>
      <c r="E2034" s="14">
        <v>0</v>
      </c>
      <c r="F2034" s="14">
        <v>0</v>
      </c>
      <c r="G2034" s="14">
        <v>0</v>
      </c>
      <c r="H2034" s="16">
        <v>0</v>
      </c>
      <c r="I2034" s="16">
        <v>0</v>
      </c>
      <c r="J2034" s="3" t="s">
        <v>5011</v>
      </c>
      <c r="K2034" s="16">
        <v>0</v>
      </c>
      <c r="L2034" s="16">
        <v>0</v>
      </c>
      <c r="M2034" s="16">
        <v>0</v>
      </c>
    </row>
    <row r="2035" spans="1:13" x14ac:dyDescent="0.25">
      <c r="A2035" s="2">
        <f t="shared" si="63"/>
        <v>2030</v>
      </c>
      <c r="B2035" s="2">
        <v>136772</v>
      </c>
      <c r="C2035" s="2" t="s">
        <v>4541</v>
      </c>
      <c r="D2035" s="14" t="s">
        <v>2024</v>
      </c>
      <c r="E2035" s="14">
        <v>0.3231966</v>
      </c>
      <c r="F2035" s="14">
        <v>0</v>
      </c>
      <c r="G2035" s="14">
        <v>0.3231966</v>
      </c>
      <c r="H2035" s="16">
        <v>12.244421899999999</v>
      </c>
      <c r="I2035" s="16">
        <v>2.9993879999999993</v>
      </c>
      <c r="J2035" s="3" t="s">
        <v>5011</v>
      </c>
      <c r="K2035" s="16">
        <v>352.06066677330006</v>
      </c>
      <c r="L2035" s="16">
        <v>37.673004599999999</v>
      </c>
      <c r="M2035" s="16">
        <f t="shared" si="62"/>
        <v>3.0767483273342617</v>
      </c>
    </row>
    <row r="2036" spans="1:13" x14ac:dyDescent="0.25">
      <c r="A2036" s="2">
        <f t="shared" si="63"/>
        <v>2031</v>
      </c>
      <c r="B2036" s="2">
        <v>137069</v>
      </c>
      <c r="C2036" s="2" t="s">
        <v>4542</v>
      </c>
      <c r="D2036" s="14" t="s">
        <v>2025</v>
      </c>
      <c r="E2036" s="14">
        <v>0.21301260000000002</v>
      </c>
      <c r="F2036" s="14">
        <v>0</v>
      </c>
      <c r="G2036" s="14">
        <v>0.21301260000000002</v>
      </c>
      <c r="H2036" s="16">
        <v>136.42419219999999</v>
      </c>
      <c r="I2036" s="16">
        <v>18.358601400000005</v>
      </c>
      <c r="J2036" s="3" t="s">
        <v>5011</v>
      </c>
      <c r="K2036" s="16">
        <v>173.84176780640001</v>
      </c>
      <c r="L2036" s="16">
        <v>26.436624800000001</v>
      </c>
      <c r="M2036" s="16">
        <f t="shared" si="62"/>
        <v>0.19378252767107096</v>
      </c>
    </row>
    <row r="2037" spans="1:13" x14ac:dyDescent="0.25">
      <c r="A2037" s="2">
        <f t="shared" si="63"/>
        <v>2032</v>
      </c>
      <c r="B2037" s="2">
        <v>137296</v>
      </c>
      <c r="C2037" s="2" t="s">
        <v>4543</v>
      </c>
      <c r="D2037" s="14" t="s">
        <v>2026</v>
      </c>
      <c r="E2037" s="14">
        <v>8.7101556000000002</v>
      </c>
      <c r="F2037" s="14">
        <v>0</v>
      </c>
      <c r="G2037" s="14">
        <v>8.7101556000000002</v>
      </c>
      <c r="H2037" s="16">
        <v>1466.6901438</v>
      </c>
      <c r="I2037" s="16">
        <v>946.34685900000011</v>
      </c>
      <c r="J2037" s="3" t="s">
        <v>5011</v>
      </c>
      <c r="K2037" s="16">
        <v>9108.3659752645017</v>
      </c>
      <c r="L2037" s="16">
        <v>1503.0428569999999</v>
      </c>
      <c r="M2037" s="16">
        <f t="shared" si="62"/>
        <v>1.0247855440725979</v>
      </c>
    </row>
    <row r="2038" spans="1:13" x14ac:dyDescent="0.25">
      <c r="A2038" s="2">
        <f t="shared" si="63"/>
        <v>2033</v>
      </c>
      <c r="B2038" s="2">
        <v>137947</v>
      </c>
      <c r="C2038" s="2" t="s">
        <v>4544</v>
      </c>
      <c r="D2038" s="14" t="s">
        <v>2027</v>
      </c>
      <c r="E2038" s="14">
        <v>7.2340766999999992</v>
      </c>
      <c r="F2038" s="14">
        <v>0</v>
      </c>
      <c r="G2038" s="14">
        <v>7.2340766999999992</v>
      </c>
      <c r="H2038" s="16">
        <v>485.2541415</v>
      </c>
      <c r="I2038" s="16">
        <v>389.98845239999997</v>
      </c>
      <c r="J2038" s="3" t="s">
        <v>5011</v>
      </c>
      <c r="K2038" s="16">
        <v>6721.5586635053014</v>
      </c>
      <c r="L2038" s="16">
        <v>897.75356069999998</v>
      </c>
      <c r="M2038" s="16">
        <f t="shared" si="62"/>
        <v>1.8500688276969606</v>
      </c>
    </row>
    <row r="2039" spans="1:13" x14ac:dyDescent="0.25">
      <c r="A2039" s="2">
        <f t="shared" si="63"/>
        <v>2034</v>
      </c>
      <c r="B2039" s="2">
        <v>137949</v>
      </c>
      <c r="C2039" s="2" t="s">
        <v>4545</v>
      </c>
      <c r="D2039" s="14" t="s">
        <v>2028</v>
      </c>
      <c r="E2039" s="14">
        <v>0.6140412999999999</v>
      </c>
      <c r="F2039" s="14">
        <v>0</v>
      </c>
      <c r="G2039" s="14">
        <v>0.6140412999999999</v>
      </c>
      <c r="H2039" s="16">
        <v>39.519284900000002</v>
      </c>
      <c r="I2039" s="16">
        <v>35.353401900000001</v>
      </c>
      <c r="J2039" s="3" t="s">
        <v>5011</v>
      </c>
      <c r="K2039" s="16">
        <v>596.75406233969989</v>
      </c>
      <c r="L2039" s="16">
        <v>84.9159899</v>
      </c>
      <c r="M2039" s="16">
        <f t="shared" si="62"/>
        <v>2.1487228353162835</v>
      </c>
    </row>
    <row r="2040" spans="1:13" x14ac:dyDescent="0.25">
      <c r="A2040" s="2">
        <f t="shared" si="63"/>
        <v>2035</v>
      </c>
      <c r="B2040" s="2">
        <v>138294</v>
      </c>
      <c r="C2040" s="2" t="s">
        <v>4546</v>
      </c>
      <c r="D2040" s="14" t="s">
        <v>2029</v>
      </c>
      <c r="E2040" s="14">
        <v>0.59472000000000003</v>
      </c>
      <c r="F2040" s="14">
        <v>0</v>
      </c>
      <c r="G2040" s="14">
        <v>0.59472000000000003</v>
      </c>
      <c r="H2040" s="16">
        <v>137.01691890000001</v>
      </c>
      <c r="I2040" s="16">
        <v>98.626996599999998</v>
      </c>
      <c r="J2040" s="3" t="s">
        <v>5011</v>
      </c>
      <c r="K2040" s="16">
        <v>874.19515216249988</v>
      </c>
      <c r="L2040" s="16">
        <v>160.3971397</v>
      </c>
      <c r="M2040" s="16">
        <f t="shared" si="62"/>
        <v>1.1706374730048026</v>
      </c>
    </row>
    <row r="2041" spans="1:13" x14ac:dyDescent="0.25">
      <c r="A2041" s="2">
        <f t="shared" si="63"/>
        <v>2036</v>
      </c>
      <c r="B2041" s="2">
        <v>138791</v>
      </c>
      <c r="C2041" s="2" t="s">
        <v>4547</v>
      </c>
      <c r="D2041" s="14" t="s">
        <v>2030</v>
      </c>
      <c r="E2041" s="14">
        <v>0.1411365</v>
      </c>
      <c r="F2041" s="14">
        <v>0</v>
      </c>
      <c r="G2041" s="14">
        <v>0.1411365</v>
      </c>
      <c r="H2041" s="16">
        <v>98.505074600000015</v>
      </c>
      <c r="I2041" s="16">
        <v>75.170074600000007</v>
      </c>
      <c r="J2041" s="3" t="s">
        <v>5011</v>
      </c>
      <c r="K2041" s="16">
        <v>424.23934826020007</v>
      </c>
      <c r="L2041" s="16">
        <v>89.0575975</v>
      </c>
      <c r="M2041" s="16">
        <f t="shared" si="62"/>
        <v>0.9040914679942792</v>
      </c>
    </row>
    <row r="2042" spans="1:13" x14ac:dyDescent="0.25">
      <c r="A2042" s="2">
        <f t="shared" si="63"/>
        <v>2037</v>
      </c>
      <c r="B2042" s="2">
        <v>139390</v>
      </c>
      <c r="C2042" s="2" t="s">
        <v>4548</v>
      </c>
      <c r="D2042" s="14" t="s">
        <v>2031</v>
      </c>
      <c r="E2042" s="14">
        <v>8.1893400000000005E-2</v>
      </c>
      <c r="F2042" s="14">
        <v>0</v>
      </c>
      <c r="G2042" s="14">
        <v>8.1893400000000005E-2</v>
      </c>
      <c r="H2042" s="16">
        <v>59.158234100000001</v>
      </c>
      <c r="I2042" s="16">
        <v>38.450993099999998</v>
      </c>
      <c r="J2042" s="3" t="s">
        <v>5011</v>
      </c>
      <c r="K2042" s="16">
        <v>174.79355538639999</v>
      </c>
      <c r="L2042" s="16">
        <v>43.112051299999997</v>
      </c>
      <c r="M2042" s="16">
        <f t="shared" si="62"/>
        <v>0.72875825243742354</v>
      </c>
    </row>
    <row r="2043" spans="1:13" x14ac:dyDescent="0.25">
      <c r="A2043" s="2">
        <f t="shared" si="63"/>
        <v>2038</v>
      </c>
      <c r="B2043" s="2">
        <v>139535</v>
      </c>
      <c r="C2043" s="2" t="s">
        <v>4549</v>
      </c>
      <c r="D2043" s="14" t="s">
        <v>2032</v>
      </c>
      <c r="E2043" s="14">
        <v>1.1975E-2</v>
      </c>
      <c r="F2043" s="14">
        <v>0</v>
      </c>
      <c r="G2043" s="14">
        <v>1.1975E-2</v>
      </c>
      <c r="H2043" s="16">
        <v>14.9592525</v>
      </c>
      <c r="I2043" s="16">
        <v>14.5392525</v>
      </c>
      <c r="J2043" s="3" t="s">
        <v>5011</v>
      </c>
      <c r="K2043" s="16">
        <v>98.779270899200014</v>
      </c>
      <c r="L2043" s="16">
        <v>21.482786900000001</v>
      </c>
      <c r="M2043" s="16">
        <f t="shared" si="62"/>
        <v>1.436086923460915</v>
      </c>
    </row>
    <row r="2044" spans="1:13" x14ac:dyDescent="0.25">
      <c r="A2044" s="2">
        <f t="shared" si="63"/>
        <v>2039</v>
      </c>
      <c r="B2044" s="2">
        <v>139548</v>
      </c>
      <c r="C2044" s="2" t="s">
        <v>4550</v>
      </c>
      <c r="D2044" s="14" t="s">
        <v>2033</v>
      </c>
      <c r="E2044" s="14">
        <v>5.3827121</v>
      </c>
      <c r="F2044" s="14">
        <v>0</v>
      </c>
      <c r="G2044" s="14">
        <v>5.3827121</v>
      </c>
      <c r="H2044" s="16">
        <v>420.0393239</v>
      </c>
      <c r="I2044" s="16">
        <v>184.16727019999999</v>
      </c>
      <c r="J2044" s="3" t="s">
        <v>5011</v>
      </c>
      <c r="K2044" s="16">
        <v>5431.238149682099</v>
      </c>
      <c r="L2044" s="16">
        <v>645.8433235</v>
      </c>
      <c r="M2044" s="16">
        <f t="shared" si="62"/>
        <v>1.5375782379217375</v>
      </c>
    </row>
    <row r="2045" spans="1:13" x14ac:dyDescent="0.25">
      <c r="A2045" s="2">
        <f t="shared" si="63"/>
        <v>2040</v>
      </c>
      <c r="B2045" s="2">
        <v>139809</v>
      </c>
      <c r="C2045" s="2" t="s">
        <v>4551</v>
      </c>
      <c r="D2045" s="14" t="s">
        <v>2034</v>
      </c>
      <c r="E2045" s="14">
        <v>7.0781481999999993</v>
      </c>
      <c r="F2045" s="14">
        <v>0</v>
      </c>
      <c r="G2045" s="14">
        <v>7.0781481999999993</v>
      </c>
      <c r="H2045" s="16">
        <v>318.56742559999998</v>
      </c>
      <c r="I2045" s="16">
        <v>231.89315339999996</v>
      </c>
      <c r="J2045" s="3" t="s">
        <v>5011</v>
      </c>
      <c r="K2045" s="16">
        <v>5965.9082600665988</v>
      </c>
      <c r="L2045" s="16">
        <v>790.68488500000001</v>
      </c>
      <c r="M2045" s="16">
        <f t="shared" si="62"/>
        <v>2.4820016783285328</v>
      </c>
    </row>
    <row r="2046" spans="1:13" x14ac:dyDescent="0.25">
      <c r="A2046" s="2">
        <f t="shared" si="63"/>
        <v>2041</v>
      </c>
      <c r="B2046" s="2">
        <v>139828</v>
      </c>
      <c r="C2046" s="2" t="s">
        <v>4552</v>
      </c>
      <c r="D2046" s="14" t="s">
        <v>2035</v>
      </c>
      <c r="E2046" s="14">
        <v>1.0885484000000001</v>
      </c>
      <c r="F2046" s="14">
        <v>0</v>
      </c>
      <c r="G2046" s="14">
        <v>1.0885484000000001</v>
      </c>
      <c r="H2046" s="16">
        <v>118.0913122</v>
      </c>
      <c r="I2046" s="16">
        <v>105.62571270000001</v>
      </c>
      <c r="J2046" s="3" t="s">
        <v>5011</v>
      </c>
      <c r="K2046" s="16">
        <v>1325.3845309298003</v>
      </c>
      <c r="L2046" s="16">
        <v>191.23319519999998</v>
      </c>
      <c r="M2046" s="16">
        <f t="shared" si="62"/>
        <v>1.6193671798322178</v>
      </c>
    </row>
    <row r="2047" spans="1:13" x14ac:dyDescent="0.25">
      <c r="A2047" s="2">
        <f t="shared" si="63"/>
        <v>2042</v>
      </c>
      <c r="B2047" s="2">
        <v>140033</v>
      </c>
      <c r="C2047" s="2" t="s">
        <v>4553</v>
      </c>
      <c r="D2047" s="14" t="s">
        <v>2036</v>
      </c>
      <c r="E2047" s="14">
        <v>0</v>
      </c>
      <c r="F2047" s="14">
        <v>0</v>
      </c>
      <c r="G2047" s="14">
        <v>0</v>
      </c>
      <c r="H2047" s="16">
        <v>0</v>
      </c>
      <c r="I2047" s="16">
        <v>0</v>
      </c>
      <c r="J2047" s="3" t="s">
        <v>5011</v>
      </c>
      <c r="K2047" s="16">
        <v>0</v>
      </c>
      <c r="L2047" s="16">
        <v>0</v>
      </c>
      <c r="M2047" s="16">
        <v>0</v>
      </c>
    </row>
    <row r="2048" spans="1:13" x14ac:dyDescent="0.25">
      <c r="A2048" s="2">
        <f t="shared" si="63"/>
        <v>2043</v>
      </c>
      <c r="B2048" s="2">
        <v>140124</v>
      </c>
      <c r="C2048" s="2" t="s">
        <v>4554</v>
      </c>
      <c r="D2048" s="14" t="s">
        <v>2037</v>
      </c>
      <c r="E2048" s="14">
        <v>0.35206270000000006</v>
      </c>
      <c r="F2048" s="14">
        <v>0</v>
      </c>
      <c r="G2048" s="14">
        <v>0.35206270000000006</v>
      </c>
      <c r="H2048" s="16">
        <v>93.796430500000014</v>
      </c>
      <c r="I2048" s="16">
        <v>71.731394800000004</v>
      </c>
      <c r="J2048" s="3" t="s">
        <v>5011</v>
      </c>
      <c r="K2048" s="16">
        <v>535.48527035080008</v>
      </c>
      <c r="L2048" s="16">
        <v>97.888292100000015</v>
      </c>
      <c r="M2048" s="16">
        <f t="shared" si="62"/>
        <v>1.0436249181145545</v>
      </c>
    </row>
    <row r="2049" spans="1:13" x14ac:dyDescent="0.25">
      <c r="A2049" s="2">
        <f t="shared" si="63"/>
        <v>2044</v>
      </c>
      <c r="B2049" s="2">
        <v>140416</v>
      </c>
      <c r="C2049" s="2" t="s">
        <v>4555</v>
      </c>
      <c r="D2049" s="14" t="s">
        <v>2038</v>
      </c>
      <c r="E2049" s="14">
        <v>0</v>
      </c>
      <c r="F2049" s="14">
        <v>0</v>
      </c>
      <c r="G2049" s="14">
        <v>0</v>
      </c>
      <c r="H2049" s="16">
        <v>0</v>
      </c>
      <c r="I2049" s="16">
        <v>0</v>
      </c>
      <c r="J2049" s="3" t="s">
        <v>5011</v>
      </c>
      <c r="K2049" s="16">
        <v>0</v>
      </c>
      <c r="L2049" s="16">
        <v>0</v>
      </c>
      <c r="M2049" s="16">
        <v>0</v>
      </c>
    </row>
    <row r="2050" spans="1:13" x14ac:dyDescent="0.25">
      <c r="A2050" s="2">
        <f t="shared" si="63"/>
        <v>2045</v>
      </c>
      <c r="B2050" s="2">
        <v>140448</v>
      </c>
      <c r="C2050" s="2" t="s">
        <v>4556</v>
      </c>
      <c r="D2050" s="14" t="s">
        <v>2039</v>
      </c>
      <c r="E2050" s="14">
        <v>12.756386600000001</v>
      </c>
      <c r="F2050" s="14">
        <v>0</v>
      </c>
      <c r="G2050" s="14">
        <v>12.756386600000001</v>
      </c>
      <c r="H2050" s="16">
        <v>453.49248640000002</v>
      </c>
      <c r="I2050" s="16">
        <v>28.472494399999977</v>
      </c>
      <c r="J2050" s="3" t="s">
        <v>5011</v>
      </c>
      <c r="K2050" s="16">
        <v>12098.516962030697</v>
      </c>
      <c r="L2050" s="16">
        <v>1270.8601085</v>
      </c>
      <c r="M2050" s="16">
        <f t="shared" si="62"/>
        <v>2.8023840451880084</v>
      </c>
    </row>
    <row r="2051" spans="1:13" x14ac:dyDescent="0.25">
      <c r="A2051" s="2">
        <f t="shared" si="63"/>
        <v>2046</v>
      </c>
      <c r="B2051" s="2">
        <v>140754</v>
      </c>
      <c r="C2051" s="2" t="s">
        <v>4557</v>
      </c>
      <c r="D2051" s="14" t="s">
        <v>2040</v>
      </c>
      <c r="E2051" s="14">
        <v>1.6481104999999998</v>
      </c>
      <c r="F2051" s="14">
        <v>0</v>
      </c>
      <c r="G2051" s="14">
        <v>1.6481104999999998</v>
      </c>
      <c r="H2051" s="16">
        <v>508.48457509999997</v>
      </c>
      <c r="I2051" s="16">
        <v>507.98457509999997</v>
      </c>
      <c r="J2051" s="3" t="s">
        <v>5011</v>
      </c>
      <c r="K2051" s="16">
        <v>1736.2942506943998</v>
      </c>
      <c r="L2051" s="16">
        <v>553.68962340000007</v>
      </c>
      <c r="M2051" s="16">
        <f t="shared" si="62"/>
        <v>1.0889015134650053</v>
      </c>
    </row>
    <row r="2052" spans="1:13" x14ac:dyDescent="0.25">
      <c r="A2052" s="2">
        <f t="shared" si="63"/>
        <v>2047</v>
      </c>
      <c r="B2052" s="2">
        <v>140810</v>
      </c>
      <c r="C2052" s="2" t="s">
        <v>4558</v>
      </c>
      <c r="D2052" s="14" t="s">
        <v>2041</v>
      </c>
      <c r="E2052" s="14">
        <v>0.49347489999999999</v>
      </c>
      <c r="F2052" s="14">
        <v>0</v>
      </c>
      <c r="G2052" s="14">
        <v>0.49347489999999999</v>
      </c>
      <c r="H2052" s="16">
        <v>49.647518600000005</v>
      </c>
      <c r="I2052" s="16">
        <v>49.068892200000008</v>
      </c>
      <c r="J2052" s="3" t="s">
        <v>5011</v>
      </c>
      <c r="K2052" s="16">
        <v>467.43663185569994</v>
      </c>
      <c r="L2052" s="16">
        <v>67.216366500000007</v>
      </c>
      <c r="M2052" s="16">
        <f t="shared" si="62"/>
        <v>1.3538716212898503</v>
      </c>
    </row>
    <row r="2053" spans="1:13" x14ac:dyDescent="0.25">
      <c r="A2053" s="2">
        <f t="shared" si="63"/>
        <v>2048</v>
      </c>
      <c r="B2053" s="2">
        <v>141456</v>
      </c>
      <c r="C2053" s="2" t="s">
        <v>4559</v>
      </c>
      <c r="D2053" s="14" t="s">
        <v>2042</v>
      </c>
      <c r="E2053" s="14">
        <v>0</v>
      </c>
      <c r="F2053" s="14">
        <v>0</v>
      </c>
      <c r="G2053" s="14">
        <v>0</v>
      </c>
      <c r="H2053" s="16">
        <v>1.9998999999999999E-2</v>
      </c>
      <c r="I2053" s="16">
        <v>1.9998999999999999E-2</v>
      </c>
      <c r="J2053" s="3" t="s">
        <v>5011</v>
      </c>
      <c r="K2053" s="16">
        <v>1.7768129160999999</v>
      </c>
      <c r="L2053" s="16">
        <v>0.18372520000000001</v>
      </c>
      <c r="M2053" s="16">
        <f t="shared" si="62"/>
        <v>9.1867193359667993</v>
      </c>
    </row>
    <row r="2054" spans="1:13" x14ac:dyDescent="0.25">
      <c r="A2054" s="2">
        <f t="shared" si="63"/>
        <v>2049</v>
      </c>
      <c r="B2054" s="2">
        <v>141492</v>
      </c>
      <c r="C2054" s="2" t="s">
        <v>4560</v>
      </c>
      <c r="D2054" s="14" t="s">
        <v>2043</v>
      </c>
      <c r="E2054" s="14">
        <v>1.2990229999999998</v>
      </c>
      <c r="F2054" s="14">
        <v>0</v>
      </c>
      <c r="G2054" s="14">
        <v>1.2990229999999998</v>
      </c>
      <c r="H2054" s="16">
        <v>169.08375409999999</v>
      </c>
      <c r="I2054" s="16">
        <v>134.20758039999998</v>
      </c>
      <c r="J2054" s="3" t="s">
        <v>5011</v>
      </c>
      <c r="K2054" s="16">
        <v>1547.2062002543998</v>
      </c>
      <c r="L2054" s="16">
        <v>226.16759329999999</v>
      </c>
      <c r="M2054" s="16">
        <f t="shared" si="62"/>
        <v>1.3376068830731029</v>
      </c>
    </row>
    <row r="2055" spans="1:13" x14ac:dyDescent="0.25">
      <c r="A2055" s="2">
        <f t="shared" si="63"/>
        <v>2050</v>
      </c>
      <c r="B2055" s="2">
        <v>141573</v>
      </c>
      <c r="C2055" s="2" t="s">
        <v>4561</v>
      </c>
      <c r="D2055" s="14" t="s">
        <v>2044</v>
      </c>
      <c r="E2055" s="14">
        <v>32.043527500000003</v>
      </c>
      <c r="F2055" s="14">
        <v>0</v>
      </c>
      <c r="G2055" s="14">
        <v>32.043527500000003</v>
      </c>
      <c r="H2055" s="16">
        <v>1194.8854011000001</v>
      </c>
      <c r="I2055" s="16">
        <v>521.04575480000005</v>
      </c>
      <c r="J2055" s="3" t="s">
        <v>5011</v>
      </c>
      <c r="K2055" s="16">
        <v>26728.065860934817</v>
      </c>
      <c r="L2055" s="16">
        <v>2942.2847386000003</v>
      </c>
      <c r="M2055" s="16">
        <f t="shared" ref="M2055:M2118" si="64">L2055/H2055</f>
        <v>2.4623991019484892</v>
      </c>
    </row>
    <row r="2056" spans="1:13" x14ac:dyDescent="0.25">
      <c r="A2056" s="2">
        <f t="shared" ref="A2056:A2119" si="65">A2055+1</f>
        <v>2051</v>
      </c>
      <c r="B2056" s="2">
        <v>141707</v>
      </c>
      <c r="C2056" s="2" t="s">
        <v>4562</v>
      </c>
      <c r="D2056" s="14" t="s">
        <v>2045</v>
      </c>
      <c r="E2056" s="14">
        <v>0.29747980000000002</v>
      </c>
      <c r="F2056" s="14">
        <v>0</v>
      </c>
      <c r="G2056" s="14">
        <v>0.29747980000000002</v>
      </c>
      <c r="H2056" s="16">
        <v>10.338985600000001</v>
      </c>
      <c r="I2056" s="16">
        <v>-5.4163517999999993</v>
      </c>
      <c r="J2056" s="3" t="s">
        <v>5011</v>
      </c>
      <c r="K2056" s="16">
        <v>306.63225624700004</v>
      </c>
      <c r="L2056" s="16">
        <v>35.440601999999998</v>
      </c>
      <c r="M2056" s="16">
        <f t="shared" si="64"/>
        <v>3.4278606597536991</v>
      </c>
    </row>
    <row r="2057" spans="1:13" x14ac:dyDescent="0.25">
      <c r="A2057" s="2">
        <f t="shared" si="65"/>
        <v>2052</v>
      </c>
      <c r="B2057" s="2">
        <v>141769</v>
      </c>
      <c r="C2057" s="2" t="s">
        <v>4563</v>
      </c>
      <c r="D2057" s="14" t="s">
        <v>2046</v>
      </c>
      <c r="E2057" s="14">
        <v>0.44170819999999994</v>
      </c>
      <c r="F2057" s="14">
        <v>0</v>
      </c>
      <c r="G2057" s="14">
        <v>0.44170819999999994</v>
      </c>
      <c r="H2057" s="16">
        <v>7.4096294999999994</v>
      </c>
      <c r="I2057" s="16">
        <v>6.3267898999999996</v>
      </c>
      <c r="J2057" s="3" t="s">
        <v>5011</v>
      </c>
      <c r="K2057" s="16">
        <v>361.77788255580003</v>
      </c>
      <c r="L2057" s="16">
        <v>41.024186</v>
      </c>
      <c r="M2057" s="16">
        <f t="shared" si="64"/>
        <v>5.5366042256228871</v>
      </c>
    </row>
    <row r="2058" spans="1:13" x14ac:dyDescent="0.25">
      <c r="A2058" s="2">
        <f t="shared" si="65"/>
        <v>2053</v>
      </c>
      <c r="B2058" s="2">
        <v>141823</v>
      </c>
      <c r="C2058" s="2" t="s">
        <v>4564</v>
      </c>
      <c r="D2058" s="14" t="s">
        <v>2047</v>
      </c>
      <c r="E2058" s="14">
        <v>0</v>
      </c>
      <c r="F2058" s="14">
        <v>0</v>
      </c>
      <c r="G2058" s="14">
        <v>0</v>
      </c>
      <c r="H2058" s="16">
        <v>0</v>
      </c>
      <c r="I2058" s="16">
        <v>0</v>
      </c>
      <c r="J2058" s="3" t="s">
        <v>5011</v>
      </c>
      <c r="K2058" s="16">
        <v>0</v>
      </c>
      <c r="L2058" s="16">
        <v>0</v>
      </c>
      <c r="M2058" s="16">
        <v>0</v>
      </c>
    </row>
    <row r="2059" spans="1:13" x14ac:dyDescent="0.25">
      <c r="A2059" s="2">
        <f t="shared" si="65"/>
        <v>2054</v>
      </c>
      <c r="B2059" s="2">
        <v>142407</v>
      </c>
      <c r="C2059" s="2" t="s">
        <v>4565</v>
      </c>
      <c r="D2059" s="14" t="s">
        <v>2048</v>
      </c>
      <c r="E2059" s="14">
        <v>4.9824999999999999E-3</v>
      </c>
      <c r="F2059" s="14">
        <v>0</v>
      </c>
      <c r="G2059" s="14">
        <v>4.9824999999999999E-3</v>
      </c>
      <c r="H2059" s="16">
        <v>0.74996300000000005</v>
      </c>
      <c r="I2059" s="16">
        <v>0.74996300000000005</v>
      </c>
      <c r="J2059" s="3" t="s">
        <v>5011</v>
      </c>
      <c r="K2059" s="16">
        <v>22.203240768999997</v>
      </c>
      <c r="L2059" s="16">
        <v>2.8638590999999995</v>
      </c>
      <c r="M2059" s="16">
        <f t="shared" si="64"/>
        <v>3.8186671875812532</v>
      </c>
    </row>
    <row r="2060" spans="1:13" x14ac:dyDescent="0.25">
      <c r="A2060" s="2">
        <f t="shared" si="65"/>
        <v>2055</v>
      </c>
      <c r="B2060" s="2">
        <v>142651</v>
      </c>
      <c r="C2060" s="2" t="s">
        <v>4566</v>
      </c>
      <c r="D2060" s="14" t="s">
        <v>2049</v>
      </c>
      <c r="E2060" s="14">
        <v>0</v>
      </c>
      <c r="F2060" s="14">
        <v>0</v>
      </c>
      <c r="G2060" s="14">
        <v>0</v>
      </c>
      <c r="H2060" s="16">
        <v>0</v>
      </c>
      <c r="I2060" s="16">
        <v>0</v>
      </c>
      <c r="J2060" s="3" t="s">
        <v>5011</v>
      </c>
      <c r="K2060" s="16">
        <v>0</v>
      </c>
      <c r="L2060" s="16">
        <v>0</v>
      </c>
      <c r="M2060" s="16">
        <v>0</v>
      </c>
    </row>
    <row r="2061" spans="1:13" x14ac:dyDescent="0.25">
      <c r="A2061" s="2">
        <f t="shared" si="65"/>
        <v>2056</v>
      </c>
      <c r="B2061" s="2">
        <v>142835</v>
      </c>
      <c r="C2061" s="2" t="s">
        <v>4567</v>
      </c>
      <c r="D2061" s="14" t="s">
        <v>2050</v>
      </c>
      <c r="E2061" s="14">
        <v>0</v>
      </c>
      <c r="F2061" s="14">
        <v>0</v>
      </c>
      <c r="G2061" s="14">
        <v>0</v>
      </c>
      <c r="H2061" s="16">
        <v>0</v>
      </c>
      <c r="I2061" s="16">
        <v>0</v>
      </c>
      <c r="J2061" s="3" t="s">
        <v>5011</v>
      </c>
      <c r="K2061" s="16">
        <v>0</v>
      </c>
      <c r="L2061" s="16">
        <v>0</v>
      </c>
      <c r="M2061" s="16">
        <v>0</v>
      </c>
    </row>
    <row r="2062" spans="1:13" x14ac:dyDescent="0.25">
      <c r="A2062" s="2">
        <f t="shared" si="65"/>
        <v>2057</v>
      </c>
      <c r="B2062" s="2">
        <v>143015</v>
      </c>
      <c r="C2062" s="2" t="s">
        <v>4568</v>
      </c>
      <c r="D2062" s="14" t="s">
        <v>2051</v>
      </c>
      <c r="E2062" s="14">
        <v>2.4416199999999999E-2</v>
      </c>
      <c r="F2062" s="14">
        <v>0</v>
      </c>
      <c r="G2062" s="14">
        <v>2.4416199999999999E-2</v>
      </c>
      <c r="H2062" s="16">
        <v>2.9773513</v>
      </c>
      <c r="I2062" s="16">
        <v>2.6648513</v>
      </c>
      <c r="J2062" s="3" t="s">
        <v>5011</v>
      </c>
      <c r="K2062" s="16">
        <v>31.773617118299995</v>
      </c>
      <c r="L2062" s="16">
        <v>5.3365400000000003</v>
      </c>
      <c r="M2062" s="16">
        <f t="shared" si="64"/>
        <v>1.7923783464853476</v>
      </c>
    </row>
    <row r="2063" spans="1:13" x14ac:dyDescent="0.25">
      <c r="A2063" s="2">
        <f t="shared" si="65"/>
        <v>2058</v>
      </c>
      <c r="B2063" s="2">
        <v>143180</v>
      </c>
      <c r="C2063" s="2" t="s">
        <v>4569</v>
      </c>
      <c r="D2063" s="14" t="s">
        <v>2052</v>
      </c>
      <c r="E2063" s="14">
        <v>4.0749479000000006</v>
      </c>
      <c r="F2063" s="14">
        <v>0</v>
      </c>
      <c r="G2063" s="14">
        <v>4.0749479000000006</v>
      </c>
      <c r="H2063" s="16">
        <v>244.47648059999997</v>
      </c>
      <c r="I2063" s="16">
        <v>112.49184489999999</v>
      </c>
      <c r="J2063" s="3" t="s">
        <v>5011</v>
      </c>
      <c r="K2063" s="16">
        <v>3858.6274450964002</v>
      </c>
      <c r="L2063" s="16">
        <v>481.84965349999999</v>
      </c>
      <c r="M2063" s="16">
        <f t="shared" si="64"/>
        <v>1.97094482183903</v>
      </c>
    </row>
    <row r="2064" spans="1:13" x14ac:dyDescent="0.25">
      <c r="A2064" s="2">
        <f t="shared" si="65"/>
        <v>2059</v>
      </c>
      <c r="B2064" s="2">
        <v>143182</v>
      </c>
      <c r="C2064" s="2" t="s">
        <v>4570</v>
      </c>
      <c r="D2064" s="14" t="s">
        <v>2053</v>
      </c>
      <c r="E2064" s="14">
        <v>1.3825308999999999</v>
      </c>
      <c r="F2064" s="14">
        <v>0</v>
      </c>
      <c r="G2064" s="14">
        <v>1.3825308999999999</v>
      </c>
      <c r="H2064" s="16">
        <v>58.836976399999998</v>
      </c>
      <c r="I2064" s="16">
        <v>53.708701099999992</v>
      </c>
      <c r="J2064" s="3" t="s">
        <v>5011</v>
      </c>
      <c r="K2064" s="16">
        <v>1190.4022959153999</v>
      </c>
      <c r="L2064" s="16">
        <v>151.01762439999999</v>
      </c>
      <c r="M2064" s="16">
        <f t="shared" si="64"/>
        <v>2.5667128673185862</v>
      </c>
    </row>
    <row r="2065" spans="1:13" x14ac:dyDescent="0.25">
      <c r="A2065" s="2">
        <f t="shared" si="65"/>
        <v>2060</v>
      </c>
      <c r="B2065" s="2">
        <v>143475</v>
      </c>
      <c r="C2065" s="2" t="s">
        <v>4571</v>
      </c>
      <c r="D2065" s="14" t="s">
        <v>2054</v>
      </c>
      <c r="E2065" s="14">
        <v>0.20100609999999999</v>
      </c>
      <c r="F2065" s="14">
        <v>0</v>
      </c>
      <c r="G2065" s="14">
        <v>0.20100609999999999</v>
      </c>
      <c r="H2065" s="16">
        <v>16.239188000000002</v>
      </c>
      <c r="I2065" s="16">
        <v>12.9329435</v>
      </c>
      <c r="J2065" s="3" t="s">
        <v>5011</v>
      </c>
      <c r="K2065" s="16">
        <v>272.57265096920003</v>
      </c>
      <c r="L2065" s="16">
        <v>33.191878299999999</v>
      </c>
      <c r="M2065" s="16">
        <f t="shared" si="64"/>
        <v>2.0439370675430322</v>
      </c>
    </row>
    <row r="2066" spans="1:13" x14ac:dyDescent="0.25">
      <c r="A2066" s="2">
        <f t="shared" si="65"/>
        <v>2061</v>
      </c>
      <c r="B2066" s="2">
        <v>143829</v>
      </c>
      <c r="C2066" s="2" t="s">
        <v>4572</v>
      </c>
      <c r="D2066" s="14" t="s">
        <v>2055</v>
      </c>
      <c r="E2066" s="14">
        <v>33.461552500000003</v>
      </c>
      <c r="F2066" s="14">
        <v>0</v>
      </c>
      <c r="G2066" s="14">
        <v>33.461552500000003</v>
      </c>
      <c r="H2066" s="16">
        <v>3056.0711781</v>
      </c>
      <c r="I2066" s="16">
        <v>1876.505465</v>
      </c>
      <c r="J2066" s="3" t="s">
        <v>5011</v>
      </c>
      <c r="K2066" s="16">
        <v>35068.004016368803</v>
      </c>
      <c r="L2066" s="16">
        <v>4701.4198404999997</v>
      </c>
      <c r="M2066" s="16">
        <f t="shared" si="64"/>
        <v>1.5383868917028742</v>
      </c>
    </row>
    <row r="2067" spans="1:13" x14ac:dyDescent="0.25">
      <c r="A2067" s="2">
        <f t="shared" si="65"/>
        <v>2062</v>
      </c>
      <c r="B2067" s="2">
        <v>144038</v>
      </c>
      <c r="C2067" s="2" t="s">
        <v>4573</v>
      </c>
      <c r="D2067" s="14" t="s">
        <v>2056</v>
      </c>
      <c r="E2067" s="14">
        <v>1.4556989000000002</v>
      </c>
      <c r="F2067" s="14">
        <v>0</v>
      </c>
      <c r="G2067" s="14">
        <v>1.4556989000000002</v>
      </c>
      <c r="H2067" s="16">
        <v>231.0709023</v>
      </c>
      <c r="I2067" s="16">
        <v>140.69109780000002</v>
      </c>
      <c r="J2067" s="3" t="s">
        <v>5011</v>
      </c>
      <c r="K2067" s="16">
        <v>1979.2949339354004</v>
      </c>
      <c r="L2067" s="16">
        <v>282.58211549999999</v>
      </c>
      <c r="M2067" s="16">
        <f t="shared" si="64"/>
        <v>1.2229238415017865</v>
      </c>
    </row>
    <row r="2068" spans="1:13" x14ac:dyDescent="0.25">
      <c r="A2068" s="2">
        <f t="shared" si="65"/>
        <v>2063</v>
      </c>
      <c r="B2068" s="2">
        <v>144332</v>
      </c>
      <c r="C2068" s="2" t="s">
        <v>4574</v>
      </c>
      <c r="D2068" s="14" t="s">
        <v>2057</v>
      </c>
      <c r="E2068" s="14">
        <v>1.9828786999999999</v>
      </c>
      <c r="F2068" s="14">
        <v>0</v>
      </c>
      <c r="G2068" s="14">
        <v>1.9828786999999999</v>
      </c>
      <c r="H2068" s="16">
        <v>103.01768789999998</v>
      </c>
      <c r="I2068" s="16">
        <v>61.339303599999994</v>
      </c>
      <c r="J2068" s="3" t="s">
        <v>5011</v>
      </c>
      <c r="K2068" s="16">
        <v>2068.1013028578</v>
      </c>
      <c r="L2068" s="16">
        <v>233.50467719999997</v>
      </c>
      <c r="M2068" s="16">
        <f t="shared" si="64"/>
        <v>2.2666464561567783</v>
      </c>
    </row>
    <row r="2069" spans="1:13" x14ac:dyDescent="0.25">
      <c r="A2069" s="2">
        <f t="shared" si="65"/>
        <v>2064</v>
      </c>
      <c r="B2069" s="2">
        <v>144404</v>
      </c>
      <c r="C2069" s="2" t="s">
        <v>4575</v>
      </c>
      <c r="D2069" s="14" t="s">
        <v>2058</v>
      </c>
      <c r="E2069" s="14">
        <v>1.6703907999999998</v>
      </c>
      <c r="F2069" s="14">
        <v>0</v>
      </c>
      <c r="G2069" s="14">
        <v>1.6703907999999998</v>
      </c>
      <c r="H2069" s="16">
        <v>14.9408431</v>
      </c>
      <c r="I2069" s="16">
        <v>-24.610035299999996</v>
      </c>
      <c r="J2069" s="3" t="s">
        <v>5011</v>
      </c>
      <c r="K2069" s="16">
        <v>1673.1139341211001</v>
      </c>
      <c r="L2069" s="16">
        <v>151.67502710000002</v>
      </c>
      <c r="M2069" s="16">
        <f t="shared" si="64"/>
        <v>10.151704698645823</v>
      </c>
    </row>
    <row r="2070" spans="1:13" x14ac:dyDescent="0.25">
      <c r="A2070" s="2">
        <f t="shared" si="65"/>
        <v>2065</v>
      </c>
      <c r="B2070" s="2">
        <v>144504</v>
      </c>
      <c r="C2070" s="2" t="s">
        <v>4576</v>
      </c>
      <c r="D2070" s="14" t="s">
        <v>2059</v>
      </c>
      <c r="E2070" s="14">
        <v>0</v>
      </c>
      <c r="F2070" s="14">
        <v>0</v>
      </c>
      <c r="G2070" s="14">
        <v>0</v>
      </c>
      <c r="H2070" s="16">
        <v>0</v>
      </c>
      <c r="I2070" s="16">
        <v>0</v>
      </c>
      <c r="J2070" s="3" t="s">
        <v>5011</v>
      </c>
      <c r="K2070" s="16">
        <v>0</v>
      </c>
      <c r="L2070" s="16">
        <v>0</v>
      </c>
      <c r="M2070" s="16">
        <v>0</v>
      </c>
    </row>
    <row r="2071" spans="1:13" x14ac:dyDescent="0.25">
      <c r="A2071" s="2">
        <f t="shared" si="65"/>
        <v>2066</v>
      </c>
      <c r="B2071" s="2">
        <v>144513</v>
      </c>
      <c r="C2071" s="2" t="s">
        <v>4577</v>
      </c>
      <c r="D2071" s="14" t="s">
        <v>2060</v>
      </c>
      <c r="E2071" s="14">
        <v>0</v>
      </c>
      <c r="F2071" s="14">
        <v>0</v>
      </c>
      <c r="G2071" s="14">
        <v>0</v>
      </c>
      <c r="H2071" s="16">
        <v>0</v>
      </c>
      <c r="I2071" s="16">
        <v>0</v>
      </c>
      <c r="J2071" s="3" t="s">
        <v>5011</v>
      </c>
      <c r="K2071" s="16">
        <v>0</v>
      </c>
      <c r="L2071" s="16">
        <v>0</v>
      </c>
      <c r="M2071" s="16">
        <v>0</v>
      </c>
    </row>
    <row r="2072" spans="1:13" x14ac:dyDescent="0.25">
      <c r="A2072" s="2">
        <f t="shared" si="65"/>
        <v>2067</v>
      </c>
      <c r="B2072" s="2">
        <v>144658</v>
      </c>
      <c r="C2072" s="2" t="s">
        <v>4578</v>
      </c>
      <c r="D2072" s="14" t="s">
        <v>2061</v>
      </c>
      <c r="E2072" s="14">
        <v>0.77943019999999985</v>
      </c>
      <c r="F2072" s="14">
        <v>0</v>
      </c>
      <c r="G2072" s="14">
        <v>0.77943019999999985</v>
      </c>
      <c r="H2072" s="16">
        <v>63.184468099999997</v>
      </c>
      <c r="I2072" s="16">
        <v>46.408418899999994</v>
      </c>
      <c r="J2072" s="3" t="s">
        <v>5011</v>
      </c>
      <c r="K2072" s="16">
        <v>1076.6297527308998</v>
      </c>
      <c r="L2072" s="16">
        <v>138.48506760000001</v>
      </c>
      <c r="M2072" s="16">
        <f t="shared" si="64"/>
        <v>2.1917580659351947</v>
      </c>
    </row>
    <row r="2073" spans="1:13" x14ac:dyDescent="0.25">
      <c r="A2073" s="2">
        <f t="shared" si="65"/>
        <v>2068</v>
      </c>
      <c r="B2073" s="2">
        <v>144686</v>
      </c>
      <c r="C2073" s="2" t="s">
        <v>4579</v>
      </c>
      <c r="D2073" s="14" t="s">
        <v>2062</v>
      </c>
      <c r="E2073" s="14">
        <v>0</v>
      </c>
      <c r="F2073" s="14">
        <v>0</v>
      </c>
      <c r="G2073" s="14">
        <v>0</v>
      </c>
      <c r="H2073" s="16">
        <v>0</v>
      </c>
      <c r="I2073" s="16">
        <v>0</v>
      </c>
      <c r="J2073" s="3" t="s">
        <v>5011</v>
      </c>
      <c r="K2073" s="16">
        <v>0</v>
      </c>
      <c r="L2073" s="16">
        <v>0</v>
      </c>
      <c r="M2073" s="16">
        <v>0</v>
      </c>
    </row>
    <row r="2074" spans="1:13" x14ac:dyDescent="0.25">
      <c r="A2074" s="2">
        <f t="shared" si="65"/>
        <v>2069</v>
      </c>
      <c r="B2074" s="2">
        <v>144870</v>
      </c>
      <c r="C2074" s="2" t="s">
        <v>4580</v>
      </c>
      <c r="D2074" s="14" t="s">
        <v>2063</v>
      </c>
      <c r="E2074" s="14">
        <v>0</v>
      </c>
      <c r="F2074" s="14">
        <v>0</v>
      </c>
      <c r="G2074" s="14">
        <v>0</v>
      </c>
      <c r="H2074" s="16">
        <v>0</v>
      </c>
      <c r="I2074" s="16">
        <v>0</v>
      </c>
      <c r="J2074" s="3" t="s">
        <v>5011</v>
      </c>
      <c r="K2074" s="16">
        <v>0</v>
      </c>
      <c r="L2074" s="16">
        <v>0</v>
      </c>
      <c r="M2074" s="16">
        <v>0</v>
      </c>
    </row>
    <row r="2075" spans="1:13" x14ac:dyDescent="0.25">
      <c r="A2075" s="2">
        <f t="shared" si="65"/>
        <v>2070</v>
      </c>
      <c r="B2075" s="2">
        <v>145002</v>
      </c>
      <c r="C2075" s="2" t="s">
        <v>4581</v>
      </c>
      <c r="D2075" s="14" t="s">
        <v>2064</v>
      </c>
      <c r="E2075" s="14">
        <v>35.939785999999998</v>
      </c>
      <c r="F2075" s="14">
        <v>0</v>
      </c>
      <c r="G2075" s="14">
        <v>35.939785999999998</v>
      </c>
      <c r="H2075" s="16">
        <v>1039.8151398</v>
      </c>
      <c r="I2075" s="16">
        <v>581.81706589999999</v>
      </c>
      <c r="J2075" s="3" t="s">
        <v>5011</v>
      </c>
      <c r="K2075" s="16">
        <v>29904.786942727707</v>
      </c>
      <c r="L2075" s="16">
        <v>3425.3447299999998</v>
      </c>
      <c r="M2075" s="16">
        <f t="shared" si="64"/>
        <v>3.294186244161474</v>
      </c>
    </row>
    <row r="2076" spans="1:13" x14ac:dyDescent="0.25">
      <c r="A2076" s="2">
        <f t="shared" si="65"/>
        <v>2071</v>
      </c>
      <c r="B2076" s="2">
        <v>145064</v>
      </c>
      <c r="C2076" s="2" t="s">
        <v>4582</v>
      </c>
      <c r="D2076" s="14" t="s">
        <v>2065</v>
      </c>
      <c r="E2076" s="14">
        <v>0.96747520000000009</v>
      </c>
      <c r="F2076" s="14">
        <v>0</v>
      </c>
      <c r="G2076" s="14">
        <v>0.96747520000000009</v>
      </c>
      <c r="H2076" s="16">
        <v>20.656343</v>
      </c>
      <c r="I2076" s="16">
        <v>19.598967099999999</v>
      </c>
      <c r="J2076" s="3" t="s">
        <v>5011</v>
      </c>
      <c r="K2076" s="16">
        <v>1002.8401252544</v>
      </c>
      <c r="L2076" s="16">
        <v>115.4970752</v>
      </c>
      <c r="M2076" s="16">
        <f t="shared" si="64"/>
        <v>5.5913612201346581</v>
      </c>
    </row>
    <row r="2077" spans="1:13" x14ac:dyDescent="0.25">
      <c r="A2077" s="2">
        <f t="shared" si="65"/>
        <v>2072</v>
      </c>
      <c r="B2077" s="2">
        <v>145509</v>
      </c>
      <c r="C2077" s="2" t="s">
        <v>4583</v>
      </c>
      <c r="D2077" s="14" t="s">
        <v>2066</v>
      </c>
      <c r="E2077" s="14">
        <v>1.0507239999999998</v>
      </c>
      <c r="F2077" s="14">
        <v>0</v>
      </c>
      <c r="G2077" s="14">
        <v>1.0507239999999998</v>
      </c>
      <c r="H2077" s="16">
        <v>42.303339199999996</v>
      </c>
      <c r="I2077" s="16">
        <v>31.796215199999999</v>
      </c>
      <c r="J2077" s="3" t="s">
        <v>5011</v>
      </c>
      <c r="K2077" s="16">
        <v>1031.4991391400001</v>
      </c>
      <c r="L2077" s="16">
        <v>118.4974017</v>
      </c>
      <c r="M2077" s="16">
        <f t="shared" si="64"/>
        <v>2.8011358900008538</v>
      </c>
    </row>
    <row r="2078" spans="1:13" x14ac:dyDescent="0.25">
      <c r="A2078" s="2">
        <f t="shared" si="65"/>
        <v>2073</v>
      </c>
      <c r="B2078" s="2">
        <v>145633</v>
      </c>
      <c r="C2078" s="2" t="s">
        <v>4584</v>
      </c>
      <c r="D2078" s="14" t="s">
        <v>2067</v>
      </c>
      <c r="E2078" s="14">
        <v>4.3334300000000006E-2</v>
      </c>
      <c r="F2078" s="14">
        <v>0</v>
      </c>
      <c r="G2078" s="14">
        <v>4.3334300000000006E-2</v>
      </c>
      <c r="H2078" s="16">
        <v>18.429078499999999</v>
      </c>
      <c r="I2078" s="16">
        <v>18.429078499999999</v>
      </c>
      <c r="J2078" s="3" t="s">
        <v>5011</v>
      </c>
      <c r="K2078" s="16">
        <v>68.662389818299999</v>
      </c>
      <c r="L2078" s="16">
        <v>22.1258281</v>
      </c>
      <c r="M2078" s="16">
        <f t="shared" si="64"/>
        <v>1.2005932960782604</v>
      </c>
    </row>
    <row r="2079" spans="1:13" x14ac:dyDescent="0.25">
      <c r="A2079" s="2">
        <f t="shared" si="65"/>
        <v>2074</v>
      </c>
      <c r="B2079" s="2">
        <v>146026</v>
      </c>
      <c r="C2079" s="2" t="s">
        <v>4585</v>
      </c>
      <c r="D2079" s="14" t="s">
        <v>2068</v>
      </c>
      <c r="E2079" s="14">
        <v>0</v>
      </c>
      <c r="F2079" s="14">
        <v>0</v>
      </c>
      <c r="G2079" s="14">
        <v>0</v>
      </c>
      <c r="H2079" s="16">
        <v>0</v>
      </c>
      <c r="I2079" s="16">
        <v>0</v>
      </c>
      <c r="J2079" s="3" t="s">
        <v>5011</v>
      </c>
      <c r="K2079" s="16">
        <v>0</v>
      </c>
      <c r="L2079" s="16">
        <v>0</v>
      </c>
      <c r="M2079" s="16">
        <v>0</v>
      </c>
    </row>
    <row r="2080" spans="1:13" x14ac:dyDescent="0.25">
      <c r="A2080" s="2">
        <f t="shared" si="65"/>
        <v>2075</v>
      </c>
      <c r="B2080" s="2">
        <v>146222</v>
      </c>
      <c r="C2080" s="2" t="s">
        <v>4586</v>
      </c>
      <c r="D2080" s="14" t="s">
        <v>2069</v>
      </c>
      <c r="E2080" s="14">
        <v>6.235920000000001E-2</v>
      </c>
      <c r="F2080" s="14">
        <v>0</v>
      </c>
      <c r="G2080" s="14">
        <v>6.235920000000001E-2</v>
      </c>
      <c r="H2080" s="16">
        <v>31.476336400000001</v>
      </c>
      <c r="I2080" s="16">
        <v>20.610673600000002</v>
      </c>
      <c r="J2080" s="3" t="s">
        <v>5011</v>
      </c>
      <c r="K2080" s="16">
        <v>127.69532366209998</v>
      </c>
      <c r="L2080" s="16">
        <v>28.7299814</v>
      </c>
      <c r="M2080" s="16">
        <f t="shared" si="64"/>
        <v>0.91274858150264271</v>
      </c>
    </row>
    <row r="2081" spans="1:13" x14ac:dyDescent="0.25">
      <c r="A2081" s="2">
        <f t="shared" si="65"/>
        <v>2076</v>
      </c>
      <c r="B2081" s="2">
        <v>146380</v>
      </c>
      <c r="C2081" s="2" t="s">
        <v>4587</v>
      </c>
      <c r="D2081" s="14" t="s">
        <v>2070</v>
      </c>
      <c r="E2081" s="14">
        <v>8.0563316000000018</v>
      </c>
      <c r="F2081" s="14">
        <v>0</v>
      </c>
      <c r="G2081" s="14">
        <v>8.0563316000000018</v>
      </c>
      <c r="H2081" s="16">
        <v>734.39901610000004</v>
      </c>
      <c r="I2081" s="16">
        <v>486.94471629999993</v>
      </c>
      <c r="J2081" s="3" t="s">
        <v>5011</v>
      </c>
      <c r="K2081" s="16">
        <v>9178.4112689749982</v>
      </c>
      <c r="L2081" s="16">
        <v>1200.3418843000002</v>
      </c>
      <c r="M2081" s="16">
        <f t="shared" si="64"/>
        <v>1.6344546465685279</v>
      </c>
    </row>
    <row r="2082" spans="1:13" x14ac:dyDescent="0.25">
      <c r="A2082" s="2">
        <f t="shared" si="65"/>
        <v>2077</v>
      </c>
      <c r="B2082" s="2">
        <v>146497</v>
      </c>
      <c r="C2082" s="2" t="s">
        <v>4588</v>
      </c>
      <c r="D2082" s="14" t="s">
        <v>2071</v>
      </c>
      <c r="E2082" s="14">
        <v>0.1838573</v>
      </c>
      <c r="F2082" s="14">
        <v>0</v>
      </c>
      <c r="G2082" s="14">
        <v>0.1838573</v>
      </c>
      <c r="H2082" s="16">
        <v>1.5699223000000002</v>
      </c>
      <c r="I2082" s="16">
        <v>1.5699223000000002</v>
      </c>
      <c r="J2082" s="3" t="s">
        <v>5011</v>
      </c>
      <c r="K2082" s="16">
        <v>91.602066212300002</v>
      </c>
      <c r="L2082" s="16">
        <v>10.4745478</v>
      </c>
      <c r="M2082" s="16">
        <f t="shared" si="64"/>
        <v>6.6720166978964492</v>
      </c>
    </row>
    <row r="2083" spans="1:13" x14ac:dyDescent="0.25">
      <c r="A2083" s="2">
        <f t="shared" si="65"/>
        <v>2078</v>
      </c>
      <c r="B2083" s="2">
        <v>146591</v>
      </c>
      <c r="C2083" s="2" t="s">
        <v>4589</v>
      </c>
      <c r="D2083" s="14" t="s">
        <v>2072</v>
      </c>
      <c r="E2083" s="14">
        <v>0.14964159999999999</v>
      </c>
      <c r="F2083" s="14">
        <v>0</v>
      </c>
      <c r="G2083" s="14">
        <v>0.14964159999999999</v>
      </c>
      <c r="H2083" s="16">
        <v>55.932203899999998</v>
      </c>
      <c r="I2083" s="16">
        <v>53.6598337</v>
      </c>
      <c r="J2083" s="3" t="s">
        <v>5011</v>
      </c>
      <c r="K2083" s="16">
        <v>198.53376855910003</v>
      </c>
      <c r="L2083" s="16">
        <v>65.696763599999997</v>
      </c>
      <c r="M2083" s="16">
        <f t="shared" si="64"/>
        <v>1.1745784900136931</v>
      </c>
    </row>
    <row r="2084" spans="1:13" x14ac:dyDescent="0.25">
      <c r="A2084" s="2">
        <f t="shared" si="65"/>
        <v>2079</v>
      </c>
      <c r="B2084" s="2">
        <v>146650</v>
      </c>
      <c r="C2084" s="2" t="s">
        <v>4590</v>
      </c>
      <c r="D2084" s="14" t="s">
        <v>2073</v>
      </c>
      <c r="E2084" s="14">
        <v>0.13505700000000004</v>
      </c>
      <c r="F2084" s="14">
        <v>0</v>
      </c>
      <c r="G2084" s="14">
        <v>0.13505700000000004</v>
      </c>
      <c r="H2084" s="16">
        <v>18.8397279</v>
      </c>
      <c r="I2084" s="16">
        <v>18.8397279</v>
      </c>
      <c r="J2084" s="3" t="s">
        <v>5011</v>
      </c>
      <c r="K2084" s="16">
        <v>158.38330284490002</v>
      </c>
      <c r="L2084" s="16">
        <v>27.384084300000001</v>
      </c>
      <c r="M2084" s="16">
        <f t="shared" si="64"/>
        <v>1.4535286520778254</v>
      </c>
    </row>
    <row r="2085" spans="1:13" x14ac:dyDescent="0.25">
      <c r="A2085" s="2">
        <f t="shared" si="65"/>
        <v>2080</v>
      </c>
      <c r="B2085" s="2">
        <v>146822</v>
      </c>
      <c r="C2085" s="2" t="s">
        <v>4591</v>
      </c>
      <c r="D2085" s="14" t="s">
        <v>2074</v>
      </c>
      <c r="E2085" s="14">
        <v>115.1080759</v>
      </c>
      <c r="F2085" s="14">
        <v>0</v>
      </c>
      <c r="G2085" s="14">
        <v>115.1080759</v>
      </c>
      <c r="H2085" s="16">
        <v>11031.592977100001</v>
      </c>
      <c r="I2085" s="16">
        <v>6474.3610494000004</v>
      </c>
      <c r="J2085" s="3" t="s">
        <v>5011</v>
      </c>
      <c r="K2085" s="16">
        <v>103285.29416525181</v>
      </c>
      <c r="L2085" s="16">
        <v>14910.341109300001</v>
      </c>
      <c r="M2085" s="16">
        <f t="shared" si="64"/>
        <v>1.3516036297071259</v>
      </c>
    </row>
    <row r="2086" spans="1:13" x14ac:dyDescent="0.25">
      <c r="A2086" s="2">
        <f t="shared" si="65"/>
        <v>2081</v>
      </c>
      <c r="B2086" s="2">
        <v>146826</v>
      </c>
      <c r="C2086" s="2" t="s">
        <v>4592</v>
      </c>
      <c r="D2086" s="14" t="s">
        <v>2075</v>
      </c>
      <c r="E2086" s="14">
        <v>25.200733200000002</v>
      </c>
      <c r="F2086" s="14">
        <v>0</v>
      </c>
      <c r="G2086" s="14">
        <v>25.200733200000002</v>
      </c>
      <c r="H2086" s="16">
        <v>1001.5334403000001</v>
      </c>
      <c r="I2086" s="16">
        <v>311.34754279999999</v>
      </c>
      <c r="J2086" s="3" t="s">
        <v>5011</v>
      </c>
      <c r="K2086" s="16">
        <v>18765.0886934878</v>
      </c>
      <c r="L2086" s="16">
        <v>2051.5291286000001</v>
      </c>
      <c r="M2086" s="16">
        <f t="shared" si="64"/>
        <v>2.0483880478174386</v>
      </c>
    </row>
    <row r="2087" spans="1:13" x14ac:dyDescent="0.25">
      <c r="A2087" s="2">
        <f t="shared" si="65"/>
        <v>2082</v>
      </c>
      <c r="B2087" s="2">
        <v>146833</v>
      </c>
      <c r="C2087" s="2" t="s">
        <v>4593</v>
      </c>
      <c r="D2087" s="14" t="s">
        <v>2076</v>
      </c>
      <c r="E2087" s="14">
        <v>28.891880799999999</v>
      </c>
      <c r="F2087" s="14">
        <v>0</v>
      </c>
      <c r="G2087" s="14">
        <v>28.891880799999999</v>
      </c>
      <c r="H2087" s="16">
        <v>499.56927780000001</v>
      </c>
      <c r="I2087" s="16">
        <v>134.74331490000003</v>
      </c>
      <c r="J2087" s="3" t="s">
        <v>5011</v>
      </c>
      <c r="K2087" s="16">
        <v>18574.192141031901</v>
      </c>
      <c r="L2087" s="16">
        <v>1934.9999531999999</v>
      </c>
      <c r="M2087" s="16">
        <f t="shared" si="64"/>
        <v>3.8733365704979703</v>
      </c>
    </row>
    <row r="2088" spans="1:13" x14ac:dyDescent="0.25">
      <c r="A2088" s="2">
        <f t="shared" si="65"/>
        <v>2083</v>
      </c>
      <c r="B2088" s="2">
        <v>147149</v>
      </c>
      <c r="C2088" s="2" t="s">
        <v>4594</v>
      </c>
      <c r="D2088" s="14" t="s">
        <v>2077</v>
      </c>
      <c r="E2088" s="14">
        <v>3.9638403999999992</v>
      </c>
      <c r="F2088" s="14">
        <v>0</v>
      </c>
      <c r="G2088" s="14">
        <v>3.9638403999999992</v>
      </c>
      <c r="H2088" s="16">
        <v>977.13359120000007</v>
      </c>
      <c r="I2088" s="16">
        <v>542.03170900000009</v>
      </c>
      <c r="J2088" s="3" t="s">
        <v>5011</v>
      </c>
      <c r="K2088" s="16">
        <v>3829.4849452637</v>
      </c>
      <c r="L2088" s="16">
        <v>696.95603849999998</v>
      </c>
      <c r="M2088" s="16">
        <f t="shared" si="64"/>
        <v>0.71326586740721998</v>
      </c>
    </row>
    <row r="2089" spans="1:13" x14ac:dyDescent="0.25">
      <c r="A2089" s="2">
        <f t="shared" si="65"/>
        <v>2084</v>
      </c>
      <c r="B2089" s="2">
        <v>147547</v>
      </c>
      <c r="C2089" s="2" t="s">
        <v>4595</v>
      </c>
      <c r="D2089" s="14" t="s">
        <v>2078</v>
      </c>
      <c r="E2089" s="14">
        <v>1.8794999999999999E-3</v>
      </c>
      <c r="F2089" s="14">
        <v>0</v>
      </c>
      <c r="G2089" s="14">
        <v>1.8794999999999999E-3</v>
      </c>
      <c r="H2089" s="16">
        <v>42.831858499999996</v>
      </c>
      <c r="I2089" s="16">
        <v>30.123566799999995</v>
      </c>
      <c r="J2089" s="3" t="s">
        <v>5011</v>
      </c>
      <c r="K2089" s="16">
        <v>32.525748157199999</v>
      </c>
      <c r="L2089" s="16">
        <v>30.198933500000003</v>
      </c>
      <c r="M2089" s="16">
        <f t="shared" si="64"/>
        <v>0.70505774340844929</v>
      </c>
    </row>
    <row r="2090" spans="1:13" x14ac:dyDescent="0.25">
      <c r="A2090" s="2">
        <f t="shared" si="65"/>
        <v>2085</v>
      </c>
      <c r="B2090" s="2">
        <v>147697</v>
      </c>
      <c r="C2090" s="2" t="s">
        <v>4596</v>
      </c>
      <c r="D2090" s="14" t="s">
        <v>2079</v>
      </c>
      <c r="E2090" s="14">
        <v>2.2549191999999998</v>
      </c>
      <c r="F2090" s="14">
        <v>0</v>
      </c>
      <c r="G2090" s="14">
        <v>2.2549191999999998</v>
      </c>
      <c r="H2090" s="16">
        <v>446.24069320000001</v>
      </c>
      <c r="I2090" s="16">
        <v>361.26140219999996</v>
      </c>
      <c r="J2090" s="3" t="s">
        <v>5011</v>
      </c>
      <c r="K2090" s="16">
        <v>2740.0749696385992</v>
      </c>
      <c r="L2090" s="16">
        <v>473.78937960000002</v>
      </c>
      <c r="M2090" s="16">
        <f t="shared" si="64"/>
        <v>1.0617350385560937</v>
      </c>
    </row>
    <row r="2091" spans="1:13" x14ac:dyDescent="0.25">
      <c r="A2091" s="2">
        <f t="shared" si="65"/>
        <v>2086</v>
      </c>
      <c r="B2091" s="2">
        <v>147908</v>
      </c>
      <c r="C2091" s="2" t="s">
        <v>4597</v>
      </c>
      <c r="D2091" s="14" t="s">
        <v>2080</v>
      </c>
      <c r="E2091" s="14">
        <v>6.9905599999999998E-2</v>
      </c>
      <c r="F2091" s="14">
        <v>0</v>
      </c>
      <c r="G2091" s="14">
        <v>6.9905599999999998E-2</v>
      </c>
      <c r="H2091" s="16">
        <v>6.4496775</v>
      </c>
      <c r="I2091" s="16">
        <v>6.4496775</v>
      </c>
      <c r="J2091" s="3" t="s">
        <v>5011</v>
      </c>
      <c r="K2091" s="16">
        <v>78.871943520299993</v>
      </c>
      <c r="L2091" s="16">
        <v>10.7160502</v>
      </c>
      <c r="M2091" s="16">
        <f t="shared" si="64"/>
        <v>1.6614862060932503</v>
      </c>
    </row>
    <row r="2092" spans="1:13" x14ac:dyDescent="0.25">
      <c r="A2092" s="2">
        <f t="shared" si="65"/>
        <v>2087</v>
      </c>
      <c r="B2092" s="2">
        <v>148005</v>
      </c>
      <c r="C2092" s="2" t="s">
        <v>4598</v>
      </c>
      <c r="D2092" s="14" t="s">
        <v>2081</v>
      </c>
      <c r="E2092" s="14">
        <v>10.1254797</v>
      </c>
      <c r="F2092" s="14">
        <v>0</v>
      </c>
      <c r="G2092" s="14">
        <v>10.1254797</v>
      </c>
      <c r="H2092" s="16">
        <v>1823.9179137000001</v>
      </c>
      <c r="I2092" s="16">
        <v>925.27068740000004</v>
      </c>
      <c r="J2092" s="3" t="s">
        <v>5011</v>
      </c>
      <c r="K2092" s="16">
        <v>13066.102394749298</v>
      </c>
      <c r="L2092" s="16">
        <v>1876.1506394</v>
      </c>
      <c r="M2092" s="16">
        <f t="shared" si="64"/>
        <v>1.0286376515673563</v>
      </c>
    </row>
    <row r="2093" spans="1:13" x14ac:dyDescent="0.25">
      <c r="A2093" s="2">
        <f t="shared" si="65"/>
        <v>2088</v>
      </c>
      <c r="B2093" s="2">
        <v>148090</v>
      </c>
      <c r="C2093" s="2" t="s">
        <v>4599</v>
      </c>
      <c r="D2093" s="14" t="s">
        <v>2082</v>
      </c>
      <c r="E2093" s="14">
        <v>6.1756000000000007E-3</v>
      </c>
      <c r="F2093" s="14">
        <v>0</v>
      </c>
      <c r="G2093" s="14">
        <v>6.1756000000000007E-3</v>
      </c>
      <c r="H2093" s="16">
        <v>25.598720299999997</v>
      </c>
      <c r="I2093" s="16">
        <v>25.598720299999997</v>
      </c>
      <c r="J2093" s="3" t="s">
        <v>5011</v>
      </c>
      <c r="K2093" s="16">
        <v>74.053161532800004</v>
      </c>
      <c r="L2093" s="16">
        <v>31.388419300000002</v>
      </c>
      <c r="M2093" s="16">
        <f t="shared" si="64"/>
        <v>1.2261714231082093</v>
      </c>
    </row>
    <row r="2094" spans="1:13" x14ac:dyDescent="0.25">
      <c r="A2094" s="2">
        <f t="shared" si="65"/>
        <v>2089</v>
      </c>
      <c r="B2094" s="2">
        <v>148190</v>
      </c>
      <c r="C2094" s="2" t="s">
        <v>4600</v>
      </c>
      <c r="D2094" s="14" t="s">
        <v>2083</v>
      </c>
      <c r="E2094" s="14">
        <v>0</v>
      </c>
      <c r="F2094" s="14">
        <v>0</v>
      </c>
      <c r="G2094" s="14">
        <v>0</v>
      </c>
      <c r="H2094" s="16">
        <v>0</v>
      </c>
      <c r="I2094" s="16">
        <v>0</v>
      </c>
      <c r="J2094" s="3" t="s">
        <v>5011</v>
      </c>
      <c r="K2094" s="16">
        <v>0</v>
      </c>
      <c r="L2094" s="16">
        <v>0</v>
      </c>
      <c r="M2094" s="16">
        <v>0</v>
      </c>
    </row>
    <row r="2095" spans="1:13" x14ac:dyDescent="0.25">
      <c r="A2095" s="2">
        <f t="shared" si="65"/>
        <v>2090</v>
      </c>
      <c r="B2095" s="2">
        <v>148616</v>
      </c>
      <c r="C2095" s="2" t="s">
        <v>4601</v>
      </c>
      <c r="D2095" s="14" t="s">
        <v>2084</v>
      </c>
      <c r="E2095" s="14">
        <v>39.768652099999997</v>
      </c>
      <c r="F2095" s="14">
        <v>0</v>
      </c>
      <c r="G2095" s="14">
        <v>39.768652099999997</v>
      </c>
      <c r="H2095" s="16">
        <v>5811.3417784000003</v>
      </c>
      <c r="I2095" s="16">
        <v>3567.1853306000007</v>
      </c>
      <c r="J2095" s="3" t="s">
        <v>5011</v>
      </c>
      <c r="K2095" s="16">
        <v>48172.275590206307</v>
      </c>
      <c r="L2095" s="16">
        <v>7316.7312994000004</v>
      </c>
      <c r="M2095" s="16">
        <f t="shared" si="64"/>
        <v>1.2590433635473544</v>
      </c>
    </row>
    <row r="2096" spans="1:13" x14ac:dyDescent="0.25">
      <c r="A2096" s="2">
        <f t="shared" si="65"/>
        <v>2091</v>
      </c>
      <c r="B2096" s="2">
        <v>150027</v>
      </c>
      <c r="C2096" s="2" t="s">
        <v>4602</v>
      </c>
      <c r="D2096" s="14" t="s">
        <v>2085</v>
      </c>
      <c r="E2096" s="14">
        <v>26.88982</v>
      </c>
      <c r="F2096" s="14">
        <v>0</v>
      </c>
      <c r="G2096" s="14">
        <v>26.88982</v>
      </c>
      <c r="H2096" s="16">
        <v>2198.6600449000002</v>
      </c>
      <c r="I2096" s="16">
        <v>1205.9932223000001</v>
      </c>
      <c r="J2096" s="3" t="s">
        <v>5011</v>
      </c>
      <c r="K2096" s="16">
        <v>26888.781122439897</v>
      </c>
      <c r="L2096" s="16">
        <v>3376.1785962999998</v>
      </c>
      <c r="M2096" s="16">
        <f t="shared" si="64"/>
        <v>1.5355619001361147</v>
      </c>
    </row>
    <row r="2097" spans="1:13" x14ac:dyDescent="0.25">
      <c r="A2097" s="2">
        <f t="shared" si="65"/>
        <v>2092</v>
      </c>
      <c r="B2097" s="2">
        <v>150210</v>
      </c>
      <c r="C2097" s="2" t="s">
        <v>4603</v>
      </c>
      <c r="D2097" s="14" t="s">
        <v>2086</v>
      </c>
      <c r="E2097" s="14">
        <v>12.676332999999998</v>
      </c>
      <c r="F2097" s="14">
        <v>0</v>
      </c>
      <c r="G2097" s="14">
        <v>12.676332999999998</v>
      </c>
      <c r="H2097" s="16">
        <v>347.9075623</v>
      </c>
      <c r="I2097" s="16">
        <v>274.93920579999997</v>
      </c>
      <c r="J2097" s="3" t="s">
        <v>5011</v>
      </c>
      <c r="K2097" s="16">
        <v>9040.6533725179979</v>
      </c>
      <c r="L2097" s="16">
        <v>1077.2594501999999</v>
      </c>
      <c r="M2097" s="16">
        <f t="shared" si="64"/>
        <v>3.0963956146232925</v>
      </c>
    </row>
    <row r="2098" spans="1:13" x14ac:dyDescent="0.25">
      <c r="A2098" s="2">
        <f t="shared" si="65"/>
        <v>2093</v>
      </c>
      <c r="B2098" s="2">
        <v>150570</v>
      </c>
      <c r="C2098" s="2" t="s">
        <v>4604</v>
      </c>
      <c r="D2098" s="14" t="s">
        <v>2087</v>
      </c>
      <c r="E2098" s="14">
        <v>0.48374270000000003</v>
      </c>
      <c r="F2098" s="14">
        <v>0</v>
      </c>
      <c r="G2098" s="14">
        <v>0.48374270000000003</v>
      </c>
      <c r="H2098" s="16">
        <v>27.855613300000002</v>
      </c>
      <c r="I2098" s="16">
        <v>22.900749399999999</v>
      </c>
      <c r="J2098" s="3" t="s">
        <v>5011</v>
      </c>
      <c r="K2098" s="16">
        <v>431.24742146799997</v>
      </c>
      <c r="L2098" s="16">
        <v>57.779303399999996</v>
      </c>
      <c r="M2098" s="16">
        <f t="shared" si="64"/>
        <v>2.0742427308179208</v>
      </c>
    </row>
    <row r="2099" spans="1:13" x14ac:dyDescent="0.25">
      <c r="A2099" s="2">
        <f t="shared" si="65"/>
        <v>2094</v>
      </c>
      <c r="B2099" s="2">
        <v>150726</v>
      </c>
      <c r="C2099" s="2" t="s">
        <v>4605</v>
      </c>
      <c r="D2099" s="14" t="s">
        <v>2088</v>
      </c>
      <c r="E2099" s="14">
        <v>3.2576003999999998</v>
      </c>
      <c r="F2099" s="14">
        <v>0</v>
      </c>
      <c r="G2099" s="14">
        <v>3.2576003999999998</v>
      </c>
      <c r="H2099" s="16">
        <v>417.30342880000001</v>
      </c>
      <c r="I2099" s="16">
        <v>333.90326230000005</v>
      </c>
      <c r="J2099" s="3" t="s">
        <v>5011</v>
      </c>
      <c r="K2099" s="16">
        <v>3794.6527564942994</v>
      </c>
      <c r="L2099" s="16">
        <v>658.49035360000005</v>
      </c>
      <c r="M2099" s="16">
        <f t="shared" si="64"/>
        <v>1.5779653560325599</v>
      </c>
    </row>
    <row r="2100" spans="1:13" x14ac:dyDescent="0.25">
      <c r="A2100" s="2">
        <f t="shared" si="65"/>
        <v>2095</v>
      </c>
      <c r="B2100" s="2">
        <v>151438</v>
      </c>
      <c r="C2100" s="2" t="s">
        <v>4606</v>
      </c>
      <c r="D2100" s="14" t="s">
        <v>2089</v>
      </c>
      <c r="E2100" s="14">
        <v>0.28439379999999997</v>
      </c>
      <c r="F2100" s="14">
        <v>0</v>
      </c>
      <c r="G2100" s="14">
        <v>0.28439379999999997</v>
      </c>
      <c r="H2100" s="16">
        <v>66.887169400000005</v>
      </c>
      <c r="I2100" s="16">
        <v>41.887629700000005</v>
      </c>
      <c r="J2100" s="3" t="s">
        <v>5011</v>
      </c>
      <c r="K2100" s="16">
        <v>364.99758323849994</v>
      </c>
      <c r="L2100" s="16">
        <v>63.772835399999998</v>
      </c>
      <c r="M2100" s="16">
        <f t="shared" si="64"/>
        <v>0.95343899244150099</v>
      </c>
    </row>
    <row r="2101" spans="1:13" x14ac:dyDescent="0.25">
      <c r="A2101" s="2">
        <f t="shared" si="65"/>
        <v>2096</v>
      </c>
      <c r="B2101" s="2">
        <v>151909</v>
      </c>
      <c r="C2101" s="2" t="s">
        <v>4607</v>
      </c>
      <c r="D2101" s="14" t="s">
        <v>2090</v>
      </c>
      <c r="E2101" s="14">
        <v>0</v>
      </c>
      <c r="F2101" s="14">
        <v>0</v>
      </c>
      <c r="G2101" s="14">
        <v>0</v>
      </c>
      <c r="H2101" s="16">
        <v>0</v>
      </c>
      <c r="I2101" s="16">
        <v>0</v>
      </c>
      <c r="J2101" s="3" t="s">
        <v>5011</v>
      </c>
      <c r="K2101" s="16">
        <v>0</v>
      </c>
      <c r="L2101" s="16">
        <v>0</v>
      </c>
      <c r="M2101" s="16">
        <v>0</v>
      </c>
    </row>
    <row r="2102" spans="1:13" x14ac:dyDescent="0.25">
      <c r="A2102" s="2">
        <f t="shared" si="65"/>
        <v>2097</v>
      </c>
      <c r="B2102" s="2">
        <v>151977</v>
      </c>
      <c r="C2102" s="2" t="s">
        <v>4608</v>
      </c>
      <c r="D2102" s="14" t="s">
        <v>2091</v>
      </c>
      <c r="E2102" s="14">
        <v>2.6690000000000004E-4</v>
      </c>
      <c r="F2102" s="14">
        <v>0</v>
      </c>
      <c r="G2102" s="14">
        <v>2.6690000000000004E-4</v>
      </c>
      <c r="H2102" s="16">
        <v>20.999032999999997</v>
      </c>
      <c r="I2102" s="16">
        <v>20.746421399999999</v>
      </c>
      <c r="J2102" s="3" t="s">
        <v>5011</v>
      </c>
      <c r="K2102" s="16">
        <v>11.135014265799999</v>
      </c>
      <c r="L2102" s="16">
        <v>20.6143605</v>
      </c>
      <c r="M2102" s="16">
        <f t="shared" si="64"/>
        <v>0.98168141837769396</v>
      </c>
    </row>
    <row r="2103" spans="1:13" x14ac:dyDescent="0.25">
      <c r="A2103" s="2">
        <f t="shared" si="65"/>
        <v>2098</v>
      </c>
      <c r="B2103" s="2">
        <v>153351</v>
      </c>
      <c r="C2103" s="2" t="s">
        <v>4609</v>
      </c>
      <c r="D2103" s="14" t="s">
        <v>2092</v>
      </c>
      <c r="E2103" s="14">
        <v>0</v>
      </c>
      <c r="F2103" s="14">
        <v>0</v>
      </c>
      <c r="G2103" s="14">
        <v>0</v>
      </c>
      <c r="H2103" s="16">
        <v>54.897255000000001</v>
      </c>
      <c r="I2103" s="16">
        <v>54.897255000000001</v>
      </c>
      <c r="J2103" s="3" t="s">
        <v>5011</v>
      </c>
      <c r="K2103" s="16">
        <v>163.76179377890003</v>
      </c>
      <c r="L2103" s="16">
        <v>59.417799500000001</v>
      </c>
      <c r="M2103" s="16">
        <f t="shared" si="64"/>
        <v>1.0823455471498529</v>
      </c>
    </row>
    <row r="2104" spans="1:13" x14ac:dyDescent="0.25">
      <c r="A2104" s="2">
        <f t="shared" si="65"/>
        <v>2099</v>
      </c>
      <c r="B2104" s="2">
        <v>153658</v>
      </c>
      <c r="C2104" s="2" t="s">
        <v>4610</v>
      </c>
      <c r="D2104" s="14" t="s">
        <v>2093</v>
      </c>
      <c r="E2104" s="14">
        <v>0</v>
      </c>
      <c r="F2104" s="14">
        <v>0</v>
      </c>
      <c r="G2104" s="14">
        <v>0</v>
      </c>
      <c r="H2104" s="16">
        <v>0</v>
      </c>
      <c r="I2104" s="16">
        <v>0</v>
      </c>
      <c r="J2104" s="3" t="s">
        <v>5011</v>
      </c>
      <c r="K2104" s="16">
        <v>0</v>
      </c>
      <c r="L2104" s="16">
        <v>0</v>
      </c>
      <c r="M2104" s="16">
        <v>0</v>
      </c>
    </row>
    <row r="2105" spans="1:13" x14ac:dyDescent="0.25">
      <c r="A2105" s="2">
        <f t="shared" si="65"/>
        <v>2100</v>
      </c>
      <c r="B2105" s="2">
        <v>154072</v>
      </c>
      <c r="C2105" s="2" t="s">
        <v>4611</v>
      </c>
      <c r="D2105" s="14" t="s">
        <v>2094</v>
      </c>
      <c r="E2105" s="14">
        <v>0</v>
      </c>
      <c r="F2105" s="14">
        <v>0</v>
      </c>
      <c r="G2105" s="14">
        <v>0</v>
      </c>
      <c r="H2105" s="16">
        <v>0</v>
      </c>
      <c r="I2105" s="16">
        <v>0</v>
      </c>
      <c r="J2105" s="3" t="s">
        <v>5011</v>
      </c>
      <c r="K2105" s="16">
        <v>0</v>
      </c>
      <c r="L2105" s="16">
        <v>0</v>
      </c>
      <c r="M2105" s="16">
        <v>0</v>
      </c>
    </row>
    <row r="2106" spans="1:13" x14ac:dyDescent="0.25">
      <c r="A2106" s="2">
        <f t="shared" si="65"/>
        <v>2101</v>
      </c>
      <c r="B2106" s="2">
        <v>154182</v>
      </c>
      <c r="C2106" s="2" t="s">
        <v>4612</v>
      </c>
      <c r="D2106" s="14" t="s">
        <v>2095</v>
      </c>
      <c r="E2106" s="14">
        <v>59.736938200000004</v>
      </c>
      <c r="F2106" s="14">
        <v>0</v>
      </c>
      <c r="G2106" s="14">
        <v>59.736938200000004</v>
      </c>
      <c r="H2106" s="16">
        <v>9207.2247929000005</v>
      </c>
      <c r="I2106" s="16">
        <v>4698.8396383999998</v>
      </c>
      <c r="J2106" s="3" t="s">
        <v>5011</v>
      </c>
      <c r="K2106" s="16">
        <v>44813.195239007604</v>
      </c>
      <c r="L2106" s="16">
        <v>6400.7114310000006</v>
      </c>
      <c r="M2106" s="16">
        <f t="shared" si="64"/>
        <v>0.6951835732234759</v>
      </c>
    </row>
    <row r="2107" spans="1:13" x14ac:dyDescent="0.25">
      <c r="A2107" s="2">
        <f t="shared" si="65"/>
        <v>2102</v>
      </c>
      <c r="B2107" s="2">
        <v>154297</v>
      </c>
      <c r="C2107" s="2" t="s">
        <v>4613</v>
      </c>
      <c r="D2107" s="14" t="s">
        <v>2096</v>
      </c>
      <c r="E2107" s="14">
        <v>0</v>
      </c>
      <c r="F2107" s="14">
        <v>0</v>
      </c>
      <c r="G2107" s="14">
        <v>0</v>
      </c>
      <c r="H2107" s="16">
        <v>50.622429099999998</v>
      </c>
      <c r="I2107" s="16">
        <v>45.447336000000007</v>
      </c>
      <c r="J2107" s="3" t="s">
        <v>5011</v>
      </c>
      <c r="K2107" s="16">
        <v>36.119039387100003</v>
      </c>
      <c r="L2107" s="16">
        <v>50.867378899999999</v>
      </c>
      <c r="M2107" s="16">
        <f t="shared" si="64"/>
        <v>1.004838760295681</v>
      </c>
    </row>
    <row r="2108" spans="1:13" x14ac:dyDescent="0.25">
      <c r="A2108" s="2">
        <f t="shared" si="65"/>
        <v>2103</v>
      </c>
      <c r="B2108" s="2">
        <v>154334</v>
      </c>
      <c r="C2108" s="2" t="s">
        <v>4614</v>
      </c>
      <c r="D2108" s="14" t="s">
        <v>2097</v>
      </c>
      <c r="E2108" s="14">
        <v>9.4435954000000013</v>
      </c>
      <c r="F2108" s="14">
        <v>0</v>
      </c>
      <c r="G2108" s="14">
        <v>9.4435954000000013</v>
      </c>
      <c r="H2108" s="16">
        <v>620.59259799999995</v>
      </c>
      <c r="I2108" s="16">
        <v>361.9905331999999</v>
      </c>
      <c r="J2108" s="3" t="s">
        <v>5011</v>
      </c>
      <c r="K2108" s="16">
        <v>8388.6947484276006</v>
      </c>
      <c r="L2108" s="16">
        <v>1049.3352193000001</v>
      </c>
      <c r="M2108" s="16">
        <f t="shared" si="64"/>
        <v>1.6908600306895702</v>
      </c>
    </row>
    <row r="2109" spans="1:13" x14ac:dyDescent="0.25">
      <c r="A2109" s="2">
        <f t="shared" si="65"/>
        <v>2104</v>
      </c>
      <c r="B2109" s="2">
        <v>154381</v>
      </c>
      <c r="C2109" s="2" t="s">
        <v>4615</v>
      </c>
      <c r="D2109" s="14" t="s">
        <v>2098</v>
      </c>
      <c r="E2109" s="14">
        <v>2.6490999999999997E-3</v>
      </c>
      <c r="F2109" s="14">
        <v>0</v>
      </c>
      <c r="G2109" s="14">
        <v>2.6490999999999997E-3</v>
      </c>
      <c r="H2109" s="16">
        <v>1.019949</v>
      </c>
      <c r="I2109" s="16">
        <v>1.019949</v>
      </c>
      <c r="J2109" s="3" t="s">
        <v>5011</v>
      </c>
      <c r="K2109" s="16">
        <v>6.5341807854000002</v>
      </c>
      <c r="L2109" s="16">
        <v>1.2409733000000001</v>
      </c>
      <c r="M2109" s="16">
        <f t="shared" si="64"/>
        <v>1.2167013252623415</v>
      </c>
    </row>
    <row r="2110" spans="1:13" x14ac:dyDescent="0.25">
      <c r="A2110" s="2">
        <f t="shared" si="65"/>
        <v>2105</v>
      </c>
      <c r="B2110" s="2">
        <v>154476</v>
      </c>
      <c r="C2110" s="2" t="s">
        <v>4616</v>
      </c>
      <c r="D2110" s="14" t="s">
        <v>2099</v>
      </c>
      <c r="E2110" s="14">
        <v>3.003E-3</v>
      </c>
      <c r="F2110" s="14">
        <v>0</v>
      </c>
      <c r="G2110" s="14">
        <v>3.003E-3</v>
      </c>
      <c r="H2110" s="16">
        <v>3.6498175000000002</v>
      </c>
      <c r="I2110" s="16">
        <v>0.64436830000000012</v>
      </c>
      <c r="J2110" s="3" t="s">
        <v>5011</v>
      </c>
      <c r="K2110" s="16">
        <v>19.046788156599998</v>
      </c>
      <c r="L2110" s="16">
        <v>3.8564683</v>
      </c>
      <c r="M2110" s="16">
        <f t="shared" si="64"/>
        <v>1.0566194885086719</v>
      </c>
    </row>
    <row r="2111" spans="1:13" x14ac:dyDescent="0.25">
      <c r="A2111" s="2">
        <f t="shared" si="65"/>
        <v>2106</v>
      </c>
      <c r="B2111" s="2">
        <v>154582</v>
      </c>
      <c r="C2111" s="2" t="s">
        <v>4617</v>
      </c>
      <c r="D2111" s="14" t="s">
        <v>2100</v>
      </c>
      <c r="E2111" s="14">
        <v>0.18662989999999999</v>
      </c>
      <c r="F2111" s="14">
        <v>0</v>
      </c>
      <c r="G2111" s="14">
        <v>0.18662989999999999</v>
      </c>
      <c r="H2111" s="16">
        <v>11.5144272</v>
      </c>
      <c r="I2111" s="16">
        <v>11.5144272</v>
      </c>
      <c r="J2111" s="3" t="s">
        <v>5011</v>
      </c>
      <c r="K2111" s="16">
        <v>229.00260412259996</v>
      </c>
      <c r="L2111" s="16">
        <v>29.236773100000001</v>
      </c>
      <c r="M2111" s="16">
        <f t="shared" si="64"/>
        <v>2.5391426418502174</v>
      </c>
    </row>
    <row r="2112" spans="1:13" x14ac:dyDescent="0.25">
      <c r="A2112" s="2">
        <f t="shared" si="65"/>
        <v>2107</v>
      </c>
      <c r="B2112" s="2">
        <v>154632</v>
      </c>
      <c r="C2112" s="2" t="s">
        <v>4618</v>
      </c>
      <c r="D2112" s="14" t="s">
        <v>2101</v>
      </c>
      <c r="E2112" s="14">
        <v>4.0175412000000001</v>
      </c>
      <c r="F2112" s="14">
        <v>0</v>
      </c>
      <c r="G2112" s="14">
        <v>4.0175412000000001</v>
      </c>
      <c r="H2112" s="16">
        <v>739.17085480000003</v>
      </c>
      <c r="I2112" s="16">
        <v>462.20604620000006</v>
      </c>
      <c r="J2112" s="3" t="s">
        <v>5011</v>
      </c>
      <c r="K2112" s="16">
        <v>5132.8952867330008</v>
      </c>
      <c r="L2112" s="16">
        <v>801.76470170000005</v>
      </c>
      <c r="M2112" s="16">
        <f t="shared" si="64"/>
        <v>1.0846811619986509</v>
      </c>
    </row>
    <row r="2113" spans="1:13" x14ac:dyDescent="0.25">
      <c r="A2113" s="2">
        <f t="shared" si="65"/>
        <v>2108</v>
      </c>
      <c r="B2113" s="2">
        <v>154678</v>
      </c>
      <c r="C2113" s="2" t="s">
        <v>4619</v>
      </c>
      <c r="D2113" s="14" t="s">
        <v>2102</v>
      </c>
      <c r="E2113" s="14">
        <v>4.1528830999999995</v>
      </c>
      <c r="F2113" s="14">
        <v>0</v>
      </c>
      <c r="G2113" s="14">
        <v>4.1528830999999995</v>
      </c>
      <c r="H2113" s="16">
        <v>509.9253324</v>
      </c>
      <c r="I2113" s="16">
        <v>385.49982370000004</v>
      </c>
      <c r="J2113" s="3" t="s">
        <v>5011</v>
      </c>
      <c r="K2113" s="16">
        <v>5031.0805352066982</v>
      </c>
      <c r="L2113" s="16">
        <v>750.60422319999998</v>
      </c>
      <c r="M2113" s="16">
        <f t="shared" si="64"/>
        <v>1.4719884961730134</v>
      </c>
    </row>
    <row r="2114" spans="1:13" x14ac:dyDescent="0.25">
      <c r="A2114" s="2">
        <f t="shared" si="65"/>
        <v>2109</v>
      </c>
      <c r="B2114" s="2">
        <v>155088</v>
      </c>
      <c r="C2114" s="2" t="s">
        <v>4620</v>
      </c>
      <c r="D2114" s="14" t="s">
        <v>2103</v>
      </c>
      <c r="E2114" s="14">
        <v>0</v>
      </c>
      <c r="F2114" s="14">
        <v>0</v>
      </c>
      <c r="G2114" s="14">
        <v>0</v>
      </c>
      <c r="H2114" s="16">
        <v>0</v>
      </c>
      <c r="I2114" s="16">
        <v>0</v>
      </c>
      <c r="J2114" s="3" t="s">
        <v>5011</v>
      </c>
      <c r="K2114" s="16">
        <v>0</v>
      </c>
      <c r="L2114" s="16">
        <v>0</v>
      </c>
      <c r="M2114" s="16">
        <v>0</v>
      </c>
    </row>
    <row r="2115" spans="1:13" x14ac:dyDescent="0.25">
      <c r="A2115" s="2">
        <f t="shared" si="65"/>
        <v>2110</v>
      </c>
      <c r="B2115" s="2">
        <v>155225</v>
      </c>
      <c r="C2115" s="2" t="s">
        <v>4621</v>
      </c>
      <c r="D2115" s="14" t="s">
        <v>2104</v>
      </c>
      <c r="E2115" s="14">
        <v>0</v>
      </c>
      <c r="F2115" s="14">
        <v>0</v>
      </c>
      <c r="G2115" s="14">
        <v>0</v>
      </c>
      <c r="H2115" s="16">
        <v>1.6459178000000001</v>
      </c>
      <c r="I2115" s="16">
        <v>0.61400330000000003</v>
      </c>
      <c r="J2115" s="3" t="s">
        <v>5011</v>
      </c>
      <c r="K2115" s="16">
        <v>31.768798393600001</v>
      </c>
      <c r="L2115" s="16">
        <v>2.7279819000000001</v>
      </c>
      <c r="M2115" s="16">
        <f t="shared" si="64"/>
        <v>1.6574229284111273</v>
      </c>
    </row>
    <row r="2116" spans="1:13" x14ac:dyDescent="0.25">
      <c r="A2116" s="2">
        <f t="shared" si="65"/>
        <v>2111</v>
      </c>
      <c r="B2116" s="2">
        <v>155237</v>
      </c>
      <c r="C2116" s="2" t="s">
        <v>4622</v>
      </c>
      <c r="D2116" s="14" t="s">
        <v>2105</v>
      </c>
      <c r="E2116" s="14">
        <v>42.610412700000005</v>
      </c>
      <c r="F2116" s="14">
        <v>0</v>
      </c>
      <c r="G2116" s="14">
        <v>42.610412700000005</v>
      </c>
      <c r="H2116" s="16">
        <v>3093.8095626999998</v>
      </c>
      <c r="I2116" s="16">
        <v>2031.4276547999996</v>
      </c>
      <c r="J2116" s="3" t="s">
        <v>5011</v>
      </c>
      <c r="K2116" s="16">
        <v>39824.158565699428</v>
      </c>
      <c r="L2116" s="16">
        <v>5353.6754291000007</v>
      </c>
      <c r="M2116" s="16">
        <f t="shared" si="64"/>
        <v>1.7304476311812136</v>
      </c>
    </row>
    <row r="2117" spans="1:13" x14ac:dyDescent="0.25">
      <c r="A2117" s="2">
        <f t="shared" si="65"/>
        <v>2112</v>
      </c>
      <c r="B2117" s="2">
        <v>155319</v>
      </c>
      <c r="C2117" s="2" t="s">
        <v>4623</v>
      </c>
      <c r="D2117" s="14" t="s">
        <v>2106</v>
      </c>
      <c r="E2117" s="14">
        <v>0</v>
      </c>
      <c r="F2117" s="14">
        <v>0</v>
      </c>
      <c r="G2117" s="14">
        <v>0</v>
      </c>
      <c r="H2117" s="16">
        <v>0</v>
      </c>
      <c r="I2117" s="16">
        <v>0</v>
      </c>
      <c r="J2117" s="3" t="s">
        <v>5011</v>
      </c>
      <c r="K2117" s="16">
        <v>0</v>
      </c>
      <c r="L2117" s="16">
        <v>0</v>
      </c>
      <c r="M2117" s="16">
        <v>0</v>
      </c>
    </row>
    <row r="2118" spans="1:13" x14ac:dyDescent="0.25">
      <c r="A2118" s="2">
        <f t="shared" si="65"/>
        <v>2113</v>
      </c>
      <c r="B2118" s="2">
        <v>155383</v>
      </c>
      <c r="C2118" s="2" t="s">
        <v>4624</v>
      </c>
      <c r="D2118" s="14" t="s">
        <v>2107</v>
      </c>
      <c r="E2118" s="14">
        <v>0</v>
      </c>
      <c r="F2118" s="14">
        <v>0</v>
      </c>
      <c r="G2118" s="14">
        <v>0</v>
      </c>
      <c r="H2118" s="16">
        <v>0</v>
      </c>
      <c r="I2118" s="16">
        <v>0</v>
      </c>
      <c r="J2118" s="3" t="s">
        <v>5011</v>
      </c>
      <c r="K2118" s="16">
        <v>0</v>
      </c>
      <c r="L2118" s="16">
        <v>0</v>
      </c>
      <c r="M2118" s="16">
        <v>0</v>
      </c>
    </row>
    <row r="2119" spans="1:13" x14ac:dyDescent="0.25">
      <c r="A2119" s="2">
        <f t="shared" si="65"/>
        <v>2114</v>
      </c>
      <c r="B2119" s="2">
        <v>155415</v>
      </c>
      <c r="C2119" s="2" t="s">
        <v>4625</v>
      </c>
      <c r="D2119" s="14" t="s">
        <v>2108</v>
      </c>
      <c r="E2119" s="14">
        <v>0.30999969999999999</v>
      </c>
      <c r="F2119" s="14">
        <v>0</v>
      </c>
      <c r="G2119" s="14">
        <v>0.30999969999999999</v>
      </c>
      <c r="H2119" s="16">
        <v>47.043253200000002</v>
      </c>
      <c r="I2119" s="16">
        <v>29.387753800000002</v>
      </c>
      <c r="J2119" s="3" t="s">
        <v>5011</v>
      </c>
      <c r="K2119" s="16">
        <v>605.08971284800009</v>
      </c>
      <c r="L2119" s="16">
        <v>71.174924500000003</v>
      </c>
      <c r="M2119" s="16">
        <f t="shared" ref="M2119:M2182" si="66">L2119/H2119</f>
        <v>1.512967740504817</v>
      </c>
    </row>
    <row r="2120" spans="1:13" x14ac:dyDescent="0.25">
      <c r="A2120" s="2">
        <f t="shared" ref="A2120:A2183" si="67">A2119+1</f>
        <v>2115</v>
      </c>
      <c r="B2120" s="2">
        <v>155467</v>
      </c>
      <c r="C2120" s="2" t="s">
        <v>4626</v>
      </c>
      <c r="D2120" s="14" t="s">
        <v>2109</v>
      </c>
      <c r="E2120" s="14">
        <v>1.1833623</v>
      </c>
      <c r="F2120" s="14">
        <v>0</v>
      </c>
      <c r="G2120" s="14">
        <v>1.1833623</v>
      </c>
      <c r="H2120" s="16">
        <v>189.08099719999998</v>
      </c>
      <c r="I2120" s="16">
        <v>159.33317219999998</v>
      </c>
      <c r="J2120" s="3" t="s">
        <v>5011</v>
      </c>
      <c r="K2120" s="16">
        <v>1531.3368577988003</v>
      </c>
      <c r="L2120" s="16">
        <v>260.41307289999997</v>
      </c>
      <c r="M2120" s="16">
        <f t="shared" si="66"/>
        <v>1.3772567140871839</v>
      </c>
    </row>
    <row r="2121" spans="1:13" x14ac:dyDescent="0.25">
      <c r="A2121" s="2">
        <f t="shared" si="67"/>
        <v>2116</v>
      </c>
      <c r="B2121" s="2">
        <v>155584</v>
      </c>
      <c r="C2121" s="2" t="s">
        <v>4627</v>
      </c>
      <c r="D2121" s="14" t="s">
        <v>2110</v>
      </c>
      <c r="E2121" s="14">
        <v>1.7851808999999996</v>
      </c>
      <c r="F2121" s="14">
        <v>0</v>
      </c>
      <c r="G2121" s="14">
        <v>1.7851808999999996</v>
      </c>
      <c r="H2121" s="16">
        <v>97.435028000000003</v>
      </c>
      <c r="I2121" s="16">
        <v>45.404731900000002</v>
      </c>
      <c r="J2121" s="3" t="s">
        <v>5011</v>
      </c>
      <c r="K2121" s="16">
        <v>1715.1834904527996</v>
      </c>
      <c r="L2121" s="16">
        <v>197.10538899999997</v>
      </c>
      <c r="M2121" s="16">
        <f t="shared" si="66"/>
        <v>2.0229417802394427</v>
      </c>
    </row>
    <row r="2122" spans="1:13" x14ac:dyDescent="0.25">
      <c r="A2122" s="2">
        <f t="shared" si="67"/>
        <v>2117</v>
      </c>
      <c r="B2122" s="2">
        <v>155944</v>
      </c>
      <c r="C2122" s="2" t="s">
        <v>4628</v>
      </c>
      <c r="D2122" s="14" t="s">
        <v>2111</v>
      </c>
      <c r="E2122" s="14">
        <v>7.3682000000000001E-3</v>
      </c>
      <c r="F2122" s="14">
        <v>0</v>
      </c>
      <c r="G2122" s="14">
        <v>7.3682000000000001E-3</v>
      </c>
      <c r="H2122" s="16">
        <v>11.939404099999999</v>
      </c>
      <c r="I2122" s="16">
        <v>11.939404099999999</v>
      </c>
      <c r="J2122" s="3" t="s">
        <v>5011</v>
      </c>
      <c r="K2122" s="16">
        <v>25.768577004899996</v>
      </c>
      <c r="L2122" s="16">
        <v>11.991488500000001</v>
      </c>
      <c r="M2122" s="16">
        <f t="shared" si="66"/>
        <v>1.0043623952723069</v>
      </c>
    </row>
    <row r="2123" spans="1:13" x14ac:dyDescent="0.25">
      <c r="A2123" s="2">
        <f t="shared" si="67"/>
        <v>2118</v>
      </c>
      <c r="B2123" s="2">
        <v>156011</v>
      </c>
      <c r="C2123" s="2" t="s">
        <v>4629</v>
      </c>
      <c r="D2123" s="14" t="s">
        <v>2112</v>
      </c>
      <c r="E2123" s="14">
        <v>0.43848900000000007</v>
      </c>
      <c r="F2123" s="14">
        <v>0</v>
      </c>
      <c r="G2123" s="14">
        <v>0.43848900000000007</v>
      </c>
      <c r="H2123" s="16">
        <v>1.7114776</v>
      </c>
      <c r="I2123" s="16">
        <v>-8.8969181000000006</v>
      </c>
      <c r="J2123" s="3" t="s">
        <v>5011</v>
      </c>
      <c r="K2123" s="16">
        <v>425.6917182359</v>
      </c>
      <c r="L2123" s="16">
        <v>37.609280099999999</v>
      </c>
      <c r="M2123" s="16">
        <f t="shared" si="66"/>
        <v>21.974742818719918</v>
      </c>
    </row>
    <row r="2124" spans="1:13" x14ac:dyDescent="0.25">
      <c r="A2124" s="2">
        <f t="shared" si="67"/>
        <v>2119</v>
      </c>
      <c r="B2124" s="2">
        <v>156109</v>
      </c>
      <c r="C2124" s="2" t="s">
        <v>4630</v>
      </c>
      <c r="D2124" s="14" t="s">
        <v>2113</v>
      </c>
      <c r="E2124" s="14">
        <v>0</v>
      </c>
      <c r="F2124" s="14">
        <v>0</v>
      </c>
      <c r="G2124" s="14">
        <v>0</v>
      </c>
      <c r="H2124" s="16">
        <v>0</v>
      </c>
      <c r="I2124" s="16">
        <v>0</v>
      </c>
      <c r="J2124" s="3" t="s">
        <v>5011</v>
      </c>
      <c r="K2124" s="16">
        <v>0</v>
      </c>
      <c r="L2124" s="16">
        <v>0</v>
      </c>
      <c r="M2124" s="16">
        <v>0</v>
      </c>
    </row>
    <row r="2125" spans="1:13" x14ac:dyDescent="0.25">
      <c r="A2125" s="2">
        <f t="shared" si="67"/>
        <v>2120</v>
      </c>
      <c r="B2125" s="2">
        <v>156288</v>
      </c>
      <c r="C2125" s="2" t="s">
        <v>4631</v>
      </c>
      <c r="D2125" s="14" t="s">
        <v>2114</v>
      </c>
      <c r="E2125" s="14">
        <v>4.3196361000000003</v>
      </c>
      <c r="F2125" s="14">
        <v>0</v>
      </c>
      <c r="G2125" s="14">
        <v>4.3196361000000003</v>
      </c>
      <c r="H2125" s="16">
        <v>250.62276309999999</v>
      </c>
      <c r="I2125" s="16">
        <v>44.764476799999997</v>
      </c>
      <c r="J2125" s="3" t="s">
        <v>5011</v>
      </c>
      <c r="K2125" s="16">
        <v>4068.9802920912994</v>
      </c>
      <c r="L2125" s="16">
        <v>477.32621999999998</v>
      </c>
      <c r="M2125" s="16">
        <f t="shared" si="66"/>
        <v>1.9045605199458437</v>
      </c>
    </row>
    <row r="2126" spans="1:13" x14ac:dyDescent="0.25">
      <c r="A2126" s="2">
        <f t="shared" si="67"/>
        <v>2121</v>
      </c>
      <c r="B2126" s="2">
        <v>156289</v>
      </c>
      <c r="C2126" s="2" t="s">
        <v>4632</v>
      </c>
      <c r="D2126" s="14" t="s">
        <v>2115</v>
      </c>
      <c r="E2126" s="14">
        <v>12.045360500000003</v>
      </c>
      <c r="F2126" s="14">
        <v>0</v>
      </c>
      <c r="G2126" s="14">
        <v>12.045360500000003</v>
      </c>
      <c r="H2126" s="16">
        <v>469.52510580000001</v>
      </c>
      <c r="I2126" s="16">
        <v>376.03921079999998</v>
      </c>
      <c r="J2126" s="3" t="s">
        <v>5011</v>
      </c>
      <c r="K2126" s="16">
        <v>10732.973622016405</v>
      </c>
      <c r="L2126" s="16">
        <v>1285.2969759</v>
      </c>
      <c r="M2126" s="16">
        <f t="shared" si="66"/>
        <v>2.7374403626618595</v>
      </c>
    </row>
    <row r="2127" spans="1:13" x14ac:dyDescent="0.25">
      <c r="A2127" s="2">
        <f t="shared" si="67"/>
        <v>2122</v>
      </c>
      <c r="B2127" s="2">
        <v>156386</v>
      </c>
      <c r="C2127" s="2" t="s">
        <v>4633</v>
      </c>
      <c r="D2127" s="14" t="s">
        <v>2116</v>
      </c>
      <c r="E2127" s="14">
        <v>12.066425500000001</v>
      </c>
      <c r="F2127" s="14">
        <v>0</v>
      </c>
      <c r="G2127" s="14">
        <v>12.066425500000001</v>
      </c>
      <c r="H2127" s="16">
        <v>2546.8506199000003</v>
      </c>
      <c r="I2127" s="16">
        <v>1502.1286704000001</v>
      </c>
      <c r="J2127" s="3" t="s">
        <v>5011</v>
      </c>
      <c r="K2127" s="16">
        <v>16617.395043657092</v>
      </c>
      <c r="L2127" s="16">
        <v>2499.2152971</v>
      </c>
      <c r="M2127" s="16">
        <f t="shared" si="66"/>
        <v>0.98129638133159514</v>
      </c>
    </row>
    <row r="2128" spans="1:13" x14ac:dyDescent="0.25">
      <c r="A2128" s="2">
        <f t="shared" si="67"/>
        <v>2123</v>
      </c>
      <c r="B2128" s="2">
        <v>156449</v>
      </c>
      <c r="C2128" s="2" t="s">
        <v>4634</v>
      </c>
      <c r="D2128" s="14" t="s">
        <v>2117</v>
      </c>
      <c r="E2128" s="14">
        <v>7.6977738000000002</v>
      </c>
      <c r="F2128" s="14">
        <v>0</v>
      </c>
      <c r="G2128" s="14">
        <v>7.6977738000000002</v>
      </c>
      <c r="H2128" s="16">
        <v>1955.0280628</v>
      </c>
      <c r="I2128" s="16">
        <v>1292.3463418000001</v>
      </c>
      <c r="J2128" s="3" t="s">
        <v>5011</v>
      </c>
      <c r="K2128" s="16">
        <v>9381.9387581926985</v>
      </c>
      <c r="L2128" s="16">
        <v>1952.6842624000001</v>
      </c>
      <c r="M2128" s="16">
        <f t="shared" si="66"/>
        <v>0.99880114232394024</v>
      </c>
    </row>
    <row r="2129" spans="1:13" x14ac:dyDescent="0.25">
      <c r="A2129" s="2">
        <f t="shared" si="67"/>
        <v>2124</v>
      </c>
      <c r="B2129" s="2">
        <v>156540</v>
      </c>
      <c r="C2129" s="2" t="s">
        <v>4635</v>
      </c>
      <c r="D2129" s="14" t="s">
        <v>2118</v>
      </c>
      <c r="E2129" s="14">
        <v>0</v>
      </c>
      <c r="F2129" s="14">
        <v>0</v>
      </c>
      <c r="G2129" s="14">
        <v>0</v>
      </c>
      <c r="H2129" s="16">
        <v>0</v>
      </c>
      <c r="I2129" s="16">
        <v>0</v>
      </c>
      <c r="J2129" s="3" t="s">
        <v>5011</v>
      </c>
      <c r="K2129" s="16">
        <v>0</v>
      </c>
      <c r="L2129" s="16">
        <v>0</v>
      </c>
      <c r="M2129" s="16">
        <v>0</v>
      </c>
    </row>
    <row r="2130" spans="1:13" x14ac:dyDescent="0.25">
      <c r="A2130" s="2">
        <f t="shared" si="67"/>
        <v>2125</v>
      </c>
      <c r="B2130" s="2">
        <v>156723</v>
      </c>
      <c r="C2130" s="2" t="s">
        <v>4636</v>
      </c>
      <c r="D2130" s="14" t="s">
        <v>2119</v>
      </c>
      <c r="E2130" s="14">
        <v>10.2510976</v>
      </c>
      <c r="F2130" s="14">
        <v>0</v>
      </c>
      <c r="G2130" s="14">
        <v>10.2510976</v>
      </c>
      <c r="H2130" s="16">
        <v>722.0790614</v>
      </c>
      <c r="I2130" s="16">
        <v>563.42223320000005</v>
      </c>
      <c r="J2130" s="3" t="s">
        <v>5011</v>
      </c>
      <c r="K2130" s="16">
        <v>9390.0181252784005</v>
      </c>
      <c r="L2130" s="16">
        <v>1389.7310244</v>
      </c>
      <c r="M2130" s="16">
        <f t="shared" si="66"/>
        <v>1.9246244610742842</v>
      </c>
    </row>
    <row r="2131" spans="1:13" x14ac:dyDescent="0.25">
      <c r="A2131" s="2">
        <f t="shared" si="67"/>
        <v>2126</v>
      </c>
      <c r="B2131" s="2">
        <v>156917</v>
      </c>
      <c r="C2131" s="2" t="s">
        <v>4637</v>
      </c>
      <c r="D2131" s="14" t="s">
        <v>2120</v>
      </c>
      <c r="E2131" s="14">
        <v>0</v>
      </c>
      <c r="F2131" s="14">
        <v>0</v>
      </c>
      <c r="G2131" s="14">
        <v>0</v>
      </c>
      <c r="H2131" s="16">
        <v>0</v>
      </c>
      <c r="I2131" s="16">
        <v>0</v>
      </c>
      <c r="J2131" s="3" t="s">
        <v>5011</v>
      </c>
      <c r="K2131" s="16">
        <v>0</v>
      </c>
      <c r="L2131" s="16">
        <v>0</v>
      </c>
      <c r="M2131" s="16">
        <v>0</v>
      </c>
    </row>
    <row r="2132" spans="1:13" x14ac:dyDescent="0.25">
      <c r="A2132" s="2">
        <f t="shared" si="67"/>
        <v>2127</v>
      </c>
      <c r="B2132" s="2">
        <v>156939</v>
      </c>
      <c r="C2132" s="2" t="s">
        <v>4638</v>
      </c>
      <c r="D2132" s="14" t="s">
        <v>2121</v>
      </c>
      <c r="E2132" s="14">
        <v>0</v>
      </c>
      <c r="F2132" s="14">
        <v>0</v>
      </c>
      <c r="G2132" s="14">
        <v>0</v>
      </c>
      <c r="H2132" s="16">
        <v>0</v>
      </c>
      <c r="I2132" s="16">
        <v>0</v>
      </c>
      <c r="J2132" s="3" t="s">
        <v>5011</v>
      </c>
      <c r="K2132" s="16">
        <v>0</v>
      </c>
      <c r="L2132" s="16">
        <v>0</v>
      </c>
      <c r="M2132" s="16">
        <v>0</v>
      </c>
    </row>
    <row r="2133" spans="1:13" x14ac:dyDescent="0.25">
      <c r="A2133" s="2">
        <f t="shared" si="67"/>
        <v>2128</v>
      </c>
      <c r="B2133" s="2">
        <v>157200</v>
      </c>
      <c r="C2133" s="2" t="s">
        <v>4639</v>
      </c>
      <c r="D2133" s="14" t="s">
        <v>2122</v>
      </c>
      <c r="E2133" s="14">
        <v>0</v>
      </c>
      <c r="F2133" s="14">
        <v>0</v>
      </c>
      <c r="G2133" s="14">
        <v>0</v>
      </c>
      <c r="H2133" s="16">
        <v>0</v>
      </c>
      <c r="I2133" s="16">
        <v>-1.3119648000000002</v>
      </c>
      <c r="J2133" s="3" t="s">
        <v>5011</v>
      </c>
      <c r="K2133" s="16">
        <v>11.322236898</v>
      </c>
      <c r="L2133" s="16">
        <v>0.82382250000000001</v>
      </c>
      <c r="M2133" s="16">
        <v>0</v>
      </c>
    </row>
    <row r="2134" spans="1:13" x14ac:dyDescent="0.25">
      <c r="A2134" s="2">
        <f t="shared" si="67"/>
        <v>2129</v>
      </c>
      <c r="B2134" s="2">
        <v>157204</v>
      </c>
      <c r="C2134" s="2" t="s">
        <v>4640</v>
      </c>
      <c r="D2134" s="14" t="s">
        <v>2123</v>
      </c>
      <c r="E2134" s="14">
        <v>0</v>
      </c>
      <c r="F2134" s="14">
        <v>0</v>
      </c>
      <c r="G2134" s="14">
        <v>0</v>
      </c>
      <c r="H2134" s="16">
        <v>0</v>
      </c>
      <c r="I2134" s="16">
        <v>0</v>
      </c>
      <c r="J2134" s="3" t="s">
        <v>5011</v>
      </c>
      <c r="K2134" s="16">
        <v>0</v>
      </c>
      <c r="L2134" s="16">
        <v>0</v>
      </c>
      <c r="M2134" s="16">
        <v>0</v>
      </c>
    </row>
    <row r="2135" spans="1:13" x14ac:dyDescent="0.25">
      <c r="A2135" s="2">
        <f t="shared" si="67"/>
        <v>2130</v>
      </c>
      <c r="B2135" s="2">
        <v>157215</v>
      </c>
      <c r="C2135" s="2" t="s">
        <v>4641</v>
      </c>
      <c r="D2135" s="14" t="s">
        <v>2124</v>
      </c>
      <c r="E2135" s="14">
        <v>0</v>
      </c>
      <c r="F2135" s="14">
        <v>0</v>
      </c>
      <c r="G2135" s="14">
        <v>0</v>
      </c>
      <c r="H2135" s="16">
        <v>0</v>
      </c>
      <c r="I2135" s="16">
        <v>0</v>
      </c>
      <c r="J2135" s="3" t="s">
        <v>5011</v>
      </c>
      <c r="K2135" s="16">
        <v>0</v>
      </c>
      <c r="L2135" s="16">
        <v>0</v>
      </c>
      <c r="M2135" s="16">
        <v>0</v>
      </c>
    </row>
    <row r="2136" spans="1:13" x14ac:dyDescent="0.25">
      <c r="A2136" s="2">
        <f t="shared" si="67"/>
        <v>2131</v>
      </c>
      <c r="B2136" s="2">
        <v>157305</v>
      </c>
      <c r="C2136" s="2" t="s">
        <v>4642</v>
      </c>
      <c r="D2136" s="14" t="s">
        <v>2125</v>
      </c>
      <c r="E2136" s="14">
        <v>0.67248479999999999</v>
      </c>
      <c r="F2136" s="14">
        <v>0</v>
      </c>
      <c r="G2136" s="14">
        <v>0.67248479999999999</v>
      </c>
      <c r="H2136" s="16">
        <v>85.326697899999985</v>
      </c>
      <c r="I2136" s="16">
        <v>77.117979399999996</v>
      </c>
      <c r="J2136" s="3" t="s">
        <v>5011</v>
      </c>
      <c r="K2136" s="16">
        <v>1020.144483725</v>
      </c>
      <c r="L2136" s="16">
        <v>158.48953969999999</v>
      </c>
      <c r="M2136" s="16">
        <f t="shared" si="66"/>
        <v>1.8574437262970658</v>
      </c>
    </row>
    <row r="2137" spans="1:13" x14ac:dyDescent="0.25">
      <c r="A2137" s="2">
        <f t="shared" si="67"/>
        <v>2132</v>
      </c>
      <c r="B2137" s="2">
        <v>157327</v>
      </c>
      <c r="C2137" s="2" t="s">
        <v>4643</v>
      </c>
      <c r="D2137" s="14" t="s">
        <v>2126</v>
      </c>
      <c r="E2137" s="14">
        <v>0</v>
      </c>
      <c r="F2137" s="14">
        <v>0</v>
      </c>
      <c r="G2137" s="14">
        <v>0</v>
      </c>
      <c r="H2137" s="16">
        <v>0</v>
      </c>
      <c r="I2137" s="16">
        <v>0</v>
      </c>
      <c r="J2137" s="3" t="s">
        <v>5011</v>
      </c>
      <c r="K2137" s="16">
        <v>0</v>
      </c>
      <c r="L2137" s="16">
        <v>0</v>
      </c>
      <c r="M2137" s="16">
        <v>0</v>
      </c>
    </row>
    <row r="2138" spans="1:13" x14ac:dyDescent="0.25">
      <c r="A2138" s="2">
        <f t="shared" si="67"/>
        <v>2133</v>
      </c>
      <c r="B2138" s="2">
        <v>157375</v>
      </c>
      <c r="C2138" s="2" t="s">
        <v>4644</v>
      </c>
      <c r="D2138" s="14" t="s">
        <v>2127</v>
      </c>
      <c r="E2138" s="14">
        <v>0.18796580000000002</v>
      </c>
      <c r="F2138" s="14">
        <v>0</v>
      </c>
      <c r="G2138" s="14">
        <v>0.18796580000000002</v>
      </c>
      <c r="H2138" s="16">
        <v>98.604495799999995</v>
      </c>
      <c r="I2138" s="16">
        <v>65.30876640000001</v>
      </c>
      <c r="J2138" s="3" t="s">
        <v>5011</v>
      </c>
      <c r="K2138" s="16">
        <v>449.21895310130003</v>
      </c>
      <c r="L2138" s="16">
        <v>82.655118600000009</v>
      </c>
      <c r="M2138" s="16">
        <f t="shared" si="66"/>
        <v>0.83824898580334317</v>
      </c>
    </row>
    <row r="2139" spans="1:13" x14ac:dyDescent="0.25">
      <c r="A2139" s="2">
        <f t="shared" si="67"/>
        <v>2134</v>
      </c>
      <c r="B2139" s="2">
        <v>157801</v>
      </c>
      <c r="C2139" s="2" t="s">
        <v>4645</v>
      </c>
      <c r="D2139" s="14" t="s">
        <v>2128</v>
      </c>
      <c r="E2139" s="14">
        <v>0</v>
      </c>
      <c r="F2139" s="14">
        <v>0</v>
      </c>
      <c r="G2139" s="14">
        <v>0</v>
      </c>
      <c r="H2139" s="16">
        <v>0</v>
      </c>
      <c r="I2139" s="16">
        <v>0</v>
      </c>
      <c r="J2139" s="3" t="s">
        <v>5011</v>
      </c>
      <c r="K2139" s="16">
        <v>0</v>
      </c>
      <c r="L2139" s="16">
        <v>0</v>
      </c>
      <c r="M2139" s="16">
        <v>0</v>
      </c>
    </row>
    <row r="2140" spans="1:13" x14ac:dyDescent="0.25">
      <c r="A2140" s="2">
        <f t="shared" si="67"/>
        <v>2135</v>
      </c>
      <c r="B2140" s="2">
        <v>157924</v>
      </c>
      <c r="C2140" s="2" t="s">
        <v>4646</v>
      </c>
      <c r="D2140" s="14" t="s">
        <v>2129</v>
      </c>
      <c r="E2140" s="14">
        <v>0.35535</v>
      </c>
      <c r="F2140" s="14">
        <v>0</v>
      </c>
      <c r="G2140" s="14">
        <v>0.35535</v>
      </c>
      <c r="H2140" s="16">
        <v>244.79635160000001</v>
      </c>
      <c r="I2140" s="16">
        <v>177.2086688</v>
      </c>
      <c r="J2140" s="3" t="s">
        <v>5011</v>
      </c>
      <c r="K2140" s="16">
        <v>770.78610614709999</v>
      </c>
      <c r="L2140" s="16">
        <v>201.71924010000001</v>
      </c>
      <c r="M2140" s="16">
        <f t="shared" si="66"/>
        <v>0.82402878466755713</v>
      </c>
    </row>
    <row r="2141" spans="1:13" x14ac:dyDescent="0.25">
      <c r="A2141" s="2">
        <f t="shared" si="67"/>
        <v>2136</v>
      </c>
      <c r="B2141" s="2">
        <v>158138</v>
      </c>
      <c r="C2141" s="2" t="s">
        <v>4647</v>
      </c>
      <c r="D2141" s="14" t="s">
        <v>2130</v>
      </c>
      <c r="E2141" s="14">
        <v>0.24683140000000001</v>
      </c>
      <c r="F2141" s="14">
        <v>0</v>
      </c>
      <c r="G2141" s="14">
        <v>0.24683140000000001</v>
      </c>
      <c r="H2141" s="16">
        <v>135.73073490000002</v>
      </c>
      <c r="I2141" s="16">
        <v>93.372840699999998</v>
      </c>
      <c r="J2141" s="3" t="s">
        <v>5011</v>
      </c>
      <c r="K2141" s="16">
        <v>357.13778656619991</v>
      </c>
      <c r="L2141" s="16">
        <v>124.9179156</v>
      </c>
      <c r="M2141" s="16">
        <f t="shared" si="66"/>
        <v>0.92033625023863319</v>
      </c>
    </row>
    <row r="2142" spans="1:13" x14ac:dyDescent="0.25">
      <c r="A2142" s="2">
        <f t="shared" si="67"/>
        <v>2137</v>
      </c>
      <c r="B2142" s="2">
        <v>158164</v>
      </c>
      <c r="C2142" s="2" t="s">
        <v>4648</v>
      </c>
      <c r="D2142" s="14" t="s">
        <v>2131</v>
      </c>
      <c r="E2142" s="14">
        <v>0</v>
      </c>
      <c r="F2142" s="14">
        <v>0</v>
      </c>
      <c r="G2142" s="14">
        <v>0</v>
      </c>
      <c r="H2142" s="16">
        <v>0</v>
      </c>
      <c r="I2142" s="16">
        <v>0</v>
      </c>
      <c r="J2142" s="3" t="s">
        <v>5011</v>
      </c>
      <c r="K2142" s="16">
        <v>0</v>
      </c>
      <c r="L2142" s="16">
        <v>0</v>
      </c>
      <c r="M2142" s="16">
        <v>0</v>
      </c>
    </row>
    <row r="2143" spans="1:13" x14ac:dyDescent="0.25">
      <c r="A2143" s="2">
        <f t="shared" si="67"/>
        <v>2138</v>
      </c>
      <c r="B2143" s="2">
        <v>158340</v>
      </c>
      <c r="C2143" s="2" t="s">
        <v>4649</v>
      </c>
      <c r="D2143" s="14" t="s">
        <v>2132</v>
      </c>
      <c r="E2143" s="14">
        <v>0</v>
      </c>
      <c r="F2143" s="14">
        <v>0</v>
      </c>
      <c r="G2143" s="14">
        <v>0</v>
      </c>
      <c r="H2143" s="16">
        <v>0</v>
      </c>
      <c r="I2143" s="16">
        <v>0</v>
      </c>
      <c r="J2143" s="3" t="s">
        <v>5011</v>
      </c>
      <c r="K2143" s="16">
        <v>0</v>
      </c>
      <c r="L2143" s="16">
        <v>0</v>
      </c>
      <c r="M2143" s="16">
        <v>0</v>
      </c>
    </row>
    <row r="2144" spans="1:13" x14ac:dyDescent="0.25">
      <c r="A2144" s="2">
        <f t="shared" si="67"/>
        <v>2139</v>
      </c>
      <c r="B2144" s="2">
        <v>158405</v>
      </c>
      <c r="C2144" s="2" t="s">
        <v>4650</v>
      </c>
      <c r="D2144" s="14" t="s">
        <v>2133</v>
      </c>
      <c r="E2144" s="14">
        <v>7.2200224999999998</v>
      </c>
      <c r="F2144" s="14">
        <v>0</v>
      </c>
      <c r="G2144" s="14">
        <v>7.2200224999999998</v>
      </c>
      <c r="H2144" s="16">
        <v>415.20976830000001</v>
      </c>
      <c r="I2144" s="16">
        <v>303.56008449999996</v>
      </c>
      <c r="J2144" s="3" t="s">
        <v>5011</v>
      </c>
      <c r="K2144" s="16">
        <v>5235.0777758164995</v>
      </c>
      <c r="L2144" s="16">
        <v>724.90910059999999</v>
      </c>
      <c r="M2144" s="16">
        <f t="shared" si="66"/>
        <v>1.7458864312561984</v>
      </c>
    </row>
    <row r="2145" spans="1:13" x14ac:dyDescent="0.25">
      <c r="A2145" s="2">
        <f t="shared" si="67"/>
        <v>2140</v>
      </c>
      <c r="B2145" s="2">
        <v>158820</v>
      </c>
      <c r="C2145" s="2" t="s">
        <v>4651</v>
      </c>
      <c r="D2145" s="14" t="s">
        <v>2134</v>
      </c>
      <c r="E2145" s="14">
        <v>1.3458330000000003</v>
      </c>
      <c r="F2145" s="14">
        <v>0</v>
      </c>
      <c r="G2145" s="14">
        <v>1.3458330000000003</v>
      </c>
      <c r="H2145" s="16">
        <v>242.26000690000001</v>
      </c>
      <c r="I2145" s="16">
        <v>165.9013329</v>
      </c>
      <c r="J2145" s="3" t="s">
        <v>5011</v>
      </c>
      <c r="K2145" s="16">
        <v>1980.2172499261007</v>
      </c>
      <c r="L2145" s="16">
        <v>284.35001739999996</v>
      </c>
      <c r="M2145" s="16">
        <f t="shared" si="66"/>
        <v>1.1737389965376077</v>
      </c>
    </row>
    <row r="2146" spans="1:13" x14ac:dyDescent="0.25">
      <c r="A2146" s="2">
        <f t="shared" si="67"/>
        <v>2141</v>
      </c>
      <c r="B2146" s="2">
        <v>158866</v>
      </c>
      <c r="C2146" s="2" t="s">
        <v>4652</v>
      </c>
      <c r="D2146" s="14" t="s">
        <v>2135</v>
      </c>
      <c r="E2146" s="14">
        <v>0.21910750000000001</v>
      </c>
      <c r="F2146" s="14">
        <v>0</v>
      </c>
      <c r="G2146" s="14">
        <v>0.21910750000000001</v>
      </c>
      <c r="H2146" s="16">
        <v>112.5183284</v>
      </c>
      <c r="I2146" s="16">
        <v>87.054542599999991</v>
      </c>
      <c r="J2146" s="3" t="s">
        <v>5011</v>
      </c>
      <c r="K2146" s="16">
        <v>481.38269386859997</v>
      </c>
      <c r="L2146" s="16">
        <v>105.07147199999999</v>
      </c>
      <c r="M2146" s="16">
        <f t="shared" si="66"/>
        <v>0.93381650344531764</v>
      </c>
    </row>
    <row r="2147" spans="1:13" x14ac:dyDescent="0.25">
      <c r="A2147" s="2">
        <f t="shared" si="67"/>
        <v>2142</v>
      </c>
      <c r="B2147" s="2">
        <v>159165</v>
      </c>
      <c r="C2147" s="2" t="s">
        <v>4653</v>
      </c>
      <c r="D2147" s="14" t="s">
        <v>2136</v>
      </c>
      <c r="E2147" s="14">
        <v>0</v>
      </c>
      <c r="F2147" s="14">
        <v>0</v>
      </c>
      <c r="G2147" s="14">
        <v>0</v>
      </c>
      <c r="H2147" s="16">
        <v>0</v>
      </c>
      <c r="I2147" s="16">
        <v>0</v>
      </c>
      <c r="J2147" s="3" t="s">
        <v>5011</v>
      </c>
      <c r="K2147" s="16">
        <v>0</v>
      </c>
      <c r="L2147" s="16">
        <v>0</v>
      </c>
      <c r="M2147" s="16">
        <v>0</v>
      </c>
    </row>
    <row r="2148" spans="1:13" x14ac:dyDescent="0.25">
      <c r="A2148" s="2">
        <f t="shared" si="67"/>
        <v>2143</v>
      </c>
      <c r="B2148" s="2">
        <v>159316</v>
      </c>
      <c r="C2148" s="2" t="s">
        <v>4654</v>
      </c>
      <c r="D2148" s="14" t="s">
        <v>2137</v>
      </c>
      <c r="E2148" s="14">
        <v>4.7064668000000003</v>
      </c>
      <c r="F2148" s="14">
        <v>0</v>
      </c>
      <c r="G2148" s="14">
        <v>4.7064668000000003</v>
      </c>
      <c r="H2148" s="16">
        <v>388.30514799999997</v>
      </c>
      <c r="I2148" s="16">
        <v>-30.100073700000049</v>
      </c>
      <c r="J2148" s="3" t="s">
        <v>5011</v>
      </c>
      <c r="K2148" s="16">
        <v>6438.8775752822012</v>
      </c>
      <c r="L2148" s="16">
        <v>655.86893299999997</v>
      </c>
      <c r="M2148" s="16">
        <f t="shared" si="66"/>
        <v>1.6890554667588389</v>
      </c>
    </row>
    <row r="2149" spans="1:13" x14ac:dyDescent="0.25">
      <c r="A2149" s="2">
        <f t="shared" si="67"/>
        <v>2144</v>
      </c>
      <c r="B2149" s="2">
        <v>159388</v>
      </c>
      <c r="C2149" s="2" t="s">
        <v>4655</v>
      </c>
      <c r="D2149" s="14" t="s">
        <v>2138</v>
      </c>
      <c r="E2149" s="14">
        <v>2.9251354000000003</v>
      </c>
      <c r="F2149" s="14">
        <v>0</v>
      </c>
      <c r="G2149" s="14">
        <v>2.9251354000000003</v>
      </c>
      <c r="H2149" s="16">
        <v>110.0760568</v>
      </c>
      <c r="I2149" s="16">
        <v>102.5948767</v>
      </c>
      <c r="J2149" s="3" t="s">
        <v>5011</v>
      </c>
      <c r="K2149" s="16">
        <v>2529.8568807890001</v>
      </c>
      <c r="L2149" s="16">
        <v>316.0372845</v>
      </c>
      <c r="M2149" s="16">
        <f t="shared" si="66"/>
        <v>2.8710810841836043</v>
      </c>
    </row>
    <row r="2150" spans="1:13" x14ac:dyDescent="0.25">
      <c r="A2150" s="2">
        <f t="shared" si="67"/>
        <v>2145</v>
      </c>
      <c r="B2150" s="2">
        <v>159464</v>
      </c>
      <c r="C2150" s="2" t="s">
        <v>4656</v>
      </c>
      <c r="D2150" s="14" t="s">
        <v>2139</v>
      </c>
      <c r="E2150" s="14">
        <v>1.0323027000000002</v>
      </c>
      <c r="F2150" s="14">
        <v>0</v>
      </c>
      <c r="G2150" s="14">
        <v>1.0323027000000002</v>
      </c>
      <c r="H2150" s="16">
        <v>88.193726099999992</v>
      </c>
      <c r="I2150" s="16">
        <v>69.178942199999995</v>
      </c>
      <c r="J2150" s="3" t="s">
        <v>5011</v>
      </c>
      <c r="K2150" s="16">
        <v>1121.0436760234998</v>
      </c>
      <c r="L2150" s="16">
        <v>156.07675520000001</v>
      </c>
      <c r="M2150" s="16">
        <f t="shared" si="66"/>
        <v>1.7697036070687122</v>
      </c>
    </row>
    <row r="2151" spans="1:13" x14ac:dyDescent="0.25">
      <c r="A2151" s="2">
        <f t="shared" si="67"/>
        <v>2146</v>
      </c>
      <c r="B2151" s="2">
        <v>159576</v>
      </c>
      <c r="C2151" s="2" t="s">
        <v>4657</v>
      </c>
      <c r="D2151" s="14" t="s">
        <v>2140</v>
      </c>
      <c r="E2151" s="14">
        <v>10.0821375</v>
      </c>
      <c r="F2151" s="14">
        <v>0</v>
      </c>
      <c r="G2151" s="14">
        <v>10.0821375</v>
      </c>
      <c r="H2151" s="16">
        <v>1102.7988398</v>
      </c>
      <c r="I2151" s="16">
        <v>1002.2402243</v>
      </c>
      <c r="J2151" s="3" t="s">
        <v>5011</v>
      </c>
      <c r="K2151" s="16">
        <v>10381.653567586494</v>
      </c>
      <c r="L2151" s="16">
        <v>1696.8492162</v>
      </c>
      <c r="M2151" s="16">
        <f t="shared" si="66"/>
        <v>1.5386751916675347</v>
      </c>
    </row>
    <row r="2152" spans="1:13" x14ac:dyDescent="0.25">
      <c r="A2152" s="2">
        <f t="shared" si="67"/>
        <v>2147</v>
      </c>
      <c r="B2152" s="2">
        <v>159579</v>
      </c>
      <c r="C2152" s="2" t="s">
        <v>4658</v>
      </c>
      <c r="D2152" s="14" t="s">
        <v>2141</v>
      </c>
      <c r="E2152" s="14">
        <v>0</v>
      </c>
      <c r="F2152" s="14">
        <v>0</v>
      </c>
      <c r="G2152" s="14">
        <v>0</v>
      </c>
      <c r="H2152" s="16">
        <v>0</v>
      </c>
      <c r="I2152" s="16">
        <v>0</v>
      </c>
      <c r="J2152" s="3" t="s">
        <v>5011</v>
      </c>
      <c r="K2152" s="16">
        <v>0</v>
      </c>
      <c r="L2152" s="16">
        <v>0</v>
      </c>
      <c r="M2152" s="16">
        <v>0</v>
      </c>
    </row>
    <row r="2153" spans="1:13" x14ac:dyDescent="0.25">
      <c r="A2153" s="2">
        <f t="shared" si="67"/>
        <v>2148</v>
      </c>
      <c r="B2153" s="2">
        <v>159618</v>
      </c>
      <c r="C2153" s="2" t="s">
        <v>4659</v>
      </c>
      <c r="D2153" s="14" t="s">
        <v>2142</v>
      </c>
      <c r="E2153" s="14">
        <v>6.3924400000000006E-2</v>
      </c>
      <c r="F2153" s="14">
        <v>0</v>
      </c>
      <c r="G2153" s="14">
        <v>6.3924400000000006E-2</v>
      </c>
      <c r="H2153" s="16">
        <v>22.858857</v>
      </c>
      <c r="I2153" s="16">
        <v>22.858857</v>
      </c>
      <c r="J2153" s="3" t="s">
        <v>5011</v>
      </c>
      <c r="K2153" s="16">
        <v>93.045375211199996</v>
      </c>
      <c r="L2153" s="16">
        <v>27.011742400000003</v>
      </c>
      <c r="M2153" s="16">
        <f t="shared" si="66"/>
        <v>1.1816751117520881</v>
      </c>
    </row>
    <row r="2154" spans="1:13" x14ac:dyDescent="0.25">
      <c r="A2154" s="2">
        <f t="shared" si="67"/>
        <v>2149</v>
      </c>
      <c r="B2154" s="2">
        <v>159693</v>
      </c>
      <c r="C2154" s="2" t="s">
        <v>4660</v>
      </c>
      <c r="D2154" s="14" t="s">
        <v>2143</v>
      </c>
      <c r="E2154" s="14">
        <v>16.772159000000002</v>
      </c>
      <c r="F2154" s="14">
        <v>0</v>
      </c>
      <c r="G2154" s="14">
        <v>16.772159000000002</v>
      </c>
      <c r="H2154" s="16">
        <v>1215.3080823</v>
      </c>
      <c r="I2154" s="16">
        <v>883.09639249999998</v>
      </c>
      <c r="J2154" s="3" t="s">
        <v>5011</v>
      </c>
      <c r="K2154" s="16">
        <v>14891.451502932203</v>
      </c>
      <c r="L2154" s="16">
        <v>2175.0661237999998</v>
      </c>
      <c r="M2154" s="16">
        <f t="shared" si="66"/>
        <v>1.7897240670724697</v>
      </c>
    </row>
    <row r="2155" spans="1:13" x14ac:dyDescent="0.25">
      <c r="A2155" s="2">
        <f t="shared" si="67"/>
        <v>2150</v>
      </c>
      <c r="B2155" s="2">
        <v>159794</v>
      </c>
      <c r="C2155" s="2" t="s">
        <v>4661</v>
      </c>
      <c r="D2155" s="14" t="s">
        <v>2144</v>
      </c>
      <c r="E2155" s="14">
        <v>0.80100550000000004</v>
      </c>
      <c r="F2155" s="14">
        <v>0</v>
      </c>
      <c r="G2155" s="14">
        <v>0.80100550000000004</v>
      </c>
      <c r="H2155" s="16">
        <v>611.97552589999998</v>
      </c>
      <c r="I2155" s="16">
        <v>563.44537510000009</v>
      </c>
      <c r="J2155" s="3" t="s">
        <v>5011</v>
      </c>
      <c r="K2155" s="16">
        <v>1323.3452131674999</v>
      </c>
      <c r="L2155" s="16">
        <v>615.88528439999993</v>
      </c>
      <c r="M2155" s="16">
        <f t="shared" si="66"/>
        <v>1.0063887497694455</v>
      </c>
    </row>
    <row r="2156" spans="1:13" x14ac:dyDescent="0.25">
      <c r="A2156" s="2">
        <f t="shared" si="67"/>
        <v>2151</v>
      </c>
      <c r="B2156" s="2">
        <v>159887</v>
      </c>
      <c r="C2156" s="2" t="s">
        <v>4662</v>
      </c>
      <c r="D2156" s="14" t="s">
        <v>2145</v>
      </c>
      <c r="E2156" s="14">
        <v>0</v>
      </c>
      <c r="F2156" s="14">
        <v>0</v>
      </c>
      <c r="G2156" s="14">
        <v>0</v>
      </c>
      <c r="H2156" s="16">
        <v>0</v>
      </c>
      <c r="I2156" s="16">
        <v>0</v>
      </c>
      <c r="J2156" s="3" t="s">
        <v>5011</v>
      </c>
      <c r="K2156" s="16">
        <v>0</v>
      </c>
      <c r="L2156" s="16">
        <v>0</v>
      </c>
      <c r="M2156" s="16">
        <v>0</v>
      </c>
    </row>
    <row r="2157" spans="1:13" x14ac:dyDescent="0.25">
      <c r="A2157" s="2">
        <f t="shared" si="67"/>
        <v>2152</v>
      </c>
      <c r="B2157" s="2">
        <v>159953</v>
      </c>
      <c r="C2157" s="2" t="s">
        <v>4663</v>
      </c>
      <c r="D2157" s="14" t="s">
        <v>2146</v>
      </c>
      <c r="E2157" s="14">
        <v>54.934244200000002</v>
      </c>
      <c r="F2157" s="14">
        <v>0</v>
      </c>
      <c r="G2157" s="14">
        <v>54.934244200000002</v>
      </c>
      <c r="H2157" s="16">
        <v>4317.2946905999997</v>
      </c>
      <c r="I2157" s="16">
        <v>2651.4667706999999</v>
      </c>
      <c r="J2157" s="3" t="s">
        <v>5011</v>
      </c>
      <c r="K2157" s="16">
        <v>54439.751302921424</v>
      </c>
      <c r="L2157" s="16">
        <v>7363.0342185</v>
      </c>
      <c r="M2157" s="16">
        <f t="shared" si="66"/>
        <v>1.7054740864762965</v>
      </c>
    </row>
    <row r="2158" spans="1:13" x14ac:dyDescent="0.25">
      <c r="A2158" s="2">
        <f t="shared" si="67"/>
        <v>2153</v>
      </c>
      <c r="B2158" s="2">
        <v>159954</v>
      </c>
      <c r="C2158" s="2" t="s">
        <v>4664</v>
      </c>
      <c r="D2158" s="14" t="s">
        <v>2147</v>
      </c>
      <c r="E2158" s="14">
        <v>0</v>
      </c>
      <c r="F2158" s="14">
        <v>0</v>
      </c>
      <c r="G2158" s="14">
        <v>0</v>
      </c>
      <c r="H2158" s="16">
        <v>0</v>
      </c>
      <c r="I2158" s="16">
        <v>0</v>
      </c>
      <c r="J2158" s="3" t="s">
        <v>5011</v>
      </c>
      <c r="K2158" s="16">
        <v>0</v>
      </c>
      <c r="L2158" s="16">
        <v>0</v>
      </c>
      <c r="M2158" s="16">
        <v>0</v>
      </c>
    </row>
    <row r="2159" spans="1:13" x14ac:dyDescent="0.25">
      <c r="A2159" s="2">
        <f t="shared" si="67"/>
        <v>2154</v>
      </c>
      <c r="B2159" s="2">
        <v>159957</v>
      </c>
      <c r="C2159" s="2" t="s">
        <v>4665</v>
      </c>
      <c r="D2159" s="14" t="s">
        <v>2148</v>
      </c>
      <c r="E2159" s="14">
        <v>4.3968967999999995</v>
      </c>
      <c r="F2159" s="14">
        <v>0</v>
      </c>
      <c r="G2159" s="14">
        <v>4.3968967999999995</v>
      </c>
      <c r="H2159" s="16">
        <v>395.15503700000005</v>
      </c>
      <c r="I2159" s="16">
        <v>192.46672790000002</v>
      </c>
      <c r="J2159" s="3" t="s">
        <v>5011</v>
      </c>
      <c r="K2159" s="16">
        <v>4514.8385354603997</v>
      </c>
      <c r="L2159" s="16">
        <v>539.81889649999994</v>
      </c>
      <c r="M2159" s="16">
        <f t="shared" si="66"/>
        <v>1.3660939275841746</v>
      </c>
    </row>
    <row r="2160" spans="1:13" x14ac:dyDescent="0.25">
      <c r="A2160" s="2">
        <f t="shared" si="67"/>
        <v>2155</v>
      </c>
      <c r="B2160" s="2">
        <v>159986</v>
      </c>
      <c r="C2160" s="2" t="s">
        <v>4666</v>
      </c>
      <c r="D2160" s="14" t="s">
        <v>2149</v>
      </c>
      <c r="E2160" s="14">
        <v>3.3638700000000001E-2</v>
      </c>
      <c r="F2160" s="14">
        <v>0</v>
      </c>
      <c r="G2160" s="14">
        <v>3.3638700000000001E-2</v>
      </c>
      <c r="H2160" s="16">
        <v>30.448479700000004</v>
      </c>
      <c r="I2160" s="16">
        <v>28.482974700000003</v>
      </c>
      <c r="J2160" s="3" t="s">
        <v>5011</v>
      </c>
      <c r="K2160" s="16">
        <v>181.76882281050001</v>
      </c>
      <c r="L2160" s="16">
        <v>41.221512300000001</v>
      </c>
      <c r="M2160" s="16">
        <f t="shared" si="66"/>
        <v>1.3538118390850231</v>
      </c>
    </row>
    <row r="2161" spans="1:13" x14ac:dyDescent="0.25">
      <c r="A2161" s="2">
        <f t="shared" si="67"/>
        <v>2156</v>
      </c>
      <c r="B2161" s="2">
        <v>160239</v>
      </c>
      <c r="C2161" s="2" t="s">
        <v>4667</v>
      </c>
      <c r="D2161" s="14" t="s">
        <v>2150</v>
      </c>
      <c r="E2161" s="14">
        <v>1.1687236999999997</v>
      </c>
      <c r="F2161" s="14">
        <v>0</v>
      </c>
      <c r="G2161" s="14">
        <v>1.1687236999999997</v>
      </c>
      <c r="H2161" s="16">
        <v>0</v>
      </c>
      <c r="I2161" s="16">
        <v>0</v>
      </c>
      <c r="J2161" s="3" t="s">
        <v>5011</v>
      </c>
      <c r="K2161" s="16">
        <v>1447.7155294877002</v>
      </c>
      <c r="L2161" s="16">
        <v>144.61281349999999</v>
      </c>
      <c r="M2161" s="16">
        <v>0</v>
      </c>
    </row>
    <row r="2162" spans="1:13" x14ac:dyDescent="0.25">
      <c r="A2162" s="2">
        <f t="shared" si="67"/>
        <v>2157</v>
      </c>
      <c r="B2162" s="2">
        <v>160596</v>
      </c>
      <c r="C2162" s="2" t="s">
        <v>4668</v>
      </c>
      <c r="D2162" s="14" t="s">
        <v>2151</v>
      </c>
      <c r="E2162" s="14">
        <v>0</v>
      </c>
      <c r="F2162" s="14">
        <v>0</v>
      </c>
      <c r="G2162" s="14">
        <v>0</v>
      </c>
      <c r="H2162" s="16">
        <v>0</v>
      </c>
      <c r="I2162" s="16">
        <v>0</v>
      </c>
      <c r="J2162" s="3" t="s">
        <v>5011</v>
      </c>
      <c r="K2162" s="16">
        <v>0</v>
      </c>
      <c r="L2162" s="16">
        <v>0</v>
      </c>
      <c r="M2162" s="16">
        <v>0</v>
      </c>
    </row>
    <row r="2163" spans="1:13" x14ac:dyDescent="0.25">
      <c r="A2163" s="2">
        <f t="shared" si="67"/>
        <v>2158</v>
      </c>
      <c r="B2163" s="2">
        <v>160597</v>
      </c>
      <c r="C2163" s="2" t="s">
        <v>4669</v>
      </c>
      <c r="D2163" s="14" t="s">
        <v>2152</v>
      </c>
      <c r="E2163" s="14">
        <v>2.1580000000000002E-3</v>
      </c>
      <c r="F2163" s="14">
        <v>0</v>
      </c>
      <c r="G2163" s="14">
        <v>2.1580000000000002E-3</v>
      </c>
      <c r="H2163" s="16">
        <v>0.39998059999999996</v>
      </c>
      <c r="I2163" s="16">
        <v>0.39998059999999996</v>
      </c>
      <c r="J2163" s="3" t="s">
        <v>5011</v>
      </c>
      <c r="K2163" s="16">
        <v>3.7513248150999998</v>
      </c>
      <c r="L2163" s="16">
        <v>0.71934979999999993</v>
      </c>
      <c r="M2163" s="16">
        <f t="shared" si="66"/>
        <v>1.7984617253936817</v>
      </c>
    </row>
    <row r="2164" spans="1:13" x14ac:dyDescent="0.25">
      <c r="A2164" s="2">
        <f t="shared" si="67"/>
        <v>2159</v>
      </c>
      <c r="B2164" s="2">
        <v>160715</v>
      </c>
      <c r="C2164" s="2" t="s">
        <v>4670</v>
      </c>
      <c r="D2164" s="14" t="s">
        <v>2153</v>
      </c>
      <c r="E2164" s="14">
        <v>0</v>
      </c>
      <c r="F2164" s="14">
        <v>0</v>
      </c>
      <c r="G2164" s="14">
        <v>0</v>
      </c>
      <c r="H2164" s="16">
        <v>9.9995000000000001E-2</v>
      </c>
      <c r="I2164" s="16">
        <v>9.9995000000000001E-2</v>
      </c>
      <c r="J2164" s="3" t="s">
        <v>5011</v>
      </c>
      <c r="K2164" s="16">
        <v>6.3783061299999999E-2</v>
      </c>
      <c r="L2164" s="16">
        <v>0.10595930000000001</v>
      </c>
      <c r="M2164" s="16">
        <f t="shared" si="66"/>
        <v>1.0596459822991151</v>
      </c>
    </row>
    <row r="2165" spans="1:13" x14ac:dyDescent="0.25">
      <c r="A2165" s="2">
        <f t="shared" si="67"/>
        <v>2160</v>
      </c>
      <c r="B2165" s="2">
        <v>161121</v>
      </c>
      <c r="C2165" s="2" t="s">
        <v>4671</v>
      </c>
      <c r="D2165" s="14" t="s">
        <v>2154</v>
      </c>
      <c r="E2165" s="14">
        <v>13.327469199999999</v>
      </c>
      <c r="F2165" s="14">
        <v>0</v>
      </c>
      <c r="G2165" s="14">
        <v>13.327469199999999</v>
      </c>
      <c r="H2165" s="16">
        <v>1307.0757851999999</v>
      </c>
      <c r="I2165" s="16">
        <v>778.01279959999988</v>
      </c>
      <c r="J2165" s="3" t="s">
        <v>5011</v>
      </c>
      <c r="K2165" s="16">
        <v>14143.835598394999</v>
      </c>
      <c r="L2165" s="16">
        <v>1904.3915790000001</v>
      </c>
      <c r="M2165" s="16">
        <f t="shared" si="66"/>
        <v>1.4569863511843753</v>
      </c>
    </row>
    <row r="2166" spans="1:13" x14ac:dyDescent="0.25">
      <c r="A2166" s="2">
        <f t="shared" si="67"/>
        <v>2161</v>
      </c>
      <c r="B2166" s="2">
        <v>161147</v>
      </c>
      <c r="C2166" s="2" t="s">
        <v>4672</v>
      </c>
      <c r="D2166" s="14" t="s">
        <v>2155</v>
      </c>
      <c r="E2166" s="14">
        <v>0</v>
      </c>
      <c r="F2166" s="14">
        <v>0</v>
      </c>
      <c r="G2166" s="14">
        <v>0</v>
      </c>
      <c r="H2166" s="16">
        <v>0</v>
      </c>
      <c r="I2166" s="16">
        <v>0</v>
      </c>
      <c r="J2166" s="3" t="s">
        <v>5011</v>
      </c>
      <c r="K2166" s="16">
        <v>0</v>
      </c>
      <c r="L2166" s="16">
        <v>0</v>
      </c>
      <c r="M2166" s="16">
        <v>0</v>
      </c>
    </row>
    <row r="2167" spans="1:13" x14ac:dyDescent="0.25">
      <c r="A2167" s="2">
        <f t="shared" si="67"/>
        <v>2162</v>
      </c>
      <c r="B2167" s="2">
        <v>161706</v>
      </c>
      <c r="C2167" s="2" t="s">
        <v>4673</v>
      </c>
      <c r="D2167" s="14" t="s">
        <v>2156</v>
      </c>
      <c r="E2167" s="14">
        <v>20.623675299999999</v>
      </c>
      <c r="F2167" s="14">
        <v>0</v>
      </c>
      <c r="G2167" s="14">
        <v>20.623675299999999</v>
      </c>
      <c r="H2167" s="16">
        <v>1522.9912675</v>
      </c>
      <c r="I2167" s="16">
        <v>1201.3866888</v>
      </c>
      <c r="J2167" s="3" t="s">
        <v>5011</v>
      </c>
      <c r="K2167" s="16">
        <v>19754.454676173205</v>
      </c>
      <c r="L2167" s="16">
        <v>2773.3106319999997</v>
      </c>
      <c r="M2167" s="16">
        <f t="shared" si="66"/>
        <v>1.820962924201402</v>
      </c>
    </row>
    <row r="2168" spans="1:13" x14ac:dyDescent="0.25">
      <c r="A2168" s="2">
        <f t="shared" si="67"/>
        <v>2163</v>
      </c>
      <c r="B2168" s="2">
        <v>161746</v>
      </c>
      <c r="C2168" s="2" t="s">
        <v>4674</v>
      </c>
      <c r="D2168" s="14" t="s">
        <v>2157</v>
      </c>
      <c r="E2168" s="14">
        <v>0</v>
      </c>
      <c r="F2168" s="14">
        <v>0</v>
      </c>
      <c r="G2168" s="14">
        <v>0</v>
      </c>
      <c r="H2168" s="16">
        <v>0</v>
      </c>
      <c r="I2168" s="16">
        <v>0</v>
      </c>
      <c r="J2168" s="3" t="s">
        <v>5011</v>
      </c>
      <c r="K2168" s="16">
        <v>0</v>
      </c>
      <c r="L2168" s="16">
        <v>0</v>
      </c>
      <c r="M2168" s="16">
        <v>0</v>
      </c>
    </row>
    <row r="2169" spans="1:13" x14ac:dyDescent="0.25">
      <c r="A2169" s="2">
        <f t="shared" si="67"/>
        <v>2164</v>
      </c>
      <c r="B2169" s="2">
        <v>161802</v>
      </c>
      <c r="C2169" s="2" t="s">
        <v>4675</v>
      </c>
      <c r="D2169" s="14" t="s">
        <v>2158</v>
      </c>
      <c r="E2169" s="14">
        <v>2.2054830000000001</v>
      </c>
      <c r="F2169" s="14">
        <v>0</v>
      </c>
      <c r="G2169" s="14">
        <v>2.2054830000000001</v>
      </c>
      <c r="H2169" s="16">
        <v>279.80245339999999</v>
      </c>
      <c r="I2169" s="16">
        <v>215.2596988</v>
      </c>
      <c r="J2169" s="3" t="s">
        <v>5011</v>
      </c>
      <c r="K2169" s="16">
        <v>2443.9812227356997</v>
      </c>
      <c r="L2169" s="16">
        <v>397.7821022</v>
      </c>
      <c r="M2169" s="16">
        <f t="shared" si="66"/>
        <v>1.42165337496644</v>
      </c>
    </row>
    <row r="2170" spans="1:13" x14ac:dyDescent="0.25">
      <c r="A2170" s="2">
        <f t="shared" si="67"/>
        <v>2165</v>
      </c>
      <c r="B2170" s="2">
        <v>161878</v>
      </c>
      <c r="C2170" s="2" t="s">
        <v>4676</v>
      </c>
      <c r="D2170" s="14" t="s">
        <v>2159</v>
      </c>
      <c r="E2170" s="14">
        <v>0</v>
      </c>
      <c r="F2170" s="14">
        <v>0</v>
      </c>
      <c r="G2170" s="14">
        <v>0</v>
      </c>
      <c r="H2170" s="16">
        <v>0</v>
      </c>
      <c r="I2170" s="16">
        <v>0</v>
      </c>
      <c r="J2170" s="3" t="s">
        <v>5011</v>
      </c>
      <c r="K2170" s="16">
        <v>0</v>
      </c>
      <c r="L2170" s="16">
        <v>0</v>
      </c>
      <c r="M2170" s="16">
        <v>0</v>
      </c>
    </row>
    <row r="2171" spans="1:13" x14ac:dyDescent="0.25">
      <c r="A2171" s="2">
        <f t="shared" si="67"/>
        <v>2166</v>
      </c>
      <c r="B2171" s="2">
        <v>161995</v>
      </c>
      <c r="C2171" s="2" t="s">
        <v>4677</v>
      </c>
      <c r="D2171" s="14" t="s">
        <v>2160</v>
      </c>
      <c r="E2171" s="14">
        <v>0.23522379999999998</v>
      </c>
      <c r="F2171" s="14">
        <v>0</v>
      </c>
      <c r="G2171" s="14">
        <v>0.23522379999999998</v>
      </c>
      <c r="H2171" s="16">
        <v>78.711064699999994</v>
      </c>
      <c r="I2171" s="16">
        <v>60.973823299999999</v>
      </c>
      <c r="J2171" s="3" t="s">
        <v>5011</v>
      </c>
      <c r="K2171" s="16">
        <v>422.30554611309992</v>
      </c>
      <c r="L2171" s="16">
        <v>92.680811800000001</v>
      </c>
      <c r="M2171" s="16">
        <f t="shared" si="66"/>
        <v>1.1774813636843107</v>
      </c>
    </row>
    <row r="2172" spans="1:13" x14ac:dyDescent="0.25">
      <c r="A2172" s="2">
        <f t="shared" si="67"/>
        <v>2167</v>
      </c>
      <c r="B2172" s="2">
        <v>162172</v>
      </c>
      <c r="C2172" s="2" t="s">
        <v>4678</v>
      </c>
      <c r="D2172" s="14" t="s">
        <v>2161</v>
      </c>
      <c r="E2172" s="14">
        <v>0</v>
      </c>
      <c r="F2172" s="14">
        <v>0</v>
      </c>
      <c r="G2172" s="14">
        <v>0</v>
      </c>
      <c r="H2172" s="16">
        <v>0</v>
      </c>
      <c r="I2172" s="16">
        <v>0</v>
      </c>
      <c r="J2172" s="3" t="s">
        <v>5011</v>
      </c>
      <c r="K2172" s="16">
        <v>0</v>
      </c>
      <c r="L2172" s="16">
        <v>0</v>
      </c>
      <c r="M2172" s="16">
        <v>0</v>
      </c>
    </row>
    <row r="2173" spans="1:13" x14ac:dyDescent="0.25">
      <c r="A2173" s="2">
        <f t="shared" si="67"/>
        <v>2168</v>
      </c>
      <c r="B2173" s="2">
        <v>162265</v>
      </c>
      <c r="C2173" s="2" t="s">
        <v>4679</v>
      </c>
      <c r="D2173" s="14" t="s">
        <v>2162</v>
      </c>
      <c r="E2173" s="14">
        <v>0.1806102</v>
      </c>
      <c r="F2173" s="14">
        <v>0</v>
      </c>
      <c r="G2173" s="14">
        <v>0.1806102</v>
      </c>
      <c r="H2173" s="16">
        <v>144.9977572</v>
      </c>
      <c r="I2173" s="16">
        <v>106.1277321</v>
      </c>
      <c r="J2173" s="3" t="s">
        <v>5011</v>
      </c>
      <c r="K2173" s="16">
        <v>400.30194028469998</v>
      </c>
      <c r="L2173" s="16">
        <v>115.3785774</v>
      </c>
      <c r="M2173" s="16">
        <f t="shared" si="66"/>
        <v>0.79572663486687367</v>
      </c>
    </row>
    <row r="2174" spans="1:13" x14ac:dyDescent="0.25">
      <c r="A2174" s="2">
        <f t="shared" si="67"/>
        <v>2169</v>
      </c>
      <c r="B2174" s="2">
        <v>162472</v>
      </c>
      <c r="C2174" s="2" t="s">
        <v>4680</v>
      </c>
      <c r="D2174" s="14" t="s">
        <v>2163</v>
      </c>
      <c r="E2174" s="14">
        <v>0.52782839999999998</v>
      </c>
      <c r="F2174" s="14">
        <v>0</v>
      </c>
      <c r="G2174" s="14">
        <v>0.52782839999999998</v>
      </c>
      <c r="H2174" s="16">
        <v>112.52976</v>
      </c>
      <c r="I2174" s="16">
        <v>109.2146757</v>
      </c>
      <c r="J2174" s="3" t="s">
        <v>5011</v>
      </c>
      <c r="K2174" s="16">
        <v>607.34410049309986</v>
      </c>
      <c r="L2174" s="16">
        <v>159.046638</v>
      </c>
      <c r="M2174" s="16">
        <f t="shared" si="66"/>
        <v>1.41337400879554</v>
      </c>
    </row>
    <row r="2175" spans="1:13" x14ac:dyDescent="0.25">
      <c r="A2175" s="2">
        <f t="shared" si="67"/>
        <v>2170</v>
      </c>
      <c r="B2175" s="2">
        <v>162514</v>
      </c>
      <c r="C2175" s="2" t="s">
        <v>4681</v>
      </c>
      <c r="D2175" s="14" t="s">
        <v>2164</v>
      </c>
      <c r="E2175" s="14">
        <v>11.850970799999999</v>
      </c>
      <c r="F2175" s="14">
        <v>0</v>
      </c>
      <c r="G2175" s="14">
        <v>11.850970799999999</v>
      </c>
      <c r="H2175" s="16">
        <v>877.08099400000003</v>
      </c>
      <c r="I2175" s="16">
        <v>375.02082340000004</v>
      </c>
      <c r="J2175" s="3" t="s">
        <v>5011</v>
      </c>
      <c r="K2175" s="16">
        <v>11889.689956095104</v>
      </c>
      <c r="L2175" s="16">
        <v>1489.4587937000001</v>
      </c>
      <c r="M2175" s="16">
        <f t="shared" si="66"/>
        <v>1.6981998286238089</v>
      </c>
    </row>
    <row r="2176" spans="1:13" x14ac:dyDescent="0.25">
      <c r="A2176" s="2">
        <f t="shared" si="67"/>
        <v>2171</v>
      </c>
      <c r="B2176" s="2">
        <v>162635</v>
      </c>
      <c r="C2176" s="2" t="s">
        <v>4682</v>
      </c>
      <c r="D2176" s="14" t="s">
        <v>2165</v>
      </c>
      <c r="E2176" s="14">
        <v>2.7000000000000002E-5</v>
      </c>
      <c r="F2176" s="14">
        <v>0</v>
      </c>
      <c r="G2176" s="14">
        <v>2.7000000000000002E-5</v>
      </c>
      <c r="H2176" s="16">
        <v>8.9995499999999992E-2</v>
      </c>
      <c r="I2176" s="16">
        <v>8.9995499999999992E-2</v>
      </c>
      <c r="J2176" s="3" t="s">
        <v>5011</v>
      </c>
      <c r="K2176" s="16">
        <v>0.1191115177</v>
      </c>
      <c r="L2176" s="16">
        <v>8.9719400000000005E-2</v>
      </c>
      <c r="M2176" s="16">
        <f t="shared" si="66"/>
        <v>0.99693206882566365</v>
      </c>
    </row>
    <row r="2177" spans="1:13" x14ac:dyDescent="0.25">
      <c r="A2177" s="2">
        <f t="shared" si="67"/>
        <v>2172</v>
      </c>
      <c r="B2177" s="2">
        <v>162985</v>
      </c>
      <c r="C2177" s="2" t="s">
        <v>4683</v>
      </c>
      <c r="D2177" s="14" t="s">
        <v>2166</v>
      </c>
      <c r="E2177" s="14">
        <v>0</v>
      </c>
      <c r="F2177" s="14">
        <v>0</v>
      </c>
      <c r="G2177" s="14">
        <v>0</v>
      </c>
      <c r="H2177" s="16">
        <v>0</v>
      </c>
      <c r="I2177" s="16">
        <v>0</v>
      </c>
      <c r="J2177" s="3" t="s">
        <v>5011</v>
      </c>
      <c r="K2177" s="16">
        <v>7.3293892125000006</v>
      </c>
      <c r="L2177" s="16">
        <v>0.72074589999999994</v>
      </c>
      <c r="M2177" s="16">
        <v>0</v>
      </c>
    </row>
    <row r="2178" spans="1:13" x14ac:dyDescent="0.25">
      <c r="A2178" s="2">
        <f t="shared" si="67"/>
        <v>2173</v>
      </c>
      <c r="B2178" s="2">
        <v>162993</v>
      </c>
      <c r="C2178" s="2" t="s">
        <v>4684</v>
      </c>
      <c r="D2178" s="14" t="s">
        <v>2167</v>
      </c>
      <c r="E2178" s="14">
        <v>0</v>
      </c>
      <c r="F2178" s="14">
        <v>0</v>
      </c>
      <c r="G2178" s="14">
        <v>0</v>
      </c>
      <c r="H2178" s="16">
        <v>0</v>
      </c>
      <c r="I2178" s="16">
        <v>0</v>
      </c>
      <c r="J2178" s="3" t="s">
        <v>5011</v>
      </c>
      <c r="K2178" s="16">
        <v>0</v>
      </c>
      <c r="L2178" s="16">
        <v>0</v>
      </c>
      <c r="M2178" s="16">
        <v>0</v>
      </c>
    </row>
    <row r="2179" spans="1:13" x14ac:dyDescent="0.25">
      <c r="A2179" s="2">
        <f t="shared" si="67"/>
        <v>2174</v>
      </c>
      <c r="B2179" s="2">
        <v>163403</v>
      </c>
      <c r="C2179" s="2" t="s">
        <v>4685</v>
      </c>
      <c r="D2179" s="14" t="s">
        <v>2168</v>
      </c>
      <c r="E2179" s="14">
        <v>1.8852400000000002E-2</v>
      </c>
      <c r="F2179" s="14">
        <v>0</v>
      </c>
      <c r="G2179" s="14">
        <v>1.8852400000000002E-2</v>
      </c>
      <c r="H2179" s="16">
        <v>444.69276880000001</v>
      </c>
      <c r="I2179" s="16">
        <v>366.27631580000008</v>
      </c>
      <c r="J2179" s="3" t="s">
        <v>5011</v>
      </c>
      <c r="K2179" s="16">
        <v>439.1923042576999</v>
      </c>
      <c r="L2179" s="16">
        <v>365.80610289999998</v>
      </c>
      <c r="M2179" s="16">
        <f t="shared" si="66"/>
        <v>0.82260411809061995</v>
      </c>
    </row>
    <row r="2180" spans="1:13" x14ac:dyDescent="0.25">
      <c r="A2180" s="2">
        <f t="shared" si="67"/>
        <v>2175</v>
      </c>
      <c r="B2180" s="2">
        <v>163497</v>
      </c>
      <c r="C2180" s="2" t="s">
        <v>4686</v>
      </c>
      <c r="D2180" s="14" t="s">
        <v>2169</v>
      </c>
      <c r="E2180" s="14">
        <v>11.2385073</v>
      </c>
      <c r="F2180" s="14">
        <v>0</v>
      </c>
      <c r="G2180" s="14">
        <v>11.2385073</v>
      </c>
      <c r="H2180" s="16">
        <v>739.16871500000002</v>
      </c>
      <c r="I2180" s="16">
        <v>546.44988079999996</v>
      </c>
      <c r="J2180" s="3" t="s">
        <v>5011</v>
      </c>
      <c r="K2180" s="16">
        <v>8102.4929317962014</v>
      </c>
      <c r="L2180" s="16">
        <v>1167.5781072</v>
      </c>
      <c r="M2180" s="16">
        <f t="shared" si="66"/>
        <v>1.5795826899952061</v>
      </c>
    </row>
    <row r="2181" spans="1:13" x14ac:dyDescent="0.25">
      <c r="A2181" s="2">
        <f t="shared" si="67"/>
        <v>2176</v>
      </c>
      <c r="B2181" s="2">
        <v>163501</v>
      </c>
      <c r="C2181" s="2" t="s">
        <v>4687</v>
      </c>
      <c r="D2181" s="14" t="s">
        <v>2170</v>
      </c>
      <c r="E2181" s="14">
        <v>4.4055361999999993</v>
      </c>
      <c r="F2181" s="14">
        <v>0</v>
      </c>
      <c r="G2181" s="14">
        <v>4.4055361999999993</v>
      </c>
      <c r="H2181" s="16">
        <v>560.3922718</v>
      </c>
      <c r="I2181" s="16">
        <v>446.79510879999998</v>
      </c>
      <c r="J2181" s="3" t="s">
        <v>5011</v>
      </c>
      <c r="K2181" s="16">
        <v>4304.0010499365999</v>
      </c>
      <c r="L2181" s="16">
        <v>725.69639359999996</v>
      </c>
      <c r="M2181" s="16">
        <f t="shared" si="66"/>
        <v>1.2949793031032302</v>
      </c>
    </row>
    <row r="2182" spans="1:13" x14ac:dyDescent="0.25">
      <c r="A2182" s="2">
        <f t="shared" si="67"/>
        <v>2177</v>
      </c>
      <c r="B2182" s="2">
        <v>163615</v>
      </c>
      <c r="C2182" s="2" t="s">
        <v>4688</v>
      </c>
      <c r="D2182" s="14" t="s">
        <v>2171</v>
      </c>
      <c r="E2182" s="14">
        <v>6.8541381000000001</v>
      </c>
      <c r="F2182" s="14">
        <v>0</v>
      </c>
      <c r="G2182" s="14">
        <v>6.8541381000000001</v>
      </c>
      <c r="H2182" s="16">
        <v>353.51922439999998</v>
      </c>
      <c r="I2182" s="16">
        <v>269.27910769999994</v>
      </c>
      <c r="J2182" s="3" t="s">
        <v>5011</v>
      </c>
      <c r="K2182" s="16">
        <v>6505.8089470084014</v>
      </c>
      <c r="L2182" s="16">
        <v>847.56640170000003</v>
      </c>
      <c r="M2182" s="16">
        <f t="shared" si="66"/>
        <v>2.3975114879212209</v>
      </c>
    </row>
    <row r="2183" spans="1:13" x14ac:dyDescent="0.25">
      <c r="A2183" s="2">
        <f t="shared" si="67"/>
        <v>2178</v>
      </c>
      <c r="B2183" s="2">
        <v>163753</v>
      </c>
      <c r="C2183" s="2" t="s">
        <v>4689</v>
      </c>
      <c r="D2183" s="14" t="s">
        <v>2172</v>
      </c>
      <c r="E2183" s="14">
        <v>6.179114199999999</v>
      </c>
      <c r="F2183" s="14">
        <v>0</v>
      </c>
      <c r="G2183" s="14">
        <v>6.179114199999999</v>
      </c>
      <c r="H2183" s="16">
        <v>58.832938499999997</v>
      </c>
      <c r="I2183" s="16">
        <v>-28.675861899999994</v>
      </c>
      <c r="J2183" s="3" t="s">
        <v>5011</v>
      </c>
      <c r="K2183" s="16">
        <v>4801.4961329440994</v>
      </c>
      <c r="L2183" s="16">
        <v>465.91699299999999</v>
      </c>
      <c r="M2183" s="16">
        <f t="shared" ref="M2183:M2246" si="68">L2183/H2183</f>
        <v>7.9193221497851924</v>
      </c>
    </row>
    <row r="2184" spans="1:13" x14ac:dyDescent="0.25">
      <c r="A2184" s="2">
        <f t="shared" ref="A2184:A2247" si="69">A2183+1</f>
        <v>2179</v>
      </c>
      <c r="B2184" s="2">
        <v>163765</v>
      </c>
      <c r="C2184" s="2" t="s">
        <v>4690</v>
      </c>
      <c r="D2184" s="14" t="s">
        <v>2173</v>
      </c>
      <c r="E2184" s="14">
        <v>28.5728291</v>
      </c>
      <c r="F2184" s="14">
        <v>0</v>
      </c>
      <c r="G2184" s="14">
        <v>28.5728291</v>
      </c>
      <c r="H2184" s="16">
        <v>248.6723959</v>
      </c>
      <c r="I2184" s="16">
        <v>222.79869190000002</v>
      </c>
      <c r="J2184" s="3" t="s">
        <v>5011</v>
      </c>
      <c r="K2184" s="16">
        <v>17712.203212967601</v>
      </c>
      <c r="L2184" s="16">
        <v>1960.0878843</v>
      </c>
      <c r="M2184" s="16">
        <f t="shared" si="68"/>
        <v>7.8822093510058151</v>
      </c>
    </row>
    <row r="2185" spans="1:13" x14ac:dyDescent="0.25">
      <c r="A2185" s="2">
        <f t="shared" si="69"/>
        <v>2180</v>
      </c>
      <c r="B2185" s="2">
        <v>164029</v>
      </c>
      <c r="C2185" s="2" t="s">
        <v>4691</v>
      </c>
      <c r="D2185" s="14" t="s">
        <v>2174</v>
      </c>
      <c r="E2185" s="14">
        <v>2.3407283000000003</v>
      </c>
      <c r="F2185" s="14">
        <v>0</v>
      </c>
      <c r="G2185" s="14">
        <v>2.3407283000000003</v>
      </c>
      <c r="H2185" s="16">
        <v>616.41759420000005</v>
      </c>
      <c r="I2185" s="16">
        <v>495.63744120000007</v>
      </c>
      <c r="J2185" s="3" t="s">
        <v>5011</v>
      </c>
      <c r="K2185" s="16">
        <v>3214.7015364297004</v>
      </c>
      <c r="L2185" s="16">
        <v>609.97359659999995</v>
      </c>
      <c r="M2185" s="16">
        <f t="shared" si="68"/>
        <v>0.98954605179892174</v>
      </c>
    </row>
    <row r="2186" spans="1:13" x14ac:dyDescent="0.25">
      <c r="A2186" s="2">
        <f t="shared" si="69"/>
        <v>2181</v>
      </c>
      <c r="B2186" s="2">
        <v>164031</v>
      </c>
      <c r="C2186" s="2" t="s">
        <v>4692</v>
      </c>
      <c r="D2186" s="14" t="s">
        <v>2175</v>
      </c>
      <c r="E2186" s="14">
        <v>1.5361832999999998</v>
      </c>
      <c r="F2186" s="14">
        <v>0</v>
      </c>
      <c r="G2186" s="14">
        <v>1.5361832999999998</v>
      </c>
      <c r="H2186" s="16">
        <v>49.662518300000002</v>
      </c>
      <c r="I2186" s="16">
        <v>30.544524400000004</v>
      </c>
      <c r="J2186" s="3" t="s">
        <v>5011</v>
      </c>
      <c r="K2186" s="16">
        <v>1553.7181164450999</v>
      </c>
      <c r="L2186" s="16">
        <v>170.4707722</v>
      </c>
      <c r="M2186" s="16">
        <f t="shared" si="68"/>
        <v>3.4325841305554574</v>
      </c>
    </row>
    <row r="2187" spans="1:13" x14ac:dyDescent="0.25">
      <c r="A2187" s="2">
        <f t="shared" si="69"/>
        <v>2182</v>
      </c>
      <c r="B2187" s="2">
        <v>164112</v>
      </c>
      <c r="C2187" s="2" t="s">
        <v>4693</v>
      </c>
      <c r="D2187" s="14" t="s">
        <v>2176</v>
      </c>
      <c r="E2187" s="14">
        <v>1.5410028000000002</v>
      </c>
      <c r="F2187" s="14">
        <v>0</v>
      </c>
      <c r="G2187" s="14">
        <v>1.5410028000000002</v>
      </c>
      <c r="H2187" s="16">
        <v>135.59857339999999</v>
      </c>
      <c r="I2187" s="16">
        <v>11.473213399999999</v>
      </c>
      <c r="J2187" s="3" t="s">
        <v>5011</v>
      </c>
      <c r="K2187" s="16">
        <v>1842.3407018210996</v>
      </c>
      <c r="L2187" s="16">
        <v>195.8868732</v>
      </c>
      <c r="M2187" s="16">
        <f t="shared" si="68"/>
        <v>1.4446086583975817</v>
      </c>
    </row>
    <row r="2188" spans="1:13" x14ac:dyDescent="0.25">
      <c r="A2188" s="2">
        <f t="shared" si="69"/>
        <v>2183</v>
      </c>
      <c r="B2188" s="2">
        <v>164114</v>
      </c>
      <c r="C2188" s="2" t="s">
        <v>4694</v>
      </c>
      <c r="D2188" s="14" t="s">
        <v>2177</v>
      </c>
      <c r="E2188" s="14">
        <v>2.0660000000000001E-4</v>
      </c>
      <c r="F2188" s="14">
        <v>0</v>
      </c>
      <c r="G2188" s="14">
        <v>2.0660000000000001E-4</v>
      </c>
      <c r="H2188" s="16">
        <v>1.059947</v>
      </c>
      <c r="I2188" s="16">
        <v>1.059947</v>
      </c>
      <c r="J2188" s="3" t="s">
        <v>5011</v>
      </c>
      <c r="K2188" s="16">
        <v>1.1638236904999999</v>
      </c>
      <c r="L2188" s="16">
        <v>1.0428591</v>
      </c>
      <c r="M2188" s="16">
        <f t="shared" si="68"/>
        <v>0.98387853354931909</v>
      </c>
    </row>
    <row r="2189" spans="1:13" x14ac:dyDescent="0.25">
      <c r="A2189" s="2">
        <f t="shared" si="69"/>
        <v>2184</v>
      </c>
      <c r="B2189" s="2">
        <v>164128</v>
      </c>
      <c r="C2189" s="2" t="s">
        <v>4695</v>
      </c>
      <c r="D2189" s="14" t="s">
        <v>2178</v>
      </c>
      <c r="E2189" s="14">
        <v>6.0999999999999999E-5</v>
      </c>
      <c r="F2189" s="14">
        <v>0</v>
      </c>
      <c r="G2189" s="14">
        <v>6.0999999999999999E-5</v>
      </c>
      <c r="H2189" s="16">
        <v>2.7698615000000002</v>
      </c>
      <c r="I2189" s="16">
        <v>-10.732124100000002</v>
      </c>
      <c r="J2189" s="3" t="s">
        <v>5011</v>
      </c>
      <c r="K2189" s="16">
        <v>185.18960045760002</v>
      </c>
      <c r="L2189" s="16">
        <v>22.764652999999999</v>
      </c>
      <c r="M2189" s="16">
        <f t="shared" si="68"/>
        <v>8.2186972164492698</v>
      </c>
    </row>
    <row r="2190" spans="1:13" x14ac:dyDescent="0.25">
      <c r="A2190" s="2">
        <f t="shared" si="69"/>
        <v>2185</v>
      </c>
      <c r="B2190" s="2">
        <v>164338</v>
      </c>
      <c r="C2190" s="2" t="s">
        <v>4696</v>
      </c>
      <c r="D2190" s="14" t="s">
        <v>2179</v>
      </c>
      <c r="E2190" s="14">
        <v>4.5644300000000006E-2</v>
      </c>
      <c r="F2190" s="14">
        <v>0</v>
      </c>
      <c r="G2190" s="14">
        <v>4.5644300000000006E-2</v>
      </c>
      <c r="H2190" s="16">
        <v>113.2340782</v>
      </c>
      <c r="I2190" s="16">
        <v>81.555888199999998</v>
      </c>
      <c r="J2190" s="3" t="s">
        <v>5011</v>
      </c>
      <c r="K2190" s="16">
        <v>205.73695520599998</v>
      </c>
      <c r="L2190" s="16">
        <v>83.2860029</v>
      </c>
      <c r="M2190" s="16">
        <f t="shared" si="68"/>
        <v>0.73552065088476171</v>
      </c>
    </row>
    <row r="2191" spans="1:13" x14ac:dyDescent="0.25">
      <c r="A2191" s="2">
        <f t="shared" si="69"/>
        <v>2186</v>
      </c>
      <c r="B2191" s="2">
        <v>164489</v>
      </c>
      <c r="C2191" s="2" t="s">
        <v>4697</v>
      </c>
      <c r="D2191" s="14" t="s">
        <v>2180</v>
      </c>
      <c r="E2191" s="14">
        <v>0.11978739999999997</v>
      </c>
      <c r="F2191" s="14">
        <v>0</v>
      </c>
      <c r="G2191" s="14">
        <v>0.11978739999999997</v>
      </c>
      <c r="H2191" s="16">
        <v>15.7326824</v>
      </c>
      <c r="I2191" s="16">
        <v>13.824214699999999</v>
      </c>
      <c r="J2191" s="3" t="s">
        <v>5011</v>
      </c>
      <c r="K2191" s="16">
        <v>168.1571600602</v>
      </c>
      <c r="L2191" s="16">
        <v>25.967998399999999</v>
      </c>
      <c r="M2191" s="16">
        <f t="shared" si="68"/>
        <v>1.6505766619937614</v>
      </c>
    </row>
    <row r="2192" spans="1:13" x14ac:dyDescent="0.25">
      <c r="A2192" s="2">
        <f t="shared" si="69"/>
        <v>2187</v>
      </c>
      <c r="B2192" s="2">
        <v>164646</v>
      </c>
      <c r="C2192" s="2" t="s">
        <v>4698</v>
      </c>
      <c r="D2192" s="14" t="s">
        <v>2181</v>
      </c>
      <c r="E2192" s="14">
        <v>10.094804299999996</v>
      </c>
      <c r="F2192" s="14">
        <v>0</v>
      </c>
      <c r="G2192" s="14">
        <v>10.094804299999996</v>
      </c>
      <c r="H2192" s="16">
        <v>837.67812230000004</v>
      </c>
      <c r="I2192" s="16">
        <v>835.93882120000001</v>
      </c>
      <c r="J2192" s="3" t="s">
        <v>5011</v>
      </c>
      <c r="K2192" s="16">
        <v>9485.674427769698</v>
      </c>
      <c r="L2192" s="16">
        <v>1346.1296139999999</v>
      </c>
      <c r="M2192" s="16">
        <f t="shared" si="68"/>
        <v>1.6069771648135591</v>
      </c>
    </row>
    <row r="2193" spans="1:13" x14ac:dyDescent="0.25">
      <c r="A2193" s="2">
        <f t="shared" si="69"/>
        <v>2188</v>
      </c>
      <c r="B2193" s="2">
        <v>164952</v>
      </c>
      <c r="C2193" s="2" t="s">
        <v>4699</v>
      </c>
      <c r="D2193" s="14" t="s">
        <v>2182</v>
      </c>
      <c r="E2193" s="14">
        <v>14.934305500000001</v>
      </c>
      <c r="F2193" s="14">
        <v>0</v>
      </c>
      <c r="G2193" s="14">
        <v>14.934305500000001</v>
      </c>
      <c r="H2193" s="16">
        <v>2714.9970918999998</v>
      </c>
      <c r="I2193" s="16">
        <v>1643.2085245999997</v>
      </c>
      <c r="J2193" s="3" t="s">
        <v>5011</v>
      </c>
      <c r="K2193" s="16">
        <v>14583.038760779</v>
      </c>
      <c r="L2193" s="16">
        <v>2594.3815631000002</v>
      </c>
      <c r="M2193" s="16">
        <f t="shared" si="68"/>
        <v>0.95557434328020185</v>
      </c>
    </row>
    <row r="2194" spans="1:13" x14ac:dyDescent="0.25">
      <c r="A2194" s="2">
        <f t="shared" si="69"/>
        <v>2189</v>
      </c>
      <c r="B2194" s="2">
        <v>164955</v>
      </c>
      <c r="C2194" s="2" t="s">
        <v>4700</v>
      </c>
      <c r="D2194" s="14" t="s">
        <v>2183</v>
      </c>
      <c r="E2194" s="14">
        <v>20.772863899999997</v>
      </c>
      <c r="F2194" s="14">
        <v>0</v>
      </c>
      <c r="G2194" s="14">
        <v>20.772863899999997</v>
      </c>
      <c r="H2194" s="16">
        <v>676.16945250000003</v>
      </c>
      <c r="I2194" s="16">
        <v>442.41972709999999</v>
      </c>
      <c r="J2194" s="3" t="s">
        <v>5011</v>
      </c>
      <c r="K2194" s="16">
        <v>16950.158721001299</v>
      </c>
      <c r="L2194" s="16">
        <v>2079.5829604999999</v>
      </c>
      <c r="M2194" s="16">
        <f t="shared" si="68"/>
        <v>3.0755352120850206</v>
      </c>
    </row>
    <row r="2195" spans="1:13" x14ac:dyDescent="0.25">
      <c r="A2195" s="2">
        <f t="shared" si="69"/>
        <v>2190</v>
      </c>
      <c r="B2195" s="2">
        <v>164990</v>
      </c>
      <c r="C2195" s="2" t="s">
        <v>4701</v>
      </c>
      <c r="D2195" s="14" t="s">
        <v>2184</v>
      </c>
      <c r="E2195" s="14">
        <v>12.083070300000001</v>
      </c>
      <c r="F2195" s="14">
        <v>0</v>
      </c>
      <c r="G2195" s="14">
        <v>12.083070300000001</v>
      </c>
      <c r="H2195" s="16">
        <v>252.03218480000001</v>
      </c>
      <c r="I2195" s="16">
        <v>201.72358589999999</v>
      </c>
      <c r="J2195" s="3" t="s">
        <v>5011</v>
      </c>
      <c r="K2195" s="16">
        <v>7683.834701357302</v>
      </c>
      <c r="L2195" s="16">
        <v>956.70495849999998</v>
      </c>
      <c r="M2195" s="16">
        <f t="shared" si="68"/>
        <v>3.7959634372062148</v>
      </c>
    </row>
    <row r="2196" spans="1:13" x14ac:dyDescent="0.25">
      <c r="A2196" s="2">
        <f t="shared" si="69"/>
        <v>2191</v>
      </c>
      <c r="B2196" s="2">
        <v>165114</v>
      </c>
      <c r="C2196" s="2" t="s">
        <v>4702</v>
      </c>
      <c r="D2196" s="14" t="s">
        <v>2185</v>
      </c>
      <c r="E2196" s="14">
        <v>2.2338500000000001E-2</v>
      </c>
      <c r="F2196" s="14">
        <v>0</v>
      </c>
      <c r="G2196" s="14">
        <v>2.2338500000000001E-2</v>
      </c>
      <c r="H2196" s="16">
        <v>64.9967501</v>
      </c>
      <c r="I2196" s="16">
        <v>64.9967501</v>
      </c>
      <c r="J2196" s="3" t="s">
        <v>5011</v>
      </c>
      <c r="K2196" s="16">
        <v>96.256068142100006</v>
      </c>
      <c r="L2196" s="16">
        <v>64.474968799999999</v>
      </c>
      <c r="M2196" s="16">
        <f t="shared" si="68"/>
        <v>0.99197219400666614</v>
      </c>
    </row>
    <row r="2197" spans="1:13" x14ac:dyDescent="0.25">
      <c r="A2197" s="2">
        <f t="shared" si="69"/>
        <v>2192</v>
      </c>
      <c r="B2197" s="2">
        <v>165184</v>
      </c>
      <c r="C2197" s="2" t="s">
        <v>4703</v>
      </c>
      <c r="D2197" s="14" t="s">
        <v>2186</v>
      </c>
      <c r="E2197" s="14">
        <v>32.1497794</v>
      </c>
      <c r="F2197" s="14">
        <v>0</v>
      </c>
      <c r="G2197" s="14">
        <v>32.1497794</v>
      </c>
      <c r="H2197" s="16">
        <v>1953.3892116999998</v>
      </c>
      <c r="I2197" s="16">
        <v>975.2681892999999</v>
      </c>
      <c r="J2197" s="3" t="s">
        <v>5011</v>
      </c>
      <c r="K2197" s="16">
        <v>26641.767932465889</v>
      </c>
      <c r="L2197" s="16">
        <v>3345.6733347000004</v>
      </c>
      <c r="M2197" s="16">
        <f t="shared" si="68"/>
        <v>1.7127530523158365</v>
      </c>
    </row>
    <row r="2198" spans="1:13" x14ac:dyDescent="0.25">
      <c r="A2198" s="2">
        <f t="shared" si="69"/>
        <v>2193</v>
      </c>
      <c r="B2198" s="2">
        <v>165254</v>
      </c>
      <c r="C2198" s="2" t="s">
        <v>4704</v>
      </c>
      <c r="D2198" s="14" t="s">
        <v>2187</v>
      </c>
      <c r="E2198" s="14">
        <v>6.9426186999999988</v>
      </c>
      <c r="F2198" s="14">
        <v>0</v>
      </c>
      <c r="G2198" s="14">
        <v>6.9426186999999988</v>
      </c>
      <c r="H2198" s="16">
        <v>775.3980226000001</v>
      </c>
      <c r="I2198" s="16">
        <v>624.0445572000001</v>
      </c>
      <c r="J2198" s="3" t="s">
        <v>5011</v>
      </c>
      <c r="K2198" s="16">
        <v>7240.6186994799009</v>
      </c>
      <c r="L2198" s="16">
        <v>1034.1496162999999</v>
      </c>
      <c r="M2198" s="16">
        <f t="shared" si="68"/>
        <v>1.3337016424576058</v>
      </c>
    </row>
    <row r="2199" spans="1:13" x14ac:dyDescent="0.25">
      <c r="A2199" s="2">
        <f t="shared" si="69"/>
        <v>2194</v>
      </c>
      <c r="B2199" s="2">
        <v>165432</v>
      </c>
      <c r="C2199" s="2" t="s">
        <v>4705</v>
      </c>
      <c r="D2199" s="14" t="s">
        <v>2188</v>
      </c>
      <c r="E2199" s="14">
        <v>0.29642679999999999</v>
      </c>
      <c r="F2199" s="14">
        <v>0</v>
      </c>
      <c r="G2199" s="14">
        <v>0.29642679999999999</v>
      </c>
      <c r="H2199" s="16">
        <v>42.127897900000001</v>
      </c>
      <c r="I2199" s="16">
        <v>37.181444500000005</v>
      </c>
      <c r="J2199" s="3" t="s">
        <v>5011</v>
      </c>
      <c r="K2199" s="16">
        <v>429.55816508730004</v>
      </c>
      <c r="L2199" s="16">
        <v>65.746387300000009</v>
      </c>
      <c r="M2199" s="16">
        <f t="shared" si="68"/>
        <v>1.5606377383477281</v>
      </c>
    </row>
    <row r="2200" spans="1:13" x14ac:dyDescent="0.25">
      <c r="A2200" s="2">
        <f t="shared" si="69"/>
        <v>2195</v>
      </c>
      <c r="B2200" s="2">
        <v>165440</v>
      </c>
      <c r="C2200" s="2" t="s">
        <v>4706</v>
      </c>
      <c r="D2200" s="14" t="s">
        <v>2189</v>
      </c>
      <c r="E2200" s="14">
        <v>0</v>
      </c>
      <c r="F2200" s="14">
        <v>0</v>
      </c>
      <c r="G2200" s="14">
        <v>0</v>
      </c>
      <c r="H2200" s="16">
        <v>0</v>
      </c>
      <c r="I2200" s="16">
        <v>0</v>
      </c>
      <c r="J2200" s="3" t="s">
        <v>5011</v>
      </c>
      <c r="K2200" s="16">
        <v>0</v>
      </c>
      <c r="L2200" s="16">
        <v>0</v>
      </c>
      <c r="M2200" s="16">
        <v>0</v>
      </c>
    </row>
    <row r="2201" spans="1:13" x14ac:dyDescent="0.25">
      <c r="A2201" s="2">
        <f t="shared" si="69"/>
        <v>2196</v>
      </c>
      <c r="B2201" s="2">
        <v>165614</v>
      </c>
      <c r="C2201" s="2" t="s">
        <v>4707</v>
      </c>
      <c r="D2201" s="14" t="s">
        <v>2190</v>
      </c>
      <c r="E2201" s="14">
        <v>0.16470349999999997</v>
      </c>
      <c r="F2201" s="14">
        <v>0</v>
      </c>
      <c r="G2201" s="14">
        <v>0.16470349999999997</v>
      </c>
      <c r="H2201" s="16">
        <v>57.215929199999998</v>
      </c>
      <c r="I2201" s="16">
        <v>46.715929199999998</v>
      </c>
      <c r="J2201" s="3" t="s">
        <v>5011</v>
      </c>
      <c r="K2201" s="16">
        <v>235.24688549560003</v>
      </c>
      <c r="L2201" s="16">
        <v>53.817470300000004</v>
      </c>
      <c r="M2201" s="16">
        <f t="shared" si="68"/>
        <v>0.94060292391441236</v>
      </c>
    </row>
    <row r="2202" spans="1:13" x14ac:dyDescent="0.25">
      <c r="A2202" s="2">
        <f t="shared" si="69"/>
        <v>2197</v>
      </c>
      <c r="B2202" s="2">
        <v>165724</v>
      </c>
      <c r="C2202" s="2" t="s">
        <v>4708</v>
      </c>
      <c r="D2202" s="14" t="s">
        <v>2191</v>
      </c>
      <c r="E2202" s="14">
        <v>1.6309135000000001</v>
      </c>
      <c r="F2202" s="14">
        <v>0</v>
      </c>
      <c r="G2202" s="14">
        <v>1.6309135000000001</v>
      </c>
      <c r="H2202" s="16">
        <v>163.96807330000001</v>
      </c>
      <c r="I2202" s="16">
        <v>66.237998500000003</v>
      </c>
      <c r="J2202" s="3" t="s">
        <v>5011</v>
      </c>
      <c r="K2202" s="16">
        <v>1903.4248160312</v>
      </c>
      <c r="L2202" s="16">
        <v>219.20543430000001</v>
      </c>
      <c r="M2202" s="16">
        <f t="shared" si="68"/>
        <v>1.3368787587016184</v>
      </c>
    </row>
    <row r="2203" spans="1:13" x14ac:dyDescent="0.25">
      <c r="A2203" s="2">
        <f t="shared" si="69"/>
        <v>2198</v>
      </c>
      <c r="B2203" s="2">
        <v>166017</v>
      </c>
      <c r="C2203" s="2" t="s">
        <v>4709</v>
      </c>
      <c r="D2203" s="14" t="s">
        <v>2192</v>
      </c>
      <c r="E2203" s="14">
        <v>19.697263700000001</v>
      </c>
      <c r="F2203" s="14">
        <v>0</v>
      </c>
      <c r="G2203" s="14">
        <v>19.697263700000001</v>
      </c>
      <c r="H2203" s="16">
        <v>360.30719920000001</v>
      </c>
      <c r="I2203" s="16">
        <v>330.42653080000002</v>
      </c>
      <c r="J2203" s="3" t="s">
        <v>5011</v>
      </c>
      <c r="K2203" s="16">
        <v>14422.322585359998</v>
      </c>
      <c r="L2203" s="16">
        <v>1667.9290049000001</v>
      </c>
      <c r="M2203" s="16">
        <f t="shared" si="68"/>
        <v>4.6291858963777264</v>
      </c>
    </row>
    <row r="2204" spans="1:13" x14ac:dyDescent="0.25">
      <c r="A2204" s="2">
        <f t="shared" si="69"/>
        <v>2199</v>
      </c>
      <c r="B2204" s="2">
        <v>166100</v>
      </c>
      <c r="C2204" s="2" t="s">
        <v>4710</v>
      </c>
      <c r="D2204" s="14" t="s">
        <v>2193</v>
      </c>
      <c r="E2204" s="14">
        <v>7.8034199999999998E-2</v>
      </c>
      <c r="F2204" s="14">
        <v>0</v>
      </c>
      <c r="G2204" s="14">
        <v>7.8034199999999998E-2</v>
      </c>
      <c r="H2204" s="16">
        <v>133.98330130000002</v>
      </c>
      <c r="I2204" s="16">
        <v>121.38330130000001</v>
      </c>
      <c r="J2204" s="3" t="s">
        <v>5011</v>
      </c>
      <c r="K2204" s="16">
        <v>228.12119324689999</v>
      </c>
      <c r="L2204" s="16">
        <v>127.03326720000001</v>
      </c>
      <c r="M2204" s="16">
        <f t="shared" si="68"/>
        <v>0.94812760969041743</v>
      </c>
    </row>
    <row r="2205" spans="1:13" x14ac:dyDescent="0.25">
      <c r="A2205" s="2">
        <f t="shared" si="69"/>
        <v>2200</v>
      </c>
      <c r="B2205" s="2">
        <v>166314</v>
      </c>
      <c r="C2205" s="2" t="s">
        <v>4711</v>
      </c>
      <c r="D2205" s="14" t="s">
        <v>2194</v>
      </c>
      <c r="E2205" s="14">
        <v>4.7459682999999995</v>
      </c>
      <c r="F2205" s="14">
        <v>0</v>
      </c>
      <c r="G2205" s="14">
        <v>4.7459682999999995</v>
      </c>
      <c r="H2205" s="16">
        <v>232.26114420000002</v>
      </c>
      <c r="I2205" s="16">
        <v>204.89294380000004</v>
      </c>
      <c r="J2205" s="3" t="s">
        <v>5011</v>
      </c>
      <c r="K2205" s="16">
        <v>4509.4567356184998</v>
      </c>
      <c r="L2205" s="16">
        <v>601.16084699999999</v>
      </c>
      <c r="M2205" s="16">
        <f t="shared" si="68"/>
        <v>2.588297104410803</v>
      </c>
    </row>
    <row r="2206" spans="1:13" x14ac:dyDescent="0.25">
      <c r="A2206" s="2">
        <f t="shared" si="69"/>
        <v>2201</v>
      </c>
      <c r="B2206" s="2">
        <v>166356</v>
      </c>
      <c r="C2206" s="2" t="s">
        <v>4712</v>
      </c>
      <c r="D2206" s="14" t="s">
        <v>2195</v>
      </c>
      <c r="E2206" s="14">
        <v>0</v>
      </c>
      <c r="F2206" s="14">
        <v>0</v>
      </c>
      <c r="G2206" s="14">
        <v>0</v>
      </c>
      <c r="H2206" s="16">
        <v>0</v>
      </c>
      <c r="I2206" s="16">
        <v>0</v>
      </c>
      <c r="J2206" s="3" t="s">
        <v>5011</v>
      </c>
      <c r="K2206" s="16">
        <v>0</v>
      </c>
      <c r="L2206" s="16">
        <v>0</v>
      </c>
      <c r="M2206" s="16">
        <v>0</v>
      </c>
    </row>
    <row r="2207" spans="1:13" x14ac:dyDescent="0.25">
      <c r="A2207" s="2">
        <f t="shared" si="69"/>
        <v>2202</v>
      </c>
      <c r="B2207" s="2">
        <v>166420</v>
      </c>
      <c r="C2207" s="2" t="s">
        <v>4713</v>
      </c>
      <c r="D2207" s="14" t="s">
        <v>2196</v>
      </c>
      <c r="E2207" s="14">
        <v>0.86447619999999992</v>
      </c>
      <c r="F2207" s="14">
        <v>0</v>
      </c>
      <c r="G2207" s="14">
        <v>0.86447619999999992</v>
      </c>
      <c r="H2207" s="16">
        <v>167.0292039</v>
      </c>
      <c r="I2207" s="16">
        <v>152.42486170000001</v>
      </c>
      <c r="J2207" s="3" t="s">
        <v>5011</v>
      </c>
      <c r="K2207" s="16">
        <v>1147.0763211812</v>
      </c>
      <c r="L2207" s="16">
        <v>197.13595140000001</v>
      </c>
      <c r="M2207" s="16">
        <f t="shared" si="68"/>
        <v>1.1802484044528216</v>
      </c>
    </row>
    <row r="2208" spans="1:13" x14ac:dyDescent="0.25">
      <c r="A2208" s="2">
        <f t="shared" si="69"/>
        <v>2203</v>
      </c>
      <c r="B2208" s="2">
        <v>166442</v>
      </c>
      <c r="C2208" s="2" t="s">
        <v>4714</v>
      </c>
      <c r="D2208" s="14" t="s">
        <v>2197</v>
      </c>
      <c r="E2208" s="14">
        <v>5.2890600000000003E-2</v>
      </c>
      <c r="F2208" s="14">
        <v>0</v>
      </c>
      <c r="G2208" s="14">
        <v>5.2890600000000003E-2</v>
      </c>
      <c r="H2208" s="16">
        <v>3.5998203999999996</v>
      </c>
      <c r="I2208" s="16">
        <v>3.5998203999999996</v>
      </c>
      <c r="J2208" s="3" t="s">
        <v>5011</v>
      </c>
      <c r="K2208" s="16">
        <v>55.793071686099999</v>
      </c>
      <c r="L2208" s="16">
        <v>8.8616805999999997</v>
      </c>
      <c r="M2208" s="16">
        <f t="shared" si="68"/>
        <v>2.4617007559599364</v>
      </c>
    </row>
    <row r="2209" spans="1:13" x14ac:dyDescent="0.25">
      <c r="A2209" s="2">
        <f t="shared" si="69"/>
        <v>2204</v>
      </c>
      <c r="B2209" s="2">
        <v>166501</v>
      </c>
      <c r="C2209" s="2" t="s">
        <v>4715</v>
      </c>
      <c r="D2209" s="14" t="s">
        <v>2198</v>
      </c>
      <c r="E2209" s="14">
        <v>7.8124609000000005</v>
      </c>
      <c r="F2209" s="14">
        <v>0</v>
      </c>
      <c r="G2209" s="14">
        <v>7.8124609000000005</v>
      </c>
      <c r="H2209" s="16">
        <v>597.53323820000003</v>
      </c>
      <c r="I2209" s="16">
        <v>374.62861219999996</v>
      </c>
      <c r="J2209" s="3" t="s">
        <v>5011</v>
      </c>
      <c r="K2209" s="16">
        <v>7854.7606284206986</v>
      </c>
      <c r="L2209" s="16">
        <v>1031.4466979000001</v>
      </c>
      <c r="M2209" s="16">
        <f t="shared" si="68"/>
        <v>1.7261745991019919</v>
      </c>
    </row>
    <row r="2210" spans="1:13" x14ac:dyDescent="0.25">
      <c r="A2210" s="2">
        <f t="shared" si="69"/>
        <v>2205</v>
      </c>
      <c r="B2210" s="2">
        <v>166767</v>
      </c>
      <c r="C2210" s="2" t="s">
        <v>4716</v>
      </c>
      <c r="D2210" s="14" t="s">
        <v>2199</v>
      </c>
      <c r="E2210" s="14">
        <v>3.7952341000000005</v>
      </c>
      <c r="F2210" s="14">
        <v>0</v>
      </c>
      <c r="G2210" s="14">
        <v>3.7952341000000005</v>
      </c>
      <c r="H2210" s="16">
        <v>172.8337947</v>
      </c>
      <c r="I2210" s="16">
        <v>101.44685799999999</v>
      </c>
      <c r="J2210" s="3" t="s">
        <v>5011</v>
      </c>
      <c r="K2210" s="16">
        <v>3651.3122876215002</v>
      </c>
      <c r="L2210" s="16">
        <v>513.10291389999998</v>
      </c>
      <c r="M2210" s="16">
        <f t="shared" si="68"/>
        <v>2.9687649616825778</v>
      </c>
    </row>
    <row r="2211" spans="1:13" x14ac:dyDescent="0.25">
      <c r="A2211" s="2">
        <f t="shared" si="69"/>
        <v>2206</v>
      </c>
      <c r="B2211" s="2">
        <v>166805</v>
      </c>
      <c r="C2211" s="2" t="s">
        <v>4717</v>
      </c>
      <c r="D2211" s="14" t="s">
        <v>2200</v>
      </c>
      <c r="E2211" s="14">
        <v>0.50276430000000005</v>
      </c>
      <c r="F2211" s="14">
        <v>0</v>
      </c>
      <c r="G2211" s="14">
        <v>0.50276430000000005</v>
      </c>
      <c r="H2211" s="16">
        <v>247.30863440000002</v>
      </c>
      <c r="I2211" s="16">
        <v>209.37762350000003</v>
      </c>
      <c r="J2211" s="3" t="s">
        <v>5011</v>
      </c>
      <c r="K2211" s="16">
        <v>729.75655595979993</v>
      </c>
      <c r="L2211" s="16">
        <v>238.96203589999999</v>
      </c>
      <c r="M2211" s="16">
        <f t="shared" si="68"/>
        <v>0.96625027460019797</v>
      </c>
    </row>
    <row r="2212" spans="1:13" x14ac:dyDescent="0.25">
      <c r="A2212" s="2">
        <f t="shared" si="69"/>
        <v>2207</v>
      </c>
      <c r="B2212" s="2">
        <v>166913</v>
      </c>
      <c r="C2212" s="2" t="s">
        <v>4718</v>
      </c>
      <c r="D2212" s="14" t="s">
        <v>2201</v>
      </c>
      <c r="E2212" s="14">
        <v>1.3952876000000001</v>
      </c>
      <c r="F2212" s="14">
        <v>0</v>
      </c>
      <c r="G2212" s="14">
        <v>1.3952876000000001</v>
      </c>
      <c r="H2212" s="16">
        <v>1066.4211860999999</v>
      </c>
      <c r="I2212" s="16">
        <v>703.32963960000006</v>
      </c>
      <c r="J2212" s="3" t="s">
        <v>5011</v>
      </c>
      <c r="K2212" s="16">
        <v>3155.6985736213001</v>
      </c>
      <c r="L2212" s="16">
        <v>776.92009099999996</v>
      </c>
      <c r="M2212" s="16">
        <f t="shared" si="68"/>
        <v>0.72853024782944154</v>
      </c>
    </row>
    <row r="2213" spans="1:13" x14ac:dyDescent="0.25">
      <c r="A2213" s="2">
        <f t="shared" si="69"/>
        <v>2208</v>
      </c>
      <c r="B2213" s="2">
        <v>167127</v>
      </c>
      <c r="C2213" s="2" t="s">
        <v>4719</v>
      </c>
      <c r="D2213" s="14" t="s">
        <v>2202</v>
      </c>
      <c r="E2213" s="14">
        <v>2.2307780999999998</v>
      </c>
      <c r="F2213" s="14">
        <v>0</v>
      </c>
      <c r="G2213" s="14">
        <v>2.2307780999999998</v>
      </c>
      <c r="H2213" s="16">
        <v>161.6288022</v>
      </c>
      <c r="I2213" s="16">
        <v>147.65377179999999</v>
      </c>
      <c r="J2213" s="3" t="s">
        <v>5011</v>
      </c>
      <c r="K2213" s="16">
        <v>2443.0876717985993</v>
      </c>
      <c r="L2213" s="16">
        <v>356.3074886</v>
      </c>
      <c r="M2213" s="16">
        <f t="shared" si="68"/>
        <v>2.2044801653550832</v>
      </c>
    </row>
    <row r="2214" spans="1:13" x14ac:dyDescent="0.25">
      <c r="A2214" s="2">
        <f t="shared" si="69"/>
        <v>2209</v>
      </c>
      <c r="B2214" s="2">
        <v>167196</v>
      </c>
      <c r="C2214" s="2" t="s">
        <v>4720</v>
      </c>
      <c r="D2214" s="14" t="s">
        <v>2203</v>
      </c>
      <c r="E2214" s="14">
        <v>2.4196040000000001</v>
      </c>
      <c r="F2214" s="14">
        <v>0</v>
      </c>
      <c r="G2214" s="14">
        <v>2.4196040000000001</v>
      </c>
      <c r="H2214" s="16">
        <v>63.424584299999999</v>
      </c>
      <c r="I2214" s="16">
        <v>-21.576158700000011</v>
      </c>
      <c r="J2214" s="3" t="s">
        <v>5011</v>
      </c>
      <c r="K2214" s="16">
        <v>1986.5017059040001</v>
      </c>
      <c r="L2214" s="16">
        <v>201.65434739999998</v>
      </c>
      <c r="M2214" s="16">
        <f t="shared" si="68"/>
        <v>3.1794350664746882</v>
      </c>
    </row>
    <row r="2215" spans="1:13" x14ac:dyDescent="0.25">
      <c r="A2215" s="2">
        <f t="shared" si="69"/>
        <v>2210</v>
      </c>
      <c r="B2215" s="2">
        <v>167471</v>
      </c>
      <c r="C2215" s="2" t="s">
        <v>4721</v>
      </c>
      <c r="D2215" s="14" t="s">
        <v>2204</v>
      </c>
      <c r="E2215" s="14">
        <v>0.86382780000000003</v>
      </c>
      <c r="F2215" s="14">
        <v>0</v>
      </c>
      <c r="G2215" s="14">
        <v>0.86382780000000003</v>
      </c>
      <c r="H2215" s="16">
        <v>83.642485499999992</v>
      </c>
      <c r="I2215" s="16">
        <v>32.900757299999995</v>
      </c>
      <c r="J2215" s="3" t="s">
        <v>5011</v>
      </c>
      <c r="K2215" s="16">
        <v>881.02449426330008</v>
      </c>
      <c r="L2215" s="16">
        <v>108.7102632</v>
      </c>
      <c r="M2215" s="16">
        <f t="shared" si="68"/>
        <v>1.2997014920126926</v>
      </c>
    </row>
    <row r="2216" spans="1:13" x14ac:dyDescent="0.25">
      <c r="A2216" s="2">
        <f t="shared" si="69"/>
        <v>2211</v>
      </c>
      <c r="B2216" s="2">
        <v>167996</v>
      </c>
      <c r="C2216" s="2" t="s">
        <v>4722</v>
      </c>
      <c r="D2216" s="14" t="s">
        <v>2205</v>
      </c>
      <c r="E2216" s="14">
        <v>0.21732739999999998</v>
      </c>
      <c r="F2216" s="14">
        <v>0</v>
      </c>
      <c r="G2216" s="14">
        <v>0.21732739999999998</v>
      </c>
      <c r="H2216" s="16">
        <v>62.100895399999999</v>
      </c>
      <c r="I2216" s="16">
        <v>60.109340499999995</v>
      </c>
      <c r="J2216" s="3" t="s">
        <v>5011</v>
      </c>
      <c r="K2216" s="16">
        <v>330.91307145819991</v>
      </c>
      <c r="L2216" s="16">
        <v>75.433362299999999</v>
      </c>
      <c r="M2216" s="16">
        <f t="shared" si="68"/>
        <v>1.214690413304411</v>
      </c>
    </row>
    <row r="2217" spans="1:13" x14ac:dyDescent="0.25">
      <c r="A2217" s="2">
        <f t="shared" si="69"/>
        <v>2212</v>
      </c>
      <c r="B2217" s="2">
        <v>168039</v>
      </c>
      <c r="C2217" s="2" t="s">
        <v>4723</v>
      </c>
      <c r="D2217" s="14" t="s">
        <v>2206</v>
      </c>
      <c r="E2217" s="14">
        <v>5.6324000000000006E-2</v>
      </c>
      <c r="F2217" s="14">
        <v>0</v>
      </c>
      <c r="G2217" s="14">
        <v>5.6324000000000006E-2</v>
      </c>
      <c r="H2217" s="16">
        <v>2.3098844999999999</v>
      </c>
      <c r="I2217" s="16">
        <v>2.3098844999999999</v>
      </c>
      <c r="J2217" s="3" t="s">
        <v>5011</v>
      </c>
      <c r="K2217" s="16">
        <v>69.208504575399999</v>
      </c>
      <c r="L2217" s="16">
        <v>8.9548085000000004</v>
      </c>
      <c r="M2217" s="16">
        <f t="shared" si="68"/>
        <v>3.8767343129061218</v>
      </c>
    </row>
    <row r="2218" spans="1:13" x14ac:dyDescent="0.25">
      <c r="A2218" s="2">
        <f t="shared" si="69"/>
        <v>2213</v>
      </c>
      <c r="B2218" s="2">
        <v>168436</v>
      </c>
      <c r="C2218" s="2" t="s">
        <v>4724</v>
      </c>
      <c r="D2218" s="14" t="s">
        <v>2207</v>
      </c>
      <c r="E2218" s="14">
        <v>6.0184000000000001E-3</v>
      </c>
      <c r="F2218" s="14">
        <v>0</v>
      </c>
      <c r="G2218" s="14">
        <v>6.0184000000000001E-3</v>
      </c>
      <c r="H2218" s="16">
        <v>26.998650000000001</v>
      </c>
      <c r="I2218" s="16">
        <v>26.998650000000001</v>
      </c>
      <c r="J2218" s="3" t="s">
        <v>5011</v>
      </c>
      <c r="K2218" s="16">
        <v>678.88583424360002</v>
      </c>
      <c r="L2218" s="16">
        <v>93.564990899999998</v>
      </c>
      <c r="M2218" s="16">
        <f t="shared" si="68"/>
        <v>3.465543310498858</v>
      </c>
    </row>
    <row r="2219" spans="1:13" x14ac:dyDescent="0.25">
      <c r="A2219" s="2">
        <f t="shared" si="69"/>
        <v>2214</v>
      </c>
      <c r="B2219" s="2">
        <v>168440</v>
      </c>
      <c r="C2219" s="2" t="s">
        <v>4725</v>
      </c>
      <c r="D2219" s="14" t="s">
        <v>2208</v>
      </c>
      <c r="E2219" s="14">
        <v>1.3489751000000001</v>
      </c>
      <c r="F2219" s="14">
        <v>0</v>
      </c>
      <c r="G2219" s="14">
        <v>1.3489751000000001</v>
      </c>
      <c r="H2219" s="16">
        <v>167.72161389999999</v>
      </c>
      <c r="I2219" s="16">
        <v>159.72161389999999</v>
      </c>
      <c r="J2219" s="3" t="s">
        <v>5011</v>
      </c>
      <c r="K2219" s="16">
        <v>1248.2543800838</v>
      </c>
      <c r="L2219" s="16">
        <v>0</v>
      </c>
      <c r="M2219" s="16">
        <f t="shared" si="68"/>
        <v>0</v>
      </c>
    </row>
    <row r="2220" spans="1:13" x14ac:dyDescent="0.25">
      <c r="A2220" s="2">
        <f t="shared" si="69"/>
        <v>2215</v>
      </c>
      <c r="B2220" s="2">
        <v>168469</v>
      </c>
      <c r="C2220" s="2" t="s">
        <v>4726</v>
      </c>
      <c r="D2220" s="14" t="s">
        <v>2209</v>
      </c>
      <c r="E2220" s="14">
        <v>0.87127519999999992</v>
      </c>
      <c r="F2220" s="14">
        <v>0</v>
      </c>
      <c r="G2220" s="14">
        <v>0.87127519999999992</v>
      </c>
      <c r="H2220" s="16">
        <v>234.79351100000002</v>
      </c>
      <c r="I2220" s="16">
        <v>209.51232909999999</v>
      </c>
      <c r="J2220" s="3" t="s">
        <v>5011</v>
      </c>
      <c r="K2220" s="16">
        <v>1119.7311797551001</v>
      </c>
      <c r="L2220" s="16">
        <v>266.8827986</v>
      </c>
      <c r="M2220" s="16">
        <f t="shared" si="68"/>
        <v>1.1366702489490861</v>
      </c>
    </row>
    <row r="2221" spans="1:13" x14ac:dyDescent="0.25">
      <c r="A2221" s="2">
        <f t="shared" si="69"/>
        <v>2216</v>
      </c>
      <c r="B2221" s="2">
        <v>168625</v>
      </c>
      <c r="C2221" s="2" t="s">
        <v>4727</v>
      </c>
      <c r="D2221" s="14" t="s">
        <v>2210</v>
      </c>
      <c r="E2221" s="14">
        <v>0</v>
      </c>
      <c r="F2221" s="14">
        <v>0</v>
      </c>
      <c r="G2221" s="14">
        <v>0</v>
      </c>
      <c r="H2221" s="16">
        <v>0</v>
      </c>
      <c r="I2221" s="16">
        <v>0</v>
      </c>
      <c r="J2221" s="3" t="s">
        <v>5011</v>
      </c>
      <c r="K2221" s="16">
        <v>0</v>
      </c>
      <c r="L2221" s="16">
        <v>0</v>
      </c>
      <c r="M2221" s="16">
        <v>0</v>
      </c>
    </row>
    <row r="2222" spans="1:13" x14ac:dyDescent="0.25">
      <c r="A2222" s="2">
        <f t="shared" si="69"/>
        <v>2217</v>
      </c>
      <c r="B2222" s="2">
        <v>168707</v>
      </c>
      <c r="C2222" s="2" t="s">
        <v>4728</v>
      </c>
      <c r="D2222" s="14" t="s">
        <v>2211</v>
      </c>
      <c r="E2222" s="14">
        <v>0.10309630000000002</v>
      </c>
      <c r="F2222" s="14">
        <v>0</v>
      </c>
      <c r="G2222" s="14">
        <v>0.10309630000000002</v>
      </c>
      <c r="H2222" s="16">
        <v>134.17153199999998</v>
      </c>
      <c r="I2222" s="16">
        <v>101.87156179999999</v>
      </c>
      <c r="J2222" s="3" t="s">
        <v>5011</v>
      </c>
      <c r="K2222" s="16">
        <v>342.42566750489999</v>
      </c>
      <c r="L2222" s="16">
        <v>108.7969614</v>
      </c>
      <c r="M2222" s="16">
        <f t="shared" si="68"/>
        <v>0.8108796238534417</v>
      </c>
    </row>
    <row r="2223" spans="1:13" x14ac:dyDescent="0.25">
      <c r="A2223" s="2">
        <f t="shared" si="69"/>
        <v>2218</v>
      </c>
      <c r="B2223" s="2">
        <v>168722</v>
      </c>
      <c r="C2223" s="2" t="s">
        <v>4729</v>
      </c>
      <c r="D2223" s="14" t="s">
        <v>2212</v>
      </c>
      <c r="E2223" s="14">
        <v>0.20446539999999996</v>
      </c>
      <c r="F2223" s="14">
        <v>0</v>
      </c>
      <c r="G2223" s="14">
        <v>0.20446539999999996</v>
      </c>
      <c r="H2223" s="16">
        <v>17.5363951</v>
      </c>
      <c r="I2223" s="16">
        <v>7.3291231000000003</v>
      </c>
      <c r="J2223" s="3" t="s">
        <v>5011</v>
      </c>
      <c r="K2223" s="16">
        <v>228.8569940866</v>
      </c>
      <c r="L2223" s="16">
        <v>28.137637799999997</v>
      </c>
      <c r="M2223" s="16">
        <f t="shared" si="68"/>
        <v>1.6045280480707234</v>
      </c>
    </row>
    <row r="2224" spans="1:13" x14ac:dyDescent="0.25">
      <c r="A2224" s="2">
        <f t="shared" si="69"/>
        <v>2219</v>
      </c>
      <c r="B2224" s="2">
        <v>168766</v>
      </c>
      <c r="C2224" s="2" t="s">
        <v>4730</v>
      </c>
      <c r="D2224" s="14" t="s">
        <v>2213</v>
      </c>
      <c r="E2224" s="14">
        <v>13.240727599999998</v>
      </c>
      <c r="F2224" s="14">
        <v>0</v>
      </c>
      <c r="G2224" s="14">
        <v>13.240727599999998</v>
      </c>
      <c r="H2224" s="16">
        <v>2807.2534914999997</v>
      </c>
      <c r="I2224" s="16">
        <v>2572.7762708999999</v>
      </c>
      <c r="J2224" s="3" t="s">
        <v>5011</v>
      </c>
      <c r="K2224" s="16">
        <v>14982.693501215001</v>
      </c>
      <c r="L2224" s="16">
        <v>3478.1188398000004</v>
      </c>
      <c r="M2224" s="16">
        <f t="shared" si="68"/>
        <v>1.2389756929081375</v>
      </c>
    </row>
    <row r="2225" spans="1:13" x14ac:dyDescent="0.25">
      <c r="A2225" s="2">
        <f t="shared" si="69"/>
        <v>2220</v>
      </c>
      <c r="B2225" s="2">
        <v>168786</v>
      </c>
      <c r="C2225" s="2" t="s">
        <v>4731</v>
      </c>
      <c r="D2225" s="14" t="s">
        <v>2214</v>
      </c>
      <c r="E2225" s="14">
        <v>0</v>
      </c>
      <c r="F2225" s="14">
        <v>0</v>
      </c>
      <c r="G2225" s="14">
        <v>0</v>
      </c>
      <c r="H2225" s="16">
        <v>0</v>
      </c>
      <c r="I2225" s="16">
        <v>0</v>
      </c>
      <c r="J2225" s="3" t="s">
        <v>5011</v>
      </c>
      <c r="K2225" s="16">
        <v>0</v>
      </c>
      <c r="L2225" s="16">
        <v>0</v>
      </c>
      <c r="M2225" s="16">
        <v>0</v>
      </c>
    </row>
    <row r="2226" spans="1:13" x14ac:dyDescent="0.25">
      <c r="A2226" s="2">
        <f t="shared" si="69"/>
        <v>2221</v>
      </c>
      <c r="B2226" s="2">
        <v>169022</v>
      </c>
      <c r="C2226" s="2" t="s">
        <v>4732</v>
      </c>
      <c r="D2226" s="14" t="s">
        <v>2215</v>
      </c>
      <c r="E2226" s="14">
        <v>13.425112399999998</v>
      </c>
      <c r="F2226" s="14">
        <v>0</v>
      </c>
      <c r="G2226" s="14">
        <v>13.425112399999998</v>
      </c>
      <c r="H2226" s="16">
        <v>778.38875499999995</v>
      </c>
      <c r="I2226" s="16">
        <v>511.49679340000006</v>
      </c>
      <c r="J2226" s="3" t="s">
        <v>5011</v>
      </c>
      <c r="K2226" s="16">
        <v>12171.442984111698</v>
      </c>
      <c r="L2226" s="16">
        <v>1573.6377981999999</v>
      </c>
      <c r="M2226" s="16">
        <f t="shared" si="68"/>
        <v>2.0216604981658555</v>
      </c>
    </row>
    <row r="2227" spans="1:13" x14ac:dyDescent="0.25">
      <c r="A2227" s="2">
        <f t="shared" si="69"/>
        <v>2222</v>
      </c>
      <c r="B2227" s="2">
        <v>169241</v>
      </c>
      <c r="C2227" s="2" t="s">
        <v>4733</v>
      </c>
      <c r="D2227" s="14" t="s">
        <v>2216</v>
      </c>
      <c r="E2227" s="14">
        <v>0</v>
      </c>
      <c r="F2227" s="14">
        <v>0</v>
      </c>
      <c r="G2227" s="14">
        <v>0</v>
      </c>
      <c r="H2227" s="16">
        <v>0</v>
      </c>
      <c r="I2227" s="16">
        <v>0</v>
      </c>
      <c r="J2227" s="3" t="s">
        <v>5011</v>
      </c>
      <c r="K2227" s="16">
        <v>0</v>
      </c>
      <c r="L2227" s="16">
        <v>0</v>
      </c>
      <c r="M2227" s="16">
        <v>0</v>
      </c>
    </row>
    <row r="2228" spans="1:13" x14ac:dyDescent="0.25">
      <c r="A2228" s="2">
        <f t="shared" si="69"/>
        <v>2223</v>
      </c>
      <c r="B2228" s="2">
        <v>169285</v>
      </c>
      <c r="C2228" s="2" t="s">
        <v>4734</v>
      </c>
      <c r="D2228" s="14" t="s">
        <v>2217</v>
      </c>
      <c r="E2228" s="14">
        <v>36.0048046</v>
      </c>
      <c r="F2228" s="14">
        <v>0</v>
      </c>
      <c r="G2228" s="14">
        <v>36.0048046</v>
      </c>
      <c r="H2228" s="16">
        <v>1196.9385718000001</v>
      </c>
      <c r="I2228" s="16">
        <v>562.6582866</v>
      </c>
      <c r="J2228" s="3" t="s">
        <v>5011</v>
      </c>
      <c r="K2228" s="16">
        <v>30629.749156717597</v>
      </c>
      <c r="L2228" s="16">
        <v>3476.7321838999997</v>
      </c>
      <c r="M2228" s="16">
        <f t="shared" si="68"/>
        <v>2.9046872294135881</v>
      </c>
    </row>
    <row r="2229" spans="1:13" x14ac:dyDescent="0.25">
      <c r="A2229" s="2">
        <f t="shared" si="69"/>
        <v>2224</v>
      </c>
      <c r="B2229" s="2">
        <v>169322</v>
      </c>
      <c r="C2229" s="2" t="s">
        <v>4735</v>
      </c>
      <c r="D2229" s="14" t="s">
        <v>2218</v>
      </c>
      <c r="E2229" s="14">
        <v>0</v>
      </c>
      <c r="F2229" s="14">
        <v>0</v>
      </c>
      <c r="G2229" s="14">
        <v>0</v>
      </c>
      <c r="H2229" s="16">
        <v>0</v>
      </c>
      <c r="I2229" s="16">
        <v>0</v>
      </c>
      <c r="J2229" s="3" t="s">
        <v>5011</v>
      </c>
      <c r="K2229" s="16">
        <v>0</v>
      </c>
      <c r="L2229" s="16">
        <v>0</v>
      </c>
      <c r="M2229" s="16">
        <v>0</v>
      </c>
    </row>
    <row r="2230" spans="1:13" x14ac:dyDescent="0.25">
      <c r="A2230" s="2">
        <f t="shared" si="69"/>
        <v>2225</v>
      </c>
      <c r="B2230" s="2">
        <v>169520</v>
      </c>
      <c r="C2230" s="2" t="s">
        <v>4736</v>
      </c>
      <c r="D2230" s="14" t="s">
        <v>2219</v>
      </c>
      <c r="E2230" s="14">
        <v>29.229720700000001</v>
      </c>
      <c r="F2230" s="14">
        <v>0</v>
      </c>
      <c r="G2230" s="14">
        <v>29.229720700000001</v>
      </c>
      <c r="H2230" s="16">
        <v>3515.6785411000001</v>
      </c>
      <c r="I2230" s="16">
        <v>2258.4001914</v>
      </c>
      <c r="J2230" s="3" t="s">
        <v>5011</v>
      </c>
      <c r="K2230" s="16">
        <v>29336.365641203498</v>
      </c>
      <c r="L2230" s="16">
        <v>4914.4081438000003</v>
      </c>
      <c r="M2230" s="16">
        <f t="shared" si="68"/>
        <v>1.397854805650792</v>
      </c>
    </row>
    <row r="2231" spans="1:13" x14ac:dyDescent="0.25">
      <c r="A2231" s="2">
        <f t="shared" si="69"/>
        <v>2226</v>
      </c>
      <c r="B2231" s="2">
        <v>169780</v>
      </c>
      <c r="C2231" s="2" t="s">
        <v>4737</v>
      </c>
      <c r="D2231" s="14" t="s">
        <v>2220</v>
      </c>
      <c r="E2231" s="14">
        <v>0</v>
      </c>
      <c r="F2231" s="14">
        <v>0</v>
      </c>
      <c r="G2231" s="14">
        <v>0</v>
      </c>
      <c r="H2231" s="16">
        <v>0</v>
      </c>
      <c r="I2231" s="16">
        <v>0</v>
      </c>
      <c r="J2231" s="3" t="s">
        <v>5011</v>
      </c>
      <c r="K2231" s="16">
        <v>0</v>
      </c>
      <c r="L2231" s="16">
        <v>0</v>
      </c>
      <c r="M2231" s="16">
        <v>0</v>
      </c>
    </row>
    <row r="2232" spans="1:13" x14ac:dyDescent="0.25">
      <c r="A2232" s="2">
        <f t="shared" si="69"/>
        <v>2227</v>
      </c>
      <c r="B2232" s="2">
        <v>169849</v>
      </c>
      <c r="C2232" s="2" t="s">
        <v>4738</v>
      </c>
      <c r="D2232" s="14" t="s">
        <v>2221</v>
      </c>
      <c r="E2232" s="14">
        <v>0</v>
      </c>
      <c r="F2232" s="14">
        <v>0</v>
      </c>
      <c r="G2232" s="14">
        <v>0</v>
      </c>
      <c r="H2232" s="16">
        <v>0</v>
      </c>
      <c r="I2232" s="16">
        <v>0</v>
      </c>
      <c r="J2232" s="3" t="s">
        <v>5011</v>
      </c>
      <c r="K2232" s="16">
        <v>0</v>
      </c>
      <c r="L2232" s="16">
        <v>0</v>
      </c>
      <c r="M2232" s="16">
        <v>0</v>
      </c>
    </row>
    <row r="2233" spans="1:13" x14ac:dyDescent="0.25">
      <c r="A2233" s="2">
        <f t="shared" si="69"/>
        <v>2228</v>
      </c>
      <c r="B2233" s="2">
        <v>169850</v>
      </c>
      <c r="C2233" s="2" t="s">
        <v>4739</v>
      </c>
      <c r="D2233" s="14" t="s">
        <v>2222</v>
      </c>
      <c r="E2233" s="14">
        <v>0</v>
      </c>
      <c r="F2233" s="14">
        <v>0</v>
      </c>
      <c r="G2233" s="14">
        <v>0</v>
      </c>
      <c r="H2233" s="16">
        <v>0</v>
      </c>
      <c r="I2233" s="16">
        <v>0</v>
      </c>
      <c r="J2233" s="3" t="s">
        <v>5011</v>
      </c>
      <c r="K2233" s="16">
        <v>0</v>
      </c>
      <c r="L2233" s="16">
        <v>0</v>
      </c>
      <c r="M2233" s="16">
        <v>0</v>
      </c>
    </row>
    <row r="2234" spans="1:13" x14ac:dyDescent="0.25">
      <c r="A2234" s="2">
        <f t="shared" si="69"/>
        <v>2229</v>
      </c>
      <c r="B2234" s="2">
        <v>169854</v>
      </c>
      <c r="C2234" s="2" t="s">
        <v>4740</v>
      </c>
      <c r="D2234" s="14" t="s">
        <v>2223</v>
      </c>
      <c r="E2234" s="14">
        <v>0.77592640000000002</v>
      </c>
      <c r="F2234" s="14">
        <v>0</v>
      </c>
      <c r="G2234" s="14">
        <v>0.77592640000000002</v>
      </c>
      <c r="H2234" s="16">
        <v>153.82843210000001</v>
      </c>
      <c r="I2234" s="16">
        <v>105.44230810000001</v>
      </c>
      <c r="J2234" s="3" t="s">
        <v>5011</v>
      </c>
      <c r="K2234" s="16">
        <v>1075.7619024420001</v>
      </c>
      <c r="L2234" s="16">
        <v>144.5552821</v>
      </c>
      <c r="M2234" s="16">
        <f t="shared" si="68"/>
        <v>0.93971758098677249</v>
      </c>
    </row>
    <row r="2235" spans="1:13" x14ac:dyDescent="0.25">
      <c r="A2235" s="2">
        <f t="shared" si="69"/>
        <v>2230</v>
      </c>
      <c r="B2235" s="2">
        <v>169923</v>
      </c>
      <c r="C2235" s="2" t="s">
        <v>4741</v>
      </c>
      <c r="D2235" s="14" t="s">
        <v>2224</v>
      </c>
      <c r="E2235" s="14">
        <v>2.6986802999999995</v>
      </c>
      <c r="F2235" s="14">
        <v>0</v>
      </c>
      <c r="G2235" s="14">
        <v>2.6986802999999995</v>
      </c>
      <c r="H2235" s="16">
        <v>669.38876400000004</v>
      </c>
      <c r="I2235" s="16">
        <v>495.03925909999998</v>
      </c>
      <c r="J2235" s="3" t="s">
        <v>5011</v>
      </c>
      <c r="K2235" s="16">
        <v>2736.4854501376994</v>
      </c>
      <c r="L2235" s="16">
        <v>618.43429289999995</v>
      </c>
      <c r="M2235" s="16">
        <f t="shared" si="68"/>
        <v>0.92387910607355206</v>
      </c>
    </row>
    <row r="2236" spans="1:13" x14ac:dyDescent="0.25">
      <c r="A2236" s="2">
        <f t="shared" si="69"/>
        <v>2231</v>
      </c>
      <c r="B2236" s="2">
        <v>170464</v>
      </c>
      <c r="C2236" s="2" t="s">
        <v>4742</v>
      </c>
      <c r="D2236" s="14" t="s">
        <v>2225</v>
      </c>
      <c r="E2236" s="14">
        <v>124.6968184</v>
      </c>
      <c r="F2236" s="14">
        <v>0</v>
      </c>
      <c r="G2236" s="14">
        <v>124.6968184</v>
      </c>
      <c r="H2236" s="16">
        <v>2792.7826236000001</v>
      </c>
      <c r="I2236" s="16">
        <v>1670.033083</v>
      </c>
      <c r="J2236" s="3" t="s">
        <v>5011</v>
      </c>
      <c r="K2236" s="16">
        <v>80368.552139753432</v>
      </c>
      <c r="L2236" s="16">
        <v>9006.9680872000008</v>
      </c>
      <c r="M2236" s="16">
        <f t="shared" si="68"/>
        <v>3.2250874132085818</v>
      </c>
    </row>
    <row r="2237" spans="1:13" x14ac:dyDescent="0.25">
      <c r="A2237" s="2">
        <f t="shared" si="69"/>
        <v>2232</v>
      </c>
      <c r="B2237" s="2">
        <v>170740</v>
      </c>
      <c r="C2237" s="2" t="s">
        <v>4743</v>
      </c>
      <c r="D2237" s="14" t="s">
        <v>2226</v>
      </c>
      <c r="E2237" s="14">
        <v>2.7201999999999999E-3</v>
      </c>
      <c r="F2237" s="14">
        <v>0</v>
      </c>
      <c r="G2237" s="14">
        <v>2.7201999999999999E-3</v>
      </c>
      <c r="H2237" s="16">
        <v>1.0998977999999999</v>
      </c>
      <c r="I2237" s="16">
        <v>1.0998977999999999</v>
      </c>
      <c r="J2237" s="3" t="s">
        <v>5011</v>
      </c>
      <c r="K2237" s="16">
        <v>6.5929376183000006</v>
      </c>
      <c r="L2237" s="16">
        <v>1.3493373000000002</v>
      </c>
      <c r="M2237" s="16">
        <f t="shared" si="68"/>
        <v>1.2267842521368806</v>
      </c>
    </row>
    <row r="2238" spans="1:13" x14ac:dyDescent="0.25">
      <c r="A2238" s="2">
        <f t="shared" si="69"/>
        <v>2233</v>
      </c>
      <c r="B2238" s="2">
        <v>170998</v>
      </c>
      <c r="C2238" s="2" t="s">
        <v>4744</v>
      </c>
      <c r="D2238" s="14" t="s">
        <v>2227</v>
      </c>
      <c r="E2238" s="14">
        <v>0</v>
      </c>
      <c r="F2238" s="14">
        <v>0</v>
      </c>
      <c r="G2238" s="14">
        <v>0</v>
      </c>
      <c r="H2238" s="16">
        <v>0</v>
      </c>
      <c r="I2238" s="16">
        <v>0</v>
      </c>
      <c r="J2238" s="3" t="s">
        <v>5011</v>
      </c>
      <c r="K2238" s="16">
        <v>0</v>
      </c>
      <c r="L2238" s="16">
        <v>0</v>
      </c>
      <c r="M2238" s="16">
        <v>0</v>
      </c>
    </row>
    <row r="2239" spans="1:13" x14ac:dyDescent="0.25">
      <c r="A2239" s="2">
        <f t="shared" si="69"/>
        <v>2234</v>
      </c>
      <c r="B2239" s="2">
        <v>171060</v>
      </c>
      <c r="C2239" s="2" t="s">
        <v>4745</v>
      </c>
      <c r="D2239" s="14" t="s">
        <v>2228</v>
      </c>
      <c r="E2239" s="14">
        <v>3.0672600000000001E-2</v>
      </c>
      <c r="F2239" s="14">
        <v>0</v>
      </c>
      <c r="G2239" s="14">
        <v>3.0672600000000001E-2</v>
      </c>
      <c r="H2239" s="16">
        <v>17.449128200000001</v>
      </c>
      <c r="I2239" s="16">
        <v>17.449128200000001</v>
      </c>
      <c r="J2239" s="3" t="s">
        <v>5011</v>
      </c>
      <c r="K2239" s="16">
        <v>62.686194034300001</v>
      </c>
      <c r="L2239" s="16">
        <v>20.663361000000002</v>
      </c>
      <c r="M2239" s="16">
        <f t="shared" si="68"/>
        <v>1.1842059249699364</v>
      </c>
    </row>
    <row r="2240" spans="1:13" x14ac:dyDescent="0.25">
      <c r="A2240" s="2">
        <f t="shared" si="69"/>
        <v>2235</v>
      </c>
      <c r="B2240" s="2">
        <v>171281</v>
      </c>
      <c r="C2240" s="2" t="s">
        <v>4746</v>
      </c>
      <c r="D2240" s="14" t="s">
        <v>2229</v>
      </c>
      <c r="E2240" s="14">
        <v>0</v>
      </c>
      <c r="F2240" s="14">
        <v>0</v>
      </c>
      <c r="G2240" s="14">
        <v>0</v>
      </c>
      <c r="H2240" s="16">
        <v>0</v>
      </c>
      <c r="I2240" s="16">
        <v>0</v>
      </c>
      <c r="J2240" s="3" t="s">
        <v>5011</v>
      </c>
      <c r="K2240" s="16">
        <v>0</v>
      </c>
      <c r="L2240" s="16">
        <v>0</v>
      </c>
      <c r="M2240" s="16">
        <v>0</v>
      </c>
    </row>
    <row r="2241" spans="1:13" x14ac:dyDescent="0.25">
      <c r="A2241" s="2">
        <f t="shared" si="69"/>
        <v>2236</v>
      </c>
      <c r="B2241" s="2">
        <v>171412</v>
      </c>
      <c r="C2241" s="2" t="s">
        <v>4747</v>
      </c>
      <c r="D2241" s="14" t="s">
        <v>2230</v>
      </c>
      <c r="E2241" s="14">
        <v>8.5804024999999999</v>
      </c>
      <c r="F2241" s="14">
        <v>0</v>
      </c>
      <c r="G2241" s="14">
        <v>8.5804024999999999</v>
      </c>
      <c r="H2241" s="16">
        <v>547.8127604</v>
      </c>
      <c r="I2241" s="16">
        <v>448.4919415</v>
      </c>
      <c r="J2241" s="3" t="s">
        <v>5011</v>
      </c>
      <c r="K2241" s="16">
        <v>7926.2845712789021</v>
      </c>
      <c r="L2241" s="16">
        <v>1043.3324094</v>
      </c>
      <c r="M2241" s="16">
        <f t="shared" si="68"/>
        <v>1.9045419983247254</v>
      </c>
    </row>
    <row r="2242" spans="1:13" x14ac:dyDescent="0.25">
      <c r="A2242" s="2">
        <f t="shared" si="69"/>
        <v>2237</v>
      </c>
      <c r="B2242" s="2">
        <v>171423</v>
      </c>
      <c r="C2242" s="2" t="s">
        <v>4748</v>
      </c>
      <c r="D2242" s="14" t="s">
        <v>2231</v>
      </c>
      <c r="E2242" s="14">
        <v>0</v>
      </c>
      <c r="F2242" s="14">
        <v>0</v>
      </c>
      <c r="G2242" s="14">
        <v>0</v>
      </c>
      <c r="H2242" s="16">
        <v>0</v>
      </c>
      <c r="I2242" s="16">
        <v>0</v>
      </c>
      <c r="J2242" s="3" t="s">
        <v>5011</v>
      </c>
      <c r="K2242" s="16">
        <v>0</v>
      </c>
      <c r="L2242" s="16">
        <v>0</v>
      </c>
      <c r="M2242" s="16">
        <v>0</v>
      </c>
    </row>
    <row r="2243" spans="1:13" x14ac:dyDescent="0.25">
      <c r="A2243" s="2">
        <f t="shared" si="69"/>
        <v>2238</v>
      </c>
      <c r="B2243" s="2">
        <v>171644</v>
      </c>
      <c r="C2243" s="2" t="s">
        <v>4749</v>
      </c>
      <c r="D2243" s="14" t="s">
        <v>2232</v>
      </c>
      <c r="E2243" s="14">
        <v>0.90654850000000009</v>
      </c>
      <c r="F2243" s="14">
        <v>0</v>
      </c>
      <c r="G2243" s="14">
        <v>0.90654850000000009</v>
      </c>
      <c r="H2243" s="16">
        <v>7.499625</v>
      </c>
      <c r="I2243" s="16">
        <v>5.999625</v>
      </c>
      <c r="J2243" s="3" t="s">
        <v>5011</v>
      </c>
      <c r="K2243" s="16">
        <v>801.49473846290005</v>
      </c>
      <c r="L2243" s="16">
        <v>87.357628099999999</v>
      </c>
      <c r="M2243" s="16">
        <f t="shared" si="68"/>
        <v>11.648266159974666</v>
      </c>
    </row>
    <row r="2244" spans="1:13" x14ac:dyDescent="0.25">
      <c r="A2244" s="2">
        <f t="shared" si="69"/>
        <v>2239</v>
      </c>
      <c r="B2244" s="2">
        <v>171769</v>
      </c>
      <c r="C2244" s="2" t="s">
        <v>4750</v>
      </c>
      <c r="D2244" s="14" t="s">
        <v>2233</v>
      </c>
      <c r="E2244" s="14">
        <v>4.3439999999999999E-4</v>
      </c>
      <c r="F2244" s="14">
        <v>0</v>
      </c>
      <c r="G2244" s="14">
        <v>4.3439999999999999E-4</v>
      </c>
      <c r="H2244" s="16">
        <v>15.819208999999999</v>
      </c>
      <c r="I2244" s="16">
        <v>15.819208999999999</v>
      </c>
      <c r="J2244" s="3" t="s">
        <v>5011</v>
      </c>
      <c r="K2244" s="16">
        <v>31.061349055999997</v>
      </c>
      <c r="L2244" s="16">
        <v>17.417140500000002</v>
      </c>
      <c r="M2244" s="16">
        <f t="shared" si="68"/>
        <v>1.1010120986453875</v>
      </c>
    </row>
    <row r="2245" spans="1:13" x14ac:dyDescent="0.25">
      <c r="A2245" s="2">
        <f t="shared" si="69"/>
        <v>2240</v>
      </c>
      <c r="B2245" s="2">
        <v>171852</v>
      </c>
      <c r="C2245" s="2" t="s">
        <v>4751</v>
      </c>
      <c r="D2245" s="14" t="s">
        <v>2234</v>
      </c>
      <c r="E2245" s="14">
        <v>0.10029130000000001</v>
      </c>
      <c r="F2245" s="14">
        <v>0</v>
      </c>
      <c r="G2245" s="14">
        <v>0.10029130000000001</v>
      </c>
      <c r="H2245" s="16">
        <v>35.233238499999999</v>
      </c>
      <c r="I2245" s="16">
        <v>35.108237299999999</v>
      </c>
      <c r="J2245" s="3" t="s">
        <v>5011</v>
      </c>
      <c r="K2245" s="16">
        <v>132.76700102749999</v>
      </c>
      <c r="L2245" s="16">
        <v>43.579392400000003</v>
      </c>
      <c r="M2245" s="16">
        <f t="shared" si="68"/>
        <v>1.2368829620927411</v>
      </c>
    </row>
    <row r="2246" spans="1:13" x14ac:dyDescent="0.25">
      <c r="A2246" s="2">
        <f t="shared" si="69"/>
        <v>2241</v>
      </c>
      <c r="B2246" s="2">
        <v>171895</v>
      </c>
      <c r="C2246" s="2" t="s">
        <v>4752</v>
      </c>
      <c r="D2246" s="14" t="s">
        <v>2235</v>
      </c>
      <c r="E2246" s="14">
        <v>1.4266500999999998</v>
      </c>
      <c r="F2246" s="14">
        <v>0</v>
      </c>
      <c r="G2246" s="14">
        <v>1.4266500999999998</v>
      </c>
      <c r="H2246" s="16">
        <v>279.93044839999999</v>
      </c>
      <c r="I2246" s="16">
        <v>236.6719445</v>
      </c>
      <c r="J2246" s="3" t="s">
        <v>5011</v>
      </c>
      <c r="K2246" s="16">
        <v>1576.7881512315003</v>
      </c>
      <c r="L2246" s="16">
        <v>363.84584109999997</v>
      </c>
      <c r="M2246" s="16">
        <f t="shared" si="68"/>
        <v>1.2997722940810321</v>
      </c>
    </row>
    <row r="2247" spans="1:13" x14ac:dyDescent="0.25">
      <c r="A2247" s="2">
        <f t="shared" si="69"/>
        <v>2242</v>
      </c>
      <c r="B2247" s="2">
        <v>171969</v>
      </c>
      <c r="C2247" s="2" t="s">
        <v>4753</v>
      </c>
      <c r="D2247" s="14" t="s">
        <v>2236</v>
      </c>
      <c r="E2247" s="14">
        <v>1.0379999999999999E-4</v>
      </c>
      <c r="F2247" s="14">
        <v>0</v>
      </c>
      <c r="G2247" s="14">
        <v>1.0379999999999999E-4</v>
      </c>
      <c r="H2247" s="16">
        <v>0.1499925</v>
      </c>
      <c r="I2247" s="16">
        <v>0.1499925</v>
      </c>
      <c r="J2247" s="3" t="s">
        <v>5011</v>
      </c>
      <c r="K2247" s="16">
        <v>0.3312513815</v>
      </c>
      <c r="L2247" s="16">
        <v>0.1581417</v>
      </c>
      <c r="M2247" s="16">
        <f t="shared" ref="M2247:M2310" si="70">L2247/H2247</f>
        <v>1.0543307165358267</v>
      </c>
    </row>
    <row r="2248" spans="1:13" x14ac:dyDescent="0.25">
      <c r="A2248" s="2">
        <f t="shared" ref="A2248:A2311" si="71">A2247+1</f>
        <v>2243</v>
      </c>
      <c r="B2248" s="2">
        <v>172057</v>
      </c>
      <c r="C2248" s="2" t="s">
        <v>4754</v>
      </c>
      <c r="D2248" s="14" t="s">
        <v>2237</v>
      </c>
      <c r="E2248" s="14">
        <v>0.20885850000000003</v>
      </c>
      <c r="F2248" s="14">
        <v>0</v>
      </c>
      <c r="G2248" s="14">
        <v>0.20885850000000003</v>
      </c>
      <c r="H2248" s="16">
        <v>29.713515600000001</v>
      </c>
      <c r="I2248" s="16">
        <v>21.686541600000002</v>
      </c>
      <c r="J2248" s="3" t="s">
        <v>5011</v>
      </c>
      <c r="K2248" s="16">
        <v>266.33256657020002</v>
      </c>
      <c r="L2248" s="16">
        <v>44.771590099999997</v>
      </c>
      <c r="M2248" s="16">
        <f t="shared" si="70"/>
        <v>1.5067752568464163</v>
      </c>
    </row>
    <row r="2249" spans="1:13" x14ac:dyDescent="0.25">
      <c r="A2249" s="2">
        <f t="shared" si="71"/>
        <v>2244</v>
      </c>
      <c r="B2249" s="2">
        <v>172196</v>
      </c>
      <c r="C2249" s="2" t="s">
        <v>4755</v>
      </c>
      <c r="D2249" s="14" t="s">
        <v>2238</v>
      </c>
      <c r="E2249" s="14">
        <v>38.527867199999996</v>
      </c>
      <c r="F2249" s="14">
        <v>0</v>
      </c>
      <c r="G2249" s="14">
        <v>38.527867199999996</v>
      </c>
      <c r="H2249" s="16">
        <v>1518.6607128999999</v>
      </c>
      <c r="I2249" s="16">
        <v>1215.2009152999999</v>
      </c>
      <c r="J2249" s="3" t="s">
        <v>5011</v>
      </c>
      <c r="K2249" s="16">
        <v>35667.94947651479</v>
      </c>
      <c r="L2249" s="16">
        <v>4218.523612</v>
      </c>
      <c r="M2249" s="16">
        <f t="shared" si="70"/>
        <v>2.7777920217244598</v>
      </c>
    </row>
    <row r="2250" spans="1:13" x14ac:dyDescent="0.25">
      <c r="A2250" s="2">
        <f t="shared" si="71"/>
        <v>2245</v>
      </c>
      <c r="B2250" s="2">
        <v>172215</v>
      </c>
      <c r="C2250" s="2" t="s">
        <v>4756</v>
      </c>
      <c r="D2250" s="14" t="s">
        <v>2239</v>
      </c>
      <c r="E2250" s="14">
        <v>1.0322E-3</v>
      </c>
      <c r="F2250" s="14">
        <v>0</v>
      </c>
      <c r="G2250" s="14">
        <v>1.0322E-3</v>
      </c>
      <c r="H2250" s="16">
        <v>1.2849358</v>
      </c>
      <c r="I2250" s="16">
        <v>1.2849358</v>
      </c>
      <c r="J2250" s="3" t="s">
        <v>5011</v>
      </c>
      <c r="K2250" s="16">
        <v>3.2497185319999997</v>
      </c>
      <c r="L2250" s="16">
        <v>1.3768796999999999</v>
      </c>
      <c r="M2250" s="16">
        <f t="shared" si="70"/>
        <v>1.0715552481299064</v>
      </c>
    </row>
    <row r="2251" spans="1:13" x14ac:dyDescent="0.25">
      <c r="A2251" s="2">
        <f t="shared" si="71"/>
        <v>2246</v>
      </c>
      <c r="B2251" s="2">
        <v>172574</v>
      </c>
      <c r="C2251" s="2" t="s">
        <v>4757</v>
      </c>
      <c r="D2251" s="14" t="s">
        <v>2240</v>
      </c>
      <c r="E2251" s="14">
        <v>6.2667E-2</v>
      </c>
      <c r="F2251" s="14">
        <v>0</v>
      </c>
      <c r="G2251" s="14">
        <v>6.2667E-2</v>
      </c>
      <c r="H2251" s="16">
        <v>18.199090300000002</v>
      </c>
      <c r="I2251" s="16">
        <v>16.519088999999997</v>
      </c>
      <c r="J2251" s="3" t="s">
        <v>5011</v>
      </c>
      <c r="K2251" s="16">
        <v>106.8997777771</v>
      </c>
      <c r="L2251" s="16">
        <v>22.469595899999998</v>
      </c>
      <c r="M2251" s="16">
        <f t="shared" si="70"/>
        <v>1.2346548937119124</v>
      </c>
    </row>
    <row r="2252" spans="1:13" x14ac:dyDescent="0.25">
      <c r="A2252" s="2">
        <f t="shared" si="71"/>
        <v>2247</v>
      </c>
      <c r="B2252" s="2">
        <v>172593</v>
      </c>
      <c r="C2252" s="2" t="s">
        <v>4758</v>
      </c>
      <c r="D2252" s="14" t="s">
        <v>2241</v>
      </c>
      <c r="E2252" s="14">
        <v>33.997363399999998</v>
      </c>
      <c r="F2252" s="14">
        <v>0</v>
      </c>
      <c r="G2252" s="14">
        <v>33.997363399999998</v>
      </c>
      <c r="H2252" s="16">
        <v>1400.1299933</v>
      </c>
      <c r="I2252" s="16">
        <v>1327.5088332</v>
      </c>
      <c r="J2252" s="3" t="s">
        <v>5011</v>
      </c>
      <c r="K2252" s="16">
        <v>26428.6089757747</v>
      </c>
      <c r="L2252" s="16">
        <v>3727.0708138</v>
      </c>
      <c r="M2252" s="16">
        <f t="shared" si="70"/>
        <v>2.661946270442773</v>
      </c>
    </row>
    <row r="2253" spans="1:13" x14ac:dyDescent="0.25">
      <c r="A2253" s="2">
        <f t="shared" si="71"/>
        <v>2248</v>
      </c>
      <c r="B2253" s="2">
        <v>172841</v>
      </c>
      <c r="C2253" s="2" t="s">
        <v>4759</v>
      </c>
      <c r="D2253" s="14" t="s">
        <v>2242</v>
      </c>
      <c r="E2253" s="14">
        <v>2.8075000000000001E-3</v>
      </c>
      <c r="F2253" s="14">
        <v>0</v>
      </c>
      <c r="G2253" s="14">
        <v>2.8075000000000001E-3</v>
      </c>
      <c r="H2253" s="16">
        <v>39.348032599999996</v>
      </c>
      <c r="I2253" s="16">
        <v>39.348032599999996</v>
      </c>
      <c r="J2253" s="3" t="s">
        <v>5011</v>
      </c>
      <c r="K2253" s="16">
        <v>20.395931734900003</v>
      </c>
      <c r="L2253" s="16">
        <v>38.834810699999998</v>
      </c>
      <c r="M2253" s="16">
        <f t="shared" si="70"/>
        <v>0.9869568599473002</v>
      </c>
    </row>
    <row r="2254" spans="1:13" x14ac:dyDescent="0.25">
      <c r="A2254" s="2">
        <f t="shared" si="71"/>
        <v>2249</v>
      </c>
      <c r="B2254" s="2">
        <v>172988</v>
      </c>
      <c r="C2254" s="2" t="s">
        <v>4760</v>
      </c>
      <c r="D2254" s="14" t="s">
        <v>2243</v>
      </c>
      <c r="E2254" s="14">
        <v>0.67119390000000001</v>
      </c>
      <c r="F2254" s="14">
        <v>0</v>
      </c>
      <c r="G2254" s="14">
        <v>0.67119390000000001</v>
      </c>
      <c r="H2254" s="16">
        <v>138.7518646</v>
      </c>
      <c r="I2254" s="16">
        <v>130.3299341</v>
      </c>
      <c r="J2254" s="3" t="s">
        <v>5011</v>
      </c>
      <c r="K2254" s="16">
        <v>861.61609725560015</v>
      </c>
      <c r="L2254" s="16">
        <v>183.64185550000002</v>
      </c>
      <c r="M2254" s="16">
        <f t="shared" si="70"/>
        <v>1.3235271182078228</v>
      </c>
    </row>
    <row r="2255" spans="1:13" x14ac:dyDescent="0.25">
      <c r="A2255" s="2">
        <f t="shared" si="71"/>
        <v>2250</v>
      </c>
      <c r="B2255" s="2">
        <v>173032</v>
      </c>
      <c r="C2255" s="2" t="s">
        <v>4761</v>
      </c>
      <c r="D2255" s="14" t="s">
        <v>2244</v>
      </c>
      <c r="E2255" s="14">
        <v>0</v>
      </c>
      <c r="F2255" s="14">
        <v>0</v>
      </c>
      <c r="G2255" s="14">
        <v>0</v>
      </c>
      <c r="H2255" s="16">
        <v>0</v>
      </c>
      <c r="I2255" s="16">
        <v>0</v>
      </c>
      <c r="J2255" s="3" t="s">
        <v>5011</v>
      </c>
      <c r="K2255" s="16">
        <v>0</v>
      </c>
      <c r="L2255" s="16">
        <v>0</v>
      </c>
      <c r="M2255" s="16">
        <v>0</v>
      </c>
    </row>
    <row r="2256" spans="1:13" x14ac:dyDescent="0.25">
      <c r="A2256" s="2">
        <f t="shared" si="71"/>
        <v>2251</v>
      </c>
      <c r="B2256" s="2">
        <v>173086</v>
      </c>
      <c r="C2256" s="2" t="s">
        <v>4762</v>
      </c>
      <c r="D2256" s="14" t="s">
        <v>2245</v>
      </c>
      <c r="E2256" s="14">
        <v>5.9951099999999993E-2</v>
      </c>
      <c r="F2256" s="14">
        <v>0</v>
      </c>
      <c r="G2256" s="14">
        <v>5.9951099999999993E-2</v>
      </c>
      <c r="H2256" s="16">
        <v>26.002497900000002</v>
      </c>
      <c r="I2256" s="16">
        <v>25.372497899999999</v>
      </c>
      <c r="J2256" s="3" t="s">
        <v>5011</v>
      </c>
      <c r="K2256" s="16">
        <v>91.710106986300005</v>
      </c>
      <c r="L2256" s="16">
        <v>29.997488300000001</v>
      </c>
      <c r="M2256" s="16">
        <f t="shared" si="70"/>
        <v>1.15363871637886</v>
      </c>
    </row>
    <row r="2257" spans="1:13" x14ac:dyDescent="0.25">
      <c r="A2257" s="2">
        <f t="shared" si="71"/>
        <v>2252</v>
      </c>
      <c r="B2257" s="2">
        <v>173108</v>
      </c>
      <c r="C2257" s="2" t="s">
        <v>4763</v>
      </c>
      <c r="D2257" s="14" t="s">
        <v>2246</v>
      </c>
      <c r="E2257" s="14">
        <v>1.0183599999999999E-2</v>
      </c>
      <c r="F2257" s="14">
        <v>0</v>
      </c>
      <c r="G2257" s="14">
        <v>1.0183599999999999E-2</v>
      </c>
      <c r="H2257" s="16">
        <v>8.3995823000000005</v>
      </c>
      <c r="I2257" s="16">
        <v>7.1495822999999996</v>
      </c>
      <c r="J2257" s="3" t="s">
        <v>5011</v>
      </c>
      <c r="K2257" s="16">
        <v>41.916065598799989</v>
      </c>
      <c r="L2257" s="16">
        <v>7.7380332999999997</v>
      </c>
      <c r="M2257" s="16">
        <f t="shared" si="70"/>
        <v>0.92124025024434841</v>
      </c>
    </row>
    <row r="2258" spans="1:13" x14ac:dyDescent="0.25">
      <c r="A2258" s="2">
        <f t="shared" si="71"/>
        <v>2253</v>
      </c>
      <c r="B2258" s="2">
        <v>173142</v>
      </c>
      <c r="C2258" s="2" t="s">
        <v>4764</v>
      </c>
      <c r="D2258" s="14" t="s">
        <v>2247</v>
      </c>
      <c r="E2258" s="14">
        <v>1.1431025999999997</v>
      </c>
      <c r="F2258" s="14">
        <v>0</v>
      </c>
      <c r="G2258" s="14">
        <v>1.1431025999999997</v>
      </c>
      <c r="H2258" s="16">
        <v>192.41313670000002</v>
      </c>
      <c r="I2258" s="16">
        <v>147.95518400000003</v>
      </c>
      <c r="J2258" s="3" t="s">
        <v>5011</v>
      </c>
      <c r="K2258" s="16">
        <v>1350.9608837085007</v>
      </c>
      <c r="L2258" s="16">
        <v>235.90337249999999</v>
      </c>
      <c r="M2258" s="16">
        <f t="shared" si="70"/>
        <v>1.2260252940411629</v>
      </c>
    </row>
    <row r="2259" spans="1:13" x14ac:dyDescent="0.25">
      <c r="A2259" s="2">
        <f t="shared" si="71"/>
        <v>2254</v>
      </c>
      <c r="B2259" s="2">
        <v>173224</v>
      </c>
      <c r="C2259" s="2" t="s">
        <v>4765</v>
      </c>
      <c r="D2259" s="14" t="s">
        <v>2248</v>
      </c>
      <c r="E2259" s="14">
        <v>0</v>
      </c>
      <c r="F2259" s="14">
        <v>0</v>
      </c>
      <c r="G2259" s="14">
        <v>0</v>
      </c>
      <c r="H2259" s="16">
        <v>0</v>
      </c>
      <c r="I2259" s="16">
        <v>0</v>
      </c>
      <c r="J2259" s="3" t="s">
        <v>5011</v>
      </c>
      <c r="K2259" s="16">
        <v>0</v>
      </c>
      <c r="L2259" s="16">
        <v>0</v>
      </c>
      <c r="M2259" s="16">
        <v>0</v>
      </c>
    </row>
    <row r="2260" spans="1:13" x14ac:dyDescent="0.25">
      <c r="A2260" s="2">
        <f t="shared" si="71"/>
        <v>2255</v>
      </c>
      <c r="B2260" s="2">
        <v>173231</v>
      </c>
      <c r="C2260" s="2" t="s">
        <v>4766</v>
      </c>
      <c r="D2260" s="14" t="s">
        <v>2249</v>
      </c>
      <c r="E2260" s="14">
        <v>0</v>
      </c>
      <c r="F2260" s="14">
        <v>0</v>
      </c>
      <c r="G2260" s="14">
        <v>0</v>
      </c>
      <c r="H2260" s="16">
        <v>0</v>
      </c>
      <c r="I2260" s="16">
        <v>0</v>
      </c>
      <c r="J2260" s="3" t="s">
        <v>5011</v>
      </c>
      <c r="K2260" s="16">
        <v>0</v>
      </c>
      <c r="L2260" s="16">
        <v>0</v>
      </c>
      <c r="M2260" s="16">
        <v>0</v>
      </c>
    </row>
    <row r="2261" spans="1:13" x14ac:dyDescent="0.25">
      <c r="A2261" s="2">
        <f t="shared" si="71"/>
        <v>2256</v>
      </c>
      <c r="B2261" s="2">
        <v>173256</v>
      </c>
      <c r="C2261" s="2" t="s">
        <v>4767</v>
      </c>
      <c r="D2261" s="14" t="s">
        <v>2250</v>
      </c>
      <c r="E2261" s="14">
        <v>2.4672200000000002</v>
      </c>
      <c r="F2261" s="14">
        <v>0</v>
      </c>
      <c r="G2261" s="14">
        <v>2.4672200000000002</v>
      </c>
      <c r="H2261" s="16">
        <v>5.8548267000000003</v>
      </c>
      <c r="I2261" s="16">
        <v>-330.16749439999995</v>
      </c>
      <c r="J2261" s="3" t="s">
        <v>5011</v>
      </c>
      <c r="K2261" s="16">
        <v>1421.222228178</v>
      </c>
      <c r="L2261" s="16">
        <v>16.197480500000001</v>
      </c>
      <c r="M2261" s="16">
        <f t="shared" si="70"/>
        <v>2.7665174957270726</v>
      </c>
    </row>
    <row r="2262" spans="1:13" x14ac:dyDescent="0.25">
      <c r="A2262" s="2">
        <f t="shared" si="71"/>
        <v>2257</v>
      </c>
      <c r="B2262" s="2">
        <v>173342</v>
      </c>
      <c r="C2262" s="2" t="s">
        <v>4768</v>
      </c>
      <c r="D2262" s="14" t="s">
        <v>2251</v>
      </c>
      <c r="E2262" s="14">
        <v>1.5623E-3</v>
      </c>
      <c r="F2262" s="14">
        <v>0</v>
      </c>
      <c r="G2262" s="14">
        <v>1.5623E-3</v>
      </c>
      <c r="H2262" s="16">
        <v>0.10999450000000001</v>
      </c>
      <c r="I2262" s="16">
        <v>0.10999450000000001</v>
      </c>
      <c r="J2262" s="3" t="s">
        <v>5011</v>
      </c>
      <c r="K2262" s="16">
        <v>2.2498110078</v>
      </c>
      <c r="L2262" s="16">
        <v>0.29136990000000001</v>
      </c>
      <c r="M2262" s="16">
        <f t="shared" si="70"/>
        <v>2.6489497202132832</v>
      </c>
    </row>
    <row r="2263" spans="1:13" x14ac:dyDescent="0.25">
      <c r="A2263" s="2">
        <f t="shared" si="71"/>
        <v>2258</v>
      </c>
      <c r="B2263" s="2">
        <v>173430</v>
      </c>
      <c r="C2263" s="2" t="s">
        <v>4769</v>
      </c>
      <c r="D2263" s="14" t="s">
        <v>2252</v>
      </c>
      <c r="E2263" s="14">
        <v>0.17125700000000002</v>
      </c>
      <c r="F2263" s="14">
        <v>0</v>
      </c>
      <c r="G2263" s="14">
        <v>0.17125700000000002</v>
      </c>
      <c r="H2263" s="16">
        <v>1.2699365</v>
      </c>
      <c r="I2263" s="16">
        <v>1.2699365</v>
      </c>
      <c r="J2263" s="3" t="s">
        <v>5011</v>
      </c>
      <c r="K2263" s="16">
        <v>137.05730357260001</v>
      </c>
      <c r="L2263" s="16">
        <v>14.662228899999999</v>
      </c>
      <c r="M2263" s="16">
        <f t="shared" si="70"/>
        <v>11.545639407954649</v>
      </c>
    </row>
    <row r="2264" spans="1:13" x14ac:dyDescent="0.25">
      <c r="A2264" s="2">
        <f t="shared" si="71"/>
        <v>2259</v>
      </c>
      <c r="B2264" s="2">
        <v>173466</v>
      </c>
      <c r="C2264" s="2" t="s">
        <v>4770</v>
      </c>
      <c r="D2264" s="14" t="s">
        <v>2253</v>
      </c>
      <c r="E2264" s="14">
        <v>1.3909999999999999E-4</v>
      </c>
      <c r="F2264" s="14">
        <v>0</v>
      </c>
      <c r="G2264" s="14">
        <v>1.3909999999999999E-4</v>
      </c>
      <c r="H2264" s="16">
        <v>0.19999</v>
      </c>
      <c r="I2264" s="16">
        <v>0.19999</v>
      </c>
      <c r="J2264" s="3" t="s">
        <v>5011</v>
      </c>
      <c r="K2264" s="16">
        <v>0.50650525869999996</v>
      </c>
      <c r="L2264" s="16">
        <v>0.26310909999999998</v>
      </c>
      <c r="M2264" s="16">
        <f t="shared" si="70"/>
        <v>1.3156112805640281</v>
      </c>
    </row>
    <row r="2265" spans="1:13" x14ac:dyDescent="0.25">
      <c r="A2265" s="2">
        <f t="shared" si="71"/>
        <v>2260</v>
      </c>
      <c r="B2265" s="2">
        <v>173558</v>
      </c>
      <c r="C2265" s="2" t="s">
        <v>4771</v>
      </c>
      <c r="D2265" s="14" t="s">
        <v>2254</v>
      </c>
      <c r="E2265" s="14">
        <v>0</v>
      </c>
      <c r="F2265" s="14">
        <v>0</v>
      </c>
      <c r="G2265" s="14">
        <v>0</v>
      </c>
      <c r="H2265" s="16">
        <v>0</v>
      </c>
      <c r="I2265" s="16">
        <v>0</v>
      </c>
      <c r="J2265" s="3" t="s">
        <v>5011</v>
      </c>
      <c r="K2265" s="16">
        <v>0</v>
      </c>
      <c r="L2265" s="16">
        <v>0</v>
      </c>
      <c r="M2265" s="16">
        <v>0</v>
      </c>
    </row>
    <row r="2266" spans="1:13" x14ac:dyDescent="0.25">
      <c r="A2266" s="2">
        <f t="shared" si="71"/>
        <v>2261</v>
      </c>
      <c r="B2266" s="2">
        <v>173974</v>
      </c>
      <c r="C2266" s="2" t="s">
        <v>4772</v>
      </c>
      <c r="D2266" s="14" t="s">
        <v>2255</v>
      </c>
      <c r="E2266" s="14">
        <v>0.25742579999999998</v>
      </c>
      <c r="F2266" s="14">
        <v>0</v>
      </c>
      <c r="G2266" s="14">
        <v>0.25742579999999998</v>
      </c>
      <c r="H2266" s="16">
        <v>7.7396130000000003</v>
      </c>
      <c r="I2266" s="16">
        <v>7.3814774999999999</v>
      </c>
      <c r="J2266" s="3" t="s">
        <v>5011</v>
      </c>
      <c r="K2266" s="16">
        <v>231.92178551440003</v>
      </c>
      <c r="L2266" s="16">
        <v>28.861962200000001</v>
      </c>
      <c r="M2266" s="16">
        <f t="shared" si="70"/>
        <v>3.7291221408615649</v>
      </c>
    </row>
    <row r="2267" spans="1:13" x14ac:dyDescent="0.25">
      <c r="A2267" s="2">
        <f t="shared" si="71"/>
        <v>2262</v>
      </c>
      <c r="B2267" s="2">
        <v>173986</v>
      </c>
      <c r="C2267" s="2" t="s">
        <v>4773</v>
      </c>
      <c r="D2267" s="14" t="s">
        <v>2256</v>
      </c>
      <c r="E2267" s="14">
        <v>0</v>
      </c>
      <c r="F2267" s="14">
        <v>0</v>
      </c>
      <c r="G2267" s="14">
        <v>0</v>
      </c>
      <c r="H2267" s="16">
        <v>0</v>
      </c>
      <c r="I2267" s="16">
        <v>0</v>
      </c>
      <c r="J2267" s="3" t="s">
        <v>5011</v>
      </c>
      <c r="K2267" s="16">
        <v>0</v>
      </c>
      <c r="L2267" s="16">
        <v>0</v>
      </c>
      <c r="M2267" s="16">
        <v>0</v>
      </c>
    </row>
    <row r="2268" spans="1:13" x14ac:dyDescent="0.25">
      <c r="A2268" s="2">
        <f t="shared" si="71"/>
        <v>2263</v>
      </c>
      <c r="B2268" s="2">
        <v>174029</v>
      </c>
      <c r="C2268" s="2" t="s">
        <v>4774</v>
      </c>
      <c r="D2268" s="14" t="s">
        <v>2257</v>
      </c>
      <c r="E2268" s="14">
        <v>20.171982200000002</v>
      </c>
      <c r="F2268" s="14">
        <v>0</v>
      </c>
      <c r="G2268" s="14">
        <v>20.171982200000002</v>
      </c>
      <c r="H2268" s="16">
        <v>1431.4024472000001</v>
      </c>
      <c r="I2268" s="16">
        <v>1031.5697306</v>
      </c>
      <c r="J2268" s="3" t="s">
        <v>5011</v>
      </c>
      <c r="K2268" s="16">
        <v>17220.145043467801</v>
      </c>
      <c r="L2268" s="16">
        <v>2481.0651294999998</v>
      </c>
      <c r="M2268" s="16">
        <f t="shared" si="70"/>
        <v>1.7333106663002216</v>
      </c>
    </row>
    <row r="2269" spans="1:13" x14ac:dyDescent="0.25">
      <c r="A2269" s="2">
        <f t="shared" si="71"/>
        <v>2264</v>
      </c>
      <c r="B2269" s="2">
        <v>174074</v>
      </c>
      <c r="C2269" s="2" t="s">
        <v>4775</v>
      </c>
      <c r="D2269" s="14" t="s">
        <v>2258</v>
      </c>
      <c r="E2269" s="14">
        <v>5.3971470999999998</v>
      </c>
      <c r="F2269" s="14">
        <v>0</v>
      </c>
      <c r="G2269" s="14">
        <v>5.3971470999999998</v>
      </c>
      <c r="H2269" s="16">
        <v>621.15835860000004</v>
      </c>
      <c r="I2269" s="16">
        <v>601.2690619</v>
      </c>
      <c r="J2269" s="3" t="s">
        <v>5011</v>
      </c>
      <c r="K2269" s="16">
        <v>5489.1741687663016</v>
      </c>
      <c r="L2269" s="16">
        <v>934.18837859999996</v>
      </c>
      <c r="M2269" s="16">
        <f t="shared" si="70"/>
        <v>1.5039455972314753</v>
      </c>
    </row>
    <row r="2270" spans="1:13" x14ac:dyDescent="0.25">
      <c r="A2270" s="2">
        <f t="shared" si="71"/>
        <v>2265</v>
      </c>
      <c r="B2270" s="2">
        <v>174093</v>
      </c>
      <c r="C2270" s="2" t="s">
        <v>4776</v>
      </c>
      <c r="D2270" s="14" t="s">
        <v>2259</v>
      </c>
      <c r="E2270" s="14">
        <v>0.95357049999999999</v>
      </c>
      <c r="F2270" s="14">
        <v>0</v>
      </c>
      <c r="G2270" s="14">
        <v>0.95357049999999999</v>
      </c>
      <c r="H2270" s="16">
        <v>253.49710199999998</v>
      </c>
      <c r="I2270" s="16">
        <v>187.93571879999999</v>
      </c>
      <c r="J2270" s="3" t="s">
        <v>5011</v>
      </c>
      <c r="K2270" s="16">
        <v>1071.6361737790999</v>
      </c>
      <c r="L2270" s="16">
        <v>258.72839489999996</v>
      </c>
      <c r="M2270" s="16">
        <f t="shared" si="70"/>
        <v>1.0206364998208144</v>
      </c>
    </row>
    <row r="2271" spans="1:13" x14ac:dyDescent="0.25">
      <c r="A2271" s="2">
        <f t="shared" si="71"/>
        <v>2266</v>
      </c>
      <c r="B2271" s="2">
        <v>174346</v>
      </c>
      <c r="C2271" s="2" t="s">
        <v>4777</v>
      </c>
      <c r="D2271" s="14" t="s">
        <v>2260</v>
      </c>
      <c r="E2271" s="14">
        <v>0.30109209999999997</v>
      </c>
      <c r="F2271" s="14">
        <v>0</v>
      </c>
      <c r="G2271" s="14">
        <v>0.30109209999999997</v>
      </c>
      <c r="H2271" s="16">
        <v>39.924296499999997</v>
      </c>
      <c r="I2271" s="16">
        <v>27.973720199999999</v>
      </c>
      <c r="J2271" s="3" t="s">
        <v>5011</v>
      </c>
      <c r="K2271" s="16">
        <v>424.29762051850003</v>
      </c>
      <c r="L2271" s="16">
        <v>57.706062899999999</v>
      </c>
      <c r="M2271" s="16">
        <f t="shared" si="70"/>
        <v>1.4453870940468545</v>
      </c>
    </row>
    <row r="2272" spans="1:13" x14ac:dyDescent="0.25">
      <c r="A2272" s="2">
        <f t="shared" si="71"/>
        <v>2267</v>
      </c>
      <c r="B2272" s="2">
        <v>174475</v>
      </c>
      <c r="C2272" s="2" t="s">
        <v>4778</v>
      </c>
      <c r="D2272" s="14" t="s">
        <v>2261</v>
      </c>
      <c r="E2272" s="14">
        <v>0</v>
      </c>
      <c r="F2272" s="14">
        <v>0</v>
      </c>
      <c r="G2272" s="14">
        <v>0</v>
      </c>
      <c r="H2272" s="16">
        <v>0</v>
      </c>
      <c r="I2272" s="16">
        <v>0</v>
      </c>
      <c r="J2272" s="3" t="s">
        <v>5011</v>
      </c>
      <c r="K2272" s="16">
        <v>0</v>
      </c>
      <c r="L2272" s="16">
        <v>0</v>
      </c>
      <c r="M2272" s="16">
        <v>0</v>
      </c>
    </row>
    <row r="2273" spans="1:13" x14ac:dyDescent="0.25">
      <c r="A2273" s="2">
        <f t="shared" si="71"/>
        <v>2268</v>
      </c>
      <c r="B2273" s="2">
        <v>174484</v>
      </c>
      <c r="C2273" s="2" t="s">
        <v>4779</v>
      </c>
      <c r="D2273" s="14" t="s">
        <v>2262</v>
      </c>
      <c r="E2273" s="14">
        <v>0.78993869999999999</v>
      </c>
      <c r="F2273" s="14">
        <v>0</v>
      </c>
      <c r="G2273" s="14">
        <v>0.78993869999999999</v>
      </c>
      <c r="H2273" s="16">
        <v>113.4870408</v>
      </c>
      <c r="I2273" s="16">
        <v>79.964635799999996</v>
      </c>
      <c r="J2273" s="3" t="s">
        <v>5011</v>
      </c>
      <c r="K2273" s="16">
        <v>792.6773026277001</v>
      </c>
      <c r="L2273" s="16">
        <v>138.82030269999998</v>
      </c>
      <c r="M2273" s="16">
        <f t="shared" si="70"/>
        <v>1.22322603287053</v>
      </c>
    </row>
    <row r="2274" spans="1:13" x14ac:dyDescent="0.25">
      <c r="A2274" s="2">
        <f t="shared" si="71"/>
        <v>2269</v>
      </c>
      <c r="B2274" s="2">
        <v>174795</v>
      </c>
      <c r="C2274" s="2" t="s">
        <v>4780</v>
      </c>
      <c r="D2274" s="14" t="s">
        <v>2263</v>
      </c>
      <c r="E2274" s="14">
        <v>9.6637743</v>
      </c>
      <c r="F2274" s="14">
        <v>0</v>
      </c>
      <c r="G2274" s="14">
        <v>9.6637743</v>
      </c>
      <c r="H2274" s="16">
        <v>1121.9439026999999</v>
      </c>
      <c r="I2274" s="16">
        <v>1121.9439026999999</v>
      </c>
      <c r="J2274" s="3" t="s">
        <v>5011</v>
      </c>
      <c r="K2274" s="16">
        <v>7066.7879193121007</v>
      </c>
      <c r="L2274" s="16">
        <v>1410.9242483</v>
      </c>
      <c r="M2274" s="16">
        <f t="shared" si="70"/>
        <v>1.2575711182212927</v>
      </c>
    </row>
    <row r="2275" spans="1:13" x14ac:dyDescent="0.25">
      <c r="A2275" s="2">
        <f t="shared" si="71"/>
        <v>2270</v>
      </c>
      <c r="B2275" s="2">
        <v>174803</v>
      </c>
      <c r="C2275" s="2" t="s">
        <v>4781</v>
      </c>
      <c r="D2275" s="14" t="s">
        <v>2264</v>
      </c>
      <c r="E2275" s="14">
        <v>2.9890945000000002</v>
      </c>
      <c r="F2275" s="14">
        <v>0</v>
      </c>
      <c r="G2275" s="14">
        <v>2.9890945000000002</v>
      </c>
      <c r="H2275" s="16">
        <v>437.32921060000001</v>
      </c>
      <c r="I2275" s="16">
        <v>271.41548040000004</v>
      </c>
      <c r="J2275" s="3" t="s">
        <v>5011</v>
      </c>
      <c r="K2275" s="16">
        <v>2975.7800771384004</v>
      </c>
      <c r="L2275" s="16">
        <v>495.73965240000001</v>
      </c>
      <c r="M2275" s="16">
        <f t="shared" si="70"/>
        <v>1.1335617205168229</v>
      </c>
    </row>
    <row r="2276" spans="1:13" x14ac:dyDescent="0.25">
      <c r="A2276" s="2">
        <f t="shared" si="71"/>
        <v>2271</v>
      </c>
      <c r="B2276" s="2">
        <v>174863</v>
      </c>
      <c r="C2276" s="2" t="s">
        <v>4782</v>
      </c>
      <c r="D2276" s="14" t="s">
        <v>2265</v>
      </c>
      <c r="E2276" s="14">
        <v>0</v>
      </c>
      <c r="F2276" s="14">
        <v>0</v>
      </c>
      <c r="G2276" s="14">
        <v>0</v>
      </c>
      <c r="H2276" s="16">
        <v>0</v>
      </c>
      <c r="I2276" s="16">
        <v>0</v>
      </c>
      <c r="J2276" s="3" t="s">
        <v>5011</v>
      </c>
      <c r="K2276" s="16">
        <v>0</v>
      </c>
      <c r="L2276" s="16">
        <v>0</v>
      </c>
      <c r="M2276" s="16">
        <v>0</v>
      </c>
    </row>
    <row r="2277" spans="1:13" x14ac:dyDescent="0.25">
      <c r="A2277" s="2">
        <f t="shared" si="71"/>
        <v>2272</v>
      </c>
      <c r="B2277" s="2">
        <v>175033</v>
      </c>
      <c r="C2277" s="2" t="s">
        <v>4783</v>
      </c>
      <c r="D2277" s="14" t="s">
        <v>2266</v>
      </c>
      <c r="E2277" s="14">
        <v>10.6593079</v>
      </c>
      <c r="F2277" s="14">
        <v>0</v>
      </c>
      <c r="G2277" s="14">
        <v>10.6593079</v>
      </c>
      <c r="H2277" s="16">
        <v>220.23898969999999</v>
      </c>
      <c r="I2277" s="16">
        <v>218.95326359999999</v>
      </c>
      <c r="J2277" s="3" t="s">
        <v>5011</v>
      </c>
      <c r="K2277" s="16">
        <v>7804.4108094339008</v>
      </c>
      <c r="L2277" s="16">
        <v>984.20329420000007</v>
      </c>
      <c r="M2277" s="16">
        <f t="shared" si="70"/>
        <v>4.4687968081430052</v>
      </c>
    </row>
    <row r="2278" spans="1:13" x14ac:dyDescent="0.25">
      <c r="A2278" s="2">
        <f t="shared" si="71"/>
        <v>2273</v>
      </c>
      <c r="B2278" s="2">
        <v>175137</v>
      </c>
      <c r="C2278" s="2" t="s">
        <v>4784</v>
      </c>
      <c r="D2278" s="14" t="s">
        <v>2267</v>
      </c>
      <c r="E2278" s="14">
        <v>4.8019700000000005E-2</v>
      </c>
      <c r="F2278" s="14">
        <v>0</v>
      </c>
      <c r="G2278" s="14">
        <v>4.8019700000000005E-2</v>
      </c>
      <c r="H2278" s="16">
        <v>157.99368050000001</v>
      </c>
      <c r="I2278" s="16">
        <v>132.8685366</v>
      </c>
      <c r="J2278" s="3" t="s">
        <v>5011</v>
      </c>
      <c r="K2278" s="16">
        <v>257.24641805559997</v>
      </c>
      <c r="L2278" s="16">
        <v>135.80462729999999</v>
      </c>
      <c r="M2278" s="16">
        <f t="shared" si="70"/>
        <v>0.85955733716830518</v>
      </c>
    </row>
    <row r="2279" spans="1:13" x14ac:dyDescent="0.25">
      <c r="A2279" s="2">
        <f t="shared" si="71"/>
        <v>2274</v>
      </c>
      <c r="B2279" s="2">
        <v>175193</v>
      </c>
      <c r="C2279" s="2" t="s">
        <v>4785</v>
      </c>
      <c r="D2279" s="14" t="s">
        <v>2268</v>
      </c>
      <c r="E2279" s="14">
        <v>1.7274385000000001</v>
      </c>
      <c r="F2279" s="14">
        <v>0</v>
      </c>
      <c r="G2279" s="14">
        <v>1.7274385000000001</v>
      </c>
      <c r="H2279" s="16">
        <v>81.649258500000002</v>
      </c>
      <c r="I2279" s="16">
        <v>28.683040299999995</v>
      </c>
      <c r="J2279" s="3" t="s">
        <v>5011</v>
      </c>
      <c r="K2279" s="16">
        <v>1547.6755517307001</v>
      </c>
      <c r="L2279" s="16">
        <v>174.49405969999998</v>
      </c>
      <c r="M2279" s="16">
        <f t="shared" si="70"/>
        <v>2.1371175060946817</v>
      </c>
    </row>
    <row r="2280" spans="1:13" x14ac:dyDescent="0.25">
      <c r="A2280" s="2">
        <f t="shared" si="71"/>
        <v>2275</v>
      </c>
      <c r="B2280" s="2">
        <v>175312</v>
      </c>
      <c r="C2280" s="2" t="s">
        <v>4786</v>
      </c>
      <c r="D2280" s="14" t="s">
        <v>2269</v>
      </c>
      <c r="E2280" s="14">
        <v>0.83944170000000018</v>
      </c>
      <c r="F2280" s="14">
        <v>0</v>
      </c>
      <c r="G2280" s="14">
        <v>0.83944170000000018</v>
      </c>
      <c r="H2280" s="16">
        <v>58.1908697</v>
      </c>
      <c r="I2280" s="16">
        <v>37.878441599999995</v>
      </c>
      <c r="J2280" s="3" t="s">
        <v>5011</v>
      </c>
      <c r="K2280" s="16">
        <v>857.78967795410017</v>
      </c>
      <c r="L2280" s="16">
        <v>113.0035274</v>
      </c>
      <c r="M2280" s="16">
        <f t="shared" si="70"/>
        <v>1.9419460128811237</v>
      </c>
    </row>
    <row r="2281" spans="1:13" x14ac:dyDescent="0.25">
      <c r="A2281" s="2">
        <f t="shared" si="71"/>
        <v>2276</v>
      </c>
      <c r="B2281" s="2">
        <v>175429</v>
      </c>
      <c r="C2281" s="2" t="s">
        <v>4787</v>
      </c>
      <c r="D2281" s="14" t="s">
        <v>2270</v>
      </c>
      <c r="E2281" s="14">
        <v>0</v>
      </c>
      <c r="F2281" s="14">
        <v>0</v>
      </c>
      <c r="G2281" s="14">
        <v>0</v>
      </c>
      <c r="H2281" s="16">
        <v>0</v>
      </c>
      <c r="I2281" s="16">
        <v>0</v>
      </c>
      <c r="J2281" s="3" t="s">
        <v>5011</v>
      </c>
      <c r="K2281" s="16">
        <v>0</v>
      </c>
      <c r="L2281" s="16">
        <v>0</v>
      </c>
      <c r="M2281" s="16">
        <v>0</v>
      </c>
    </row>
    <row r="2282" spans="1:13" x14ac:dyDescent="0.25">
      <c r="A2282" s="2">
        <f t="shared" si="71"/>
        <v>2277</v>
      </c>
      <c r="B2282" s="2">
        <v>175785</v>
      </c>
      <c r="C2282" s="2" t="s">
        <v>4788</v>
      </c>
      <c r="D2282" s="14" t="s">
        <v>2271</v>
      </c>
      <c r="E2282" s="14">
        <v>0</v>
      </c>
      <c r="F2282" s="14">
        <v>0</v>
      </c>
      <c r="G2282" s="14">
        <v>0</v>
      </c>
      <c r="H2282" s="16">
        <v>9.9994999999999997E-3</v>
      </c>
      <c r="I2282" s="16">
        <v>9.9994999999999997E-3</v>
      </c>
      <c r="J2282" s="3" t="s">
        <v>5011</v>
      </c>
      <c r="K2282" s="16">
        <v>3.5819774000000002E-3</v>
      </c>
      <c r="L2282" s="16">
        <v>1.0202599999999999E-2</v>
      </c>
      <c r="M2282" s="16">
        <f t="shared" si="70"/>
        <v>1.0203110155507775</v>
      </c>
    </row>
    <row r="2283" spans="1:13" x14ac:dyDescent="0.25">
      <c r="A2283" s="2">
        <f t="shared" si="71"/>
        <v>2278</v>
      </c>
      <c r="B2283" s="2">
        <v>175978</v>
      </c>
      <c r="C2283" s="2" t="s">
        <v>4789</v>
      </c>
      <c r="D2283" s="14" t="s">
        <v>2272</v>
      </c>
      <c r="E2283" s="14">
        <v>1.3200154999999998</v>
      </c>
      <c r="F2283" s="14">
        <v>0</v>
      </c>
      <c r="G2283" s="14">
        <v>1.3200154999999998</v>
      </c>
      <c r="H2283" s="16">
        <v>116.84252669999999</v>
      </c>
      <c r="I2283" s="16">
        <v>107.57688379999999</v>
      </c>
      <c r="J2283" s="3" t="s">
        <v>5011</v>
      </c>
      <c r="K2283" s="16">
        <v>1128.0576136144998</v>
      </c>
      <c r="L2283" s="16">
        <v>191.977147</v>
      </c>
      <c r="M2283" s="16">
        <f t="shared" si="70"/>
        <v>1.6430417282306171</v>
      </c>
    </row>
    <row r="2284" spans="1:13" x14ac:dyDescent="0.25">
      <c r="A2284" s="2">
        <f t="shared" si="71"/>
        <v>2279</v>
      </c>
      <c r="B2284" s="2">
        <v>176173</v>
      </c>
      <c r="C2284" s="2" t="s">
        <v>4790</v>
      </c>
      <c r="D2284" s="14" t="s">
        <v>2273</v>
      </c>
      <c r="E2284" s="14">
        <v>0</v>
      </c>
      <c r="F2284" s="14">
        <v>0</v>
      </c>
      <c r="G2284" s="14">
        <v>0</v>
      </c>
      <c r="H2284" s="16">
        <v>0</v>
      </c>
      <c r="I2284" s="16">
        <v>0</v>
      </c>
      <c r="J2284" s="3" t="s">
        <v>5011</v>
      </c>
      <c r="K2284" s="16">
        <v>0</v>
      </c>
      <c r="L2284" s="16">
        <v>0</v>
      </c>
      <c r="M2284" s="16">
        <v>0</v>
      </c>
    </row>
    <row r="2285" spans="1:13" x14ac:dyDescent="0.25">
      <c r="A2285" s="2">
        <f t="shared" si="71"/>
        <v>2280</v>
      </c>
      <c r="B2285" s="2">
        <v>176234</v>
      </c>
      <c r="C2285" s="2" t="s">
        <v>4791</v>
      </c>
      <c r="D2285" s="14" t="s">
        <v>2274</v>
      </c>
      <c r="E2285" s="14">
        <v>0.93681809999999999</v>
      </c>
      <c r="F2285" s="14">
        <v>0</v>
      </c>
      <c r="G2285" s="14">
        <v>0.93681809999999999</v>
      </c>
      <c r="H2285" s="16">
        <v>91.038462799999991</v>
      </c>
      <c r="I2285" s="16">
        <v>87.693335099999999</v>
      </c>
      <c r="J2285" s="3" t="s">
        <v>5011</v>
      </c>
      <c r="K2285" s="16">
        <v>910.04647521530001</v>
      </c>
      <c r="L2285" s="16">
        <v>153.9407449</v>
      </c>
      <c r="M2285" s="16">
        <f t="shared" si="70"/>
        <v>1.6909418301381953</v>
      </c>
    </row>
    <row r="2286" spans="1:13" x14ac:dyDescent="0.25">
      <c r="A2286" s="2">
        <f t="shared" si="71"/>
        <v>2281</v>
      </c>
      <c r="B2286" s="2">
        <v>176472</v>
      </c>
      <c r="C2286" s="2" t="s">
        <v>4792</v>
      </c>
      <c r="D2286" s="14" t="s">
        <v>2275</v>
      </c>
      <c r="E2286" s="14">
        <v>1.7392227999999996</v>
      </c>
      <c r="F2286" s="14">
        <v>0</v>
      </c>
      <c r="G2286" s="14">
        <v>1.7392227999999996</v>
      </c>
      <c r="H2286" s="16">
        <v>148.30832989999999</v>
      </c>
      <c r="I2286" s="16">
        <v>95.469829199999992</v>
      </c>
      <c r="J2286" s="3" t="s">
        <v>5011</v>
      </c>
      <c r="K2286" s="16">
        <v>1472.4817548662995</v>
      </c>
      <c r="L2286" s="16">
        <v>205.52324510000003</v>
      </c>
      <c r="M2286" s="16">
        <f t="shared" si="70"/>
        <v>1.3857835580683728</v>
      </c>
    </row>
    <row r="2287" spans="1:13" x14ac:dyDescent="0.25">
      <c r="A2287" s="2">
        <f t="shared" si="71"/>
        <v>2282</v>
      </c>
      <c r="B2287" s="2">
        <v>176482</v>
      </c>
      <c r="C2287" s="2" t="s">
        <v>4793</v>
      </c>
      <c r="D2287" s="14" t="s">
        <v>2276</v>
      </c>
      <c r="E2287" s="14">
        <v>6.6511299999999995E-2</v>
      </c>
      <c r="F2287" s="14">
        <v>0</v>
      </c>
      <c r="G2287" s="14">
        <v>6.6511299999999995E-2</v>
      </c>
      <c r="H2287" s="16">
        <v>16.821710899999999</v>
      </c>
      <c r="I2287" s="16">
        <v>14.309837399999999</v>
      </c>
      <c r="J2287" s="3" t="s">
        <v>5011</v>
      </c>
      <c r="K2287" s="16">
        <v>136.25955094770001</v>
      </c>
      <c r="L2287" s="16">
        <v>21.266960699999998</v>
      </c>
      <c r="M2287" s="16">
        <f t="shared" si="70"/>
        <v>1.2642566993586841</v>
      </c>
    </row>
    <row r="2288" spans="1:13" x14ac:dyDescent="0.25">
      <c r="A2288" s="2">
        <f t="shared" si="71"/>
        <v>2283</v>
      </c>
      <c r="B2288" s="2">
        <v>176666</v>
      </c>
      <c r="C2288" s="2" t="s">
        <v>4794</v>
      </c>
      <c r="D2288" s="14" t="s">
        <v>2277</v>
      </c>
      <c r="E2288" s="14">
        <v>2.33346E-2</v>
      </c>
      <c r="F2288" s="14">
        <v>0</v>
      </c>
      <c r="G2288" s="14">
        <v>2.33346E-2</v>
      </c>
      <c r="H2288" s="16">
        <v>9.2845382000000001</v>
      </c>
      <c r="I2288" s="16">
        <v>9.084538199999999</v>
      </c>
      <c r="J2288" s="3" t="s">
        <v>5011</v>
      </c>
      <c r="K2288" s="16">
        <v>46.622507550099996</v>
      </c>
      <c r="L2288" s="16">
        <v>11.193639599999999</v>
      </c>
      <c r="M2288" s="16">
        <f t="shared" si="70"/>
        <v>1.2056215784647208</v>
      </c>
    </row>
    <row r="2289" spans="1:13" x14ac:dyDescent="0.25">
      <c r="A2289" s="2">
        <f t="shared" si="71"/>
        <v>2284</v>
      </c>
      <c r="B2289" s="2">
        <v>176739</v>
      </c>
      <c r="C2289" s="2" t="s">
        <v>4795</v>
      </c>
      <c r="D2289" s="14" t="s">
        <v>2278</v>
      </c>
      <c r="E2289" s="14">
        <v>0.38368620000000003</v>
      </c>
      <c r="F2289" s="14">
        <v>0</v>
      </c>
      <c r="G2289" s="14">
        <v>0.38368620000000003</v>
      </c>
      <c r="H2289" s="16">
        <v>85.883207499999997</v>
      </c>
      <c r="I2289" s="16">
        <v>80.443888000000001</v>
      </c>
      <c r="J2289" s="3" t="s">
        <v>5011</v>
      </c>
      <c r="K2289" s="16">
        <v>575.67244033300017</v>
      </c>
      <c r="L2289" s="16">
        <v>101.46134619999999</v>
      </c>
      <c r="M2289" s="16">
        <f t="shared" si="70"/>
        <v>1.181387481365318</v>
      </c>
    </row>
    <row r="2290" spans="1:13" x14ac:dyDescent="0.25">
      <c r="A2290" s="2">
        <f t="shared" si="71"/>
        <v>2285</v>
      </c>
      <c r="B2290" s="2">
        <v>176754</v>
      </c>
      <c r="C2290" s="2" t="s">
        <v>4796</v>
      </c>
      <c r="D2290" s="14" t="s">
        <v>2279</v>
      </c>
      <c r="E2290" s="14">
        <v>8.5002785999999997</v>
      </c>
      <c r="F2290" s="14">
        <v>0</v>
      </c>
      <c r="G2290" s="14">
        <v>8.5002785999999997</v>
      </c>
      <c r="H2290" s="16">
        <v>1036.6298581999999</v>
      </c>
      <c r="I2290" s="16">
        <v>739.61720849999995</v>
      </c>
      <c r="J2290" s="3" t="s">
        <v>5011</v>
      </c>
      <c r="K2290" s="16">
        <v>10823.904167728899</v>
      </c>
      <c r="L2290" s="16">
        <v>1551.8559066999999</v>
      </c>
      <c r="M2290" s="16">
        <f t="shared" si="70"/>
        <v>1.4970202666114947</v>
      </c>
    </row>
    <row r="2291" spans="1:13" x14ac:dyDescent="0.25">
      <c r="A2291" s="2">
        <f t="shared" si="71"/>
        <v>2286</v>
      </c>
      <c r="B2291" s="2">
        <v>176981</v>
      </c>
      <c r="C2291" s="2" t="s">
        <v>4797</v>
      </c>
      <c r="D2291" s="14" t="s">
        <v>2280</v>
      </c>
      <c r="E2291" s="14">
        <v>0.56147150000000001</v>
      </c>
      <c r="F2291" s="14">
        <v>0</v>
      </c>
      <c r="G2291" s="14">
        <v>0.56147150000000001</v>
      </c>
      <c r="H2291" s="16">
        <v>82.287212999999994</v>
      </c>
      <c r="I2291" s="16">
        <v>66.304734100000005</v>
      </c>
      <c r="J2291" s="3" t="s">
        <v>5011</v>
      </c>
      <c r="K2291" s="16">
        <v>642.16551766919997</v>
      </c>
      <c r="L2291" s="16">
        <v>102.822771</v>
      </c>
      <c r="M2291" s="16">
        <f t="shared" si="70"/>
        <v>1.2495595275538134</v>
      </c>
    </row>
    <row r="2292" spans="1:13" x14ac:dyDescent="0.25">
      <c r="A2292" s="2">
        <f t="shared" si="71"/>
        <v>2287</v>
      </c>
      <c r="B2292" s="2">
        <v>176986</v>
      </c>
      <c r="C2292" s="2" t="s">
        <v>4798</v>
      </c>
      <c r="D2292" s="14" t="s">
        <v>2281</v>
      </c>
      <c r="E2292" s="14">
        <v>0.1703665</v>
      </c>
      <c r="F2292" s="14">
        <v>0</v>
      </c>
      <c r="G2292" s="14">
        <v>0.1703665</v>
      </c>
      <c r="H2292" s="16">
        <v>3.9048053000000005</v>
      </c>
      <c r="I2292" s="16">
        <v>-3.1905271999999996</v>
      </c>
      <c r="J2292" s="3" t="s">
        <v>5011</v>
      </c>
      <c r="K2292" s="16">
        <v>161.28067081699999</v>
      </c>
      <c r="L2292" s="16">
        <v>14.854261299999999</v>
      </c>
      <c r="M2292" s="16">
        <f t="shared" si="70"/>
        <v>3.8040978125080902</v>
      </c>
    </row>
    <row r="2293" spans="1:13" x14ac:dyDescent="0.25">
      <c r="A2293" s="2">
        <f t="shared" si="71"/>
        <v>2288</v>
      </c>
      <c r="B2293" s="2">
        <v>177080</v>
      </c>
      <c r="C2293" s="2" t="s">
        <v>4799</v>
      </c>
      <c r="D2293" s="14" t="s">
        <v>2282</v>
      </c>
      <c r="E2293" s="14">
        <v>2.2940853000000003</v>
      </c>
      <c r="F2293" s="14">
        <v>0</v>
      </c>
      <c r="G2293" s="14">
        <v>2.2940853000000003</v>
      </c>
      <c r="H2293" s="16">
        <v>113.96939060000001</v>
      </c>
      <c r="I2293" s="16">
        <v>94.932099400000013</v>
      </c>
      <c r="J2293" s="3" t="s">
        <v>5011</v>
      </c>
      <c r="K2293" s="16">
        <v>2093.8436116077</v>
      </c>
      <c r="L2293" s="16">
        <v>0</v>
      </c>
      <c r="M2293" s="16">
        <f t="shared" si="70"/>
        <v>0</v>
      </c>
    </row>
    <row r="2294" spans="1:13" x14ac:dyDescent="0.25">
      <c r="A2294" s="2">
        <f t="shared" si="71"/>
        <v>2289</v>
      </c>
      <c r="B2294" s="2">
        <v>177172</v>
      </c>
      <c r="C2294" s="2" t="s">
        <v>4800</v>
      </c>
      <c r="D2294" s="14" t="s">
        <v>2283</v>
      </c>
      <c r="E2294" s="14">
        <v>5.7325084999999998</v>
      </c>
      <c r="F2294" s="14">
        <v>0</v>
      </c>
      <c r="G2294" s="14">
        <v>5.7325084999999998</v>
      </c>
      <c r="H2294" s="16">
        <v>1930.6412516999999</v>
      </c>
      <c r="I2294" s="16">
        <v>1718.8944882999999</v>
      </c>
      <c r="J2294" s="3" t="s">
        <v>5011</v>
      </c>
      <c r="K2294" s="16">
        <v>8460.5275697366997</v>
      </c>
      <c r="L2294" s="16">
        <v>1983.8526938999998</v>
      </c>
      <c r="M2294" s="16">
        <f t="shared" si="70"/>
        <v>1.0275615379880365</v>
      </c>
    </row>
    <row r="2295" spans="1:13" x14ac:dyDescent="0.25">
      <c r="A2295" s="2">
        <f t="shared" si="71"/>
        <v>2290</v>
      </c>
      <c r="B2295" s="2">
        <v>177563</v>
      </c>
      <c r="C2295" s="2" t="s">
        <v>4801</v>
      </c>
      <c r="D2295" s="14" t="s">
        <v>2284</v>
      </c>
      <c r="E2295" s="14">
        <v>136.81201059999998</v>
      </c>
      <c r="F2295" s="14">
        <v>0</v>
      </c>
      <c r="G2295" s="14">
        <v>136.81201059999998</v>
      </c>
      <c r="H2295" s="16">
        <v>9475.7952568000001</v>
      </c>
      <c r="I2295" s="16">
        <v>3883.4637208999993</v>
      </c>
      <c r="J2295" s="3" t="s">
        <v>5011</v>
      </c>
      <c r="K2295" s="16">
        <v>114172.80772691205</v>
      </c>
      <c r="L2295" s="16">
        <v>14353.2634225</v>
      </c>
      <c r="M2295" s="16">
        <f t="shared" si="70"/>
        <v>1.5147291634651816</v>
      </c>
    </row>
    <row r="2296" spans="1:13" x14ac:dyDescent="0.25">
      <c r="A2296" s="2">
        <f t="shared" si="71"/>
        <v>2291</v>
      </c>
      <c r="B2296" s="2">
        <v>178159</v>
      </c>
      <c r="C2296" s="2" t="s">
        <v>4802</v>
      </c>
      <c r="D2296" s="14" t="s">
        <v>2285</v>
      </c>
      <c r="E2296" s="14">
        <v>0</v>
      </c>
      <c r="F2296" s="14">
        <v>0</v>
      </c>
      <c r="G2296" s="14">
        <v>0</v>
      </c>
      <c r="H2296" s="16">
        <v>0</v>
      </c>
      <c r="I2296" s="16">
        <v>0</v>
      </c>
      <c r="J2296" s="3" t="s">
        <v>5011</v>
      </c>
      <c r="K2296" s="16">
        <v>0</v>
      </c>
      <c r="L2296" s="16">
        <v>0</v>
      </c>
      <c r="M2296" s="16">
        <v>0</v>
      </c>
    </row>
    <row r="2297" spans="1:13" x14ac:dyDescent="0.25">
      <c r="A2297" s="2">
        <f t="shared" si="71"/>
        <v>2292</v>
      </c>
      <c r="B2297" s="2">
        <v>179229</v>
      </c>
      <c r="C2297" s="2" t="s">
        <v>4803</v>
      </c>
      <c r="D2297" s="14" t="s">
        <v>2286</v>
      </c>
      <c r="E2297" s="14">
        <v>13.805382999999997</v>
      </c>
      <c r="F2297" s="14">
        <v>0</v>
      </c>
      <c r="G2297" s="14">
        <v>13.805382999999997</v>
      </c>
      <c r="H2297" s="16">
        <v>111.16944429999999</v>
      </c>
      <c r="I2297" s="16">
        <v>-147.124325</v>
      </c>
      <c r="J2297" s="3" t="s">
        <v>5011</v>
      </c>
      <c r="K2297" s="16">
        <v>9972.1971485451995</v>
      </c>
      <c r="L2297" s="16">
        <v>949.12134200000003</v>
      </c>
      <c r="M2297" s="16">
        <f t="shared" si="70"/>
        <v>8.537609843930829</v>
      </c>
    </row>
    <row r="2298" spans="1:13" x14ac:dyDescent="0.25">
      <c r="A2298" s="2">
        <f t="shared" si="71"/>
        <v>2293</v>
      </c>
      <c r="B2298" s="2">
        <v>179272</v>
      </c>
      <c r="C2298" s="2" t="s">
        <v>4804</v>
      </c>
      <c r="D2298" s="14" t="s">
        <v>2287</v>
      </c>
      <c r="E2298" s="14">
        <v>11.093463999999999</v>
      </c>
      <c r="F2298" s="14">
        <v>0</v>
      </c>
      <c r="G2298" s="14">
        <v>11.093463999999999</v>
      </c>
      <c r="H2298" s="16">
        <v>2701.0071387000003</v>
      </c>
      <c r="I2298" s="16">
        <v>1860.8252797</v>
      </c>
      <c r="J2298" s="3" t="s">
        <v>5011</v>
      </c>
      <c r="K2298" s="16">
        <v>10982.908134461301</v>
      </c>
      <c r="L2298" s="16">
        <v>2670.5585809999998</v>
      </c>
      <c r="M2298" s="16">
        <f t="shared" si="70"/>
        <v>0.98872696141238059</v>
      </c>
    </row>
    <row r="2299" spans="1:13" x14ac:dyDescent="0.25">
      <c r="A2299" s="2">
        <f t="shared" si="71"/>
        <v>2294</v>
      </c>
      <c r="B2299" s="2">
        <v>179273</v>
      </c>
      <c r="C2299" s="2" t="s">
        <v>4805</v>
      </c>
      <c r="D2299" s="14" t="s">
        <v>2288</v>
      </c>
      <c r="E2299" s="14">
        <v>4.4864084999999996</v>
      </c>
      <c r="F2299" s="14">
        <v>0</v>
      </c>
      <c r="G2299" s="14">
        <v>4.4864084999999996</v>
      </c>
      <c r="H2299" s="16">
        <v>371.84832659999995</v>
      </c>
      <c r="I2299" s="16">
        <v>318.69963709999996</v>
      </c>
      <c r="J2299" s="3" t="s">
        <v>5011</v>
      </c>
      <c r="K2299" s="16">
        <v>3673.3437242940008</v>
      </c>
      <c r="L2299" s="16">
        <v>571.24848369999995</v>
      </c>
      <c r="M2299" s="16">
        <f t="shared" si="70"/>
        <v>1.5362405659404681</v>
      </c>
    </row>
    <row r="2300" spans="1:13" x14ac:dyDescent="0.25">
      <c r="A2300" s="2">
        <f t="shared" si="71"/>
        <v>2295</v>
      </c>
      <c r="B2300" s="2">
        <v>179774</v>
      </c>
      <c r="C2300" s="2" t="s">
        <v>4806</v>
      </c>
      <c r="D2300" s="14" t="s">
        <v>2289</v>
      </c>
      <c r="E2300" s="14">
        <v>0</v>
      </c>
      <c r="F2300" s="14">
        <v>0</v>
      </c>
      <c r="G2300" s="14">
        <v>0</v>
      </c>
      <c r="H2300" s="16">
        <v>1.499925</v>
      </c>
      <c r="I2300" s="16">
        <v>1.499925</v>
      </c>
      <c r="J2300" s="3" t="s">
        <v>5011</v>
      </c>
      <c r="K2300" s="16">
        <v>0.29409168390000001</v>
      </c>
      <c r="L2300" s="16">
        <v>1.5251501999999999</v>
      </c>
      <c r="M2300" s="16">
        <f t="shared" si="70"/>
        <v>1.016817640882044</v>
      </c>
    </row>
    <row r="2301" spans="1:13" x14ac:dyDescent="0.25">
      <c r="A2301" s="2">
        <f t="shared" si="71"/>
        <v>2296</v>
      </c>
      <c r="B2301" s="2">
        <v>179832</v>
      </c>
      <c r="C2301" s="2" t="s">
        <v>4807</v>
      </c>
      <c r="D2301" s="14" t="s">
        <v>2290</v>
      </c>
      <c r="E2301" s="14">
        <v>0.49572690000000003</v>
      </c>
      <c r="F2301" s="14">
        <v>0</v>
      </c>
      <c r="G2301" s="14">
        <v>0.49572690000000003</v>
      </c>
      <c r="H2301" s="16">
        <v>50.615473899999998</v>
      </c>
      <c r="I2301" s="16">
        <v>49.052473899999995</v>
      </c>
      <c r="J2301" s="3" t="s">
        <v>5011</v>
      </c>
      <c r="K2301" s="16">
        <v>443.19796213890004</v>
      </c>
      <c r="L2301" s="16">
        <v>83.818726999999996</v>
      </c>
      <c r="M2301" s="16">
        <f t="shared" si="70"/>
        <v>1.6559901654896882</v>
      </c>
    </row>
    <row r="2302" spans="1:13" x14ac:dyDescent="0.25">
      <c r="A2302" s="2">
        <f t="shared" si="71"/>
        <v>2297</v>
      </c>
      <c r="B2302" s="2">
        <v>179976</v>
      </c>
      <c r="C2302" s="2" t="s">
        <v>4808</v>
      </c>
      <c r="D2302" s="14" t="s">
        <v>2291</v>
      </c>
      <c r="E2302" s="14">
        <v>15.717679700000001</v>
      </c>
      <c r="F2302" s="14">
        <v>0</v>
      </c>
      <c r="G2302" s="14">
        <v>15.717679700000001</v>
      </c>
      <c r="H2302" s="16">
        <v>576.77266320000001</v>
      </c>
      <c r="I2302" s="16">
        <v>493.90898920000001</v>
      </c>
      <c r="J2302" s="3" t="s">
        <v>5011</v>
      </c>
      <c r="K2302" s="16">
        <v>11339.847142398898</v>
      </c>
      <c r="L2302" s="16">
        <v>1470.6110419999998</v>
      </c>
      <c r="M2302" s="16">
        <f t="shared" si="70"/>
        <v>2.5497238961376625</v>
      </c>
    </row>
    <row r="2303" spans="1:13" x14ac:dyDescent="0.25">
      <c r="A2303" s="2">
        <f t="shared" si="71"/>
        <v>2298</v>
      </c>
      <c r="B2303" s="2">
        <v>180325</v>
      </c>
      <c r="C2303" s="2" t="s">
        <v>4809</v>
      </c>
      <c r="D2303" s="14" t="s">
        <v>2292</v>
      </c>
      <c r="E2303" s="14">
        <v>6.0169402999999999</v>
      </c>
      <c r="F2303" s="14">
        <v>0</v>
      </c>
      <c r="G2303" s="14">
        <v>6.0169402999999999</v>
      </c>
      <c r="H2303" s="16">
        <v>387.3092317</v>
      </c>
      <c r="I2303" s="16">
        <v>273.6878494</v>
      </c>
      <c r="J2303" s="3" t="s">
        <v>5011</v>
      </c>
      <c r="K2303" s="16">
        <v>6365.7537279217977</v>
      </c>
      <c r="L2303" s="16">
        <v>823.02617250000003</v>
      </c>
      <c r="M2303" s="16">
        <f t="shared" si="70"/>
        <v>2.1249846508628933</v>
      </c>
    </row>
    <row r="2304" spans="1:13" x14ac:dyDescent="0.25">
      <c r="A2304" s="2">
        <f t="shared" si="71"/>
        <v>2299</v>
      </c>
      <c r="B2304" s="2">
        <v>180348</v>
      </c>
      <c r="C2304" s="2" t="s">
        <v>4810</v>
      </c>
      <c r="D2304" s="14" t="s">
        <v>2293</v>
      </c>
      <c r="E2304" s="14">
        <v>0</v>
      </c>
      <c r="F2304" s="14">
        <v>0</v>
      </c>
      <c r="G2304" s="14">
        <v>0</v>
      </c>
      <c r="H2304" s="16">
        <v>0.19999</v>
      </c>
      <c r="I2304" s="16">
        <v>0.19999</v>
      </c>
      <c r="J2304" s="3" t="s">
        <v>5011</v>
      </c>
      <c r="K2304" s="16">
        <v>13.532671947600001</v>
      </c>
      <c r="L2304" s="16">
        <v>1.4576457</v>
      </c>
      <c r="M2304" s="16">
        <f t="shared" si="70"/>
        <v>7.2885929296464829</v>
      </c>
    </row>
    <row r="2305" spans="1:13" x14ac:dyDescent="0.25">
      <c r="A2305" s="2">
        <f t="shared" si="71"/>
        <v>2300</v>
      </c>
      <c r="B2305" s="2">
        <v>180349</v>
      </c>
      <c r="C2305" s="2" t="s">
        <v>4811</v>
      </c>
      <c r="D2305" s="14" t="s">
        <v>2294</v>
      </c>
      <c r="E2305" s="14">
        <v>16.570994800000001</v>
      </c>
      <c r="F2305" s="14">
        <v>0</v>
      </c>
      <c r="G2305" s="14">
        <v>16.570994800000001</v>
      </c>
      <c r="H2305" s="16">
        <v>980.60027090000006</v>
      </c>
      <c r="I2305" s="16">
        <v>699.47045700000001</v>
      </c>
      <c r="J2305" s="3" t="s">
        <v>5011</v>
      </c>
      <c r="K2305" s="16">
        <v>11828.213374232402</v>
      </c>
      <c r="L2305" s="16">
        <v>1634.8473892</v>
      </c>
      <c r="M2305" s="16">
        <f t="shared" si="70"/>
        <v>1.6671904319377033</v>
      </c>
    </row>
    <row r="2306" spans="1:13" x14ac:dyDescent="0.25">
      <c r="A2306" s="2">
        <f t="shared" si="71"/>
        <v>2301</v>
      </c>
      <c r="B2306" s="2">
        <v>180975</v>
      </c>
      <c r="C2306" s="2" t="s">
        <v>4812</v>
      </c>
      <c r="D2306" s="14" t="s">
        <v>2295</v>
      </c>
      <c r="E2306" s="14">
        <v>19.2890713</v>
      </c>
      <c r="F2306" s="14">
        <v>0</v>
      </c>
      <c r="G2306" s="14">
        <v>19.2890713</v>
      </c>
      <c r="H2306" s="16">
        <v>1525.2851305000002</v>
      </c>
      <c r="I2306" s="16">
        <v>1016.2070801000002</v>
      </c>
      <c r="J2306" s="3" t="s">
        <v>5011</v>
      </c>
      <c r="K2306" s="16">
        <v>17623.398188026898</v>
      </c>
      <c r="L2306" s="16">
        <v>2435.8670769</v>
      </c>
      <c r="M2306" s="16">
        <f t="shared" si="70"/>
        <v>1.596991295720233</v>
      </c>
    </row>
    <row r="2307" spans="1:13" x14ac:dyDescent="0.25">
      <c r="A2307" s="2">
        <f t="shared" si="71"/>
        <v>2302</v>
      </c>
      <c r="B2307" s="2">
        <v>181033</v>
      </c>
      <c r="C2307" s="2" t="s">
        <v>4813</v>
      </c>
      <c r="D2307" s="14" t="s">
        <v>2296</v>
      </c>
      <c r="E2307" s="14">
        <v>0</v>
      </c>
      <c r="F2307" s="14">
        <v>0</v>
      </c>
      <c r="G2307" s="14">
        <v>0</v>
      </c>
      <c r="H2307" s="16">
        <v>0</v>
      </c>
      <c r="I2307" s="16">
        <v>0</v>
      </c>
      <c r="J2307" s="3" t="s">
        <v>5011</v>
      </c>
      <c r="K2307" s="16">
        <v>0</v>
      </c>
      <c r="L2307" s="16">
        <v>0</v>
      </c>
      <c r="M2307" s="16">
        <v>0</v>
      </c>
    </row>
    <row r="2308" spans="1:13" x14ac:dyDescent="0.25">
      <c r="A2308" s="2">
        <f t="shared" si="71"/>
        <v>2303</v>
      </c>
      <c r="B2308" s="2">
        <v>181211</v>
      </c>
      <c r="C2308" s="2" t="s">
        <v>4814</v>
      </c>
      <c r="D2308" s="14" t="s">
        <v>2297</v>
      </c>
      <c r="E2308" s="14">
        <v>0.47756049999999994</v>
      </c>
      <c r="F2308" s="14">
        <v>0</v>
      </c>
      <c r="G2308" s="14">
        <v>0.47756049999999994</v>
      </c>
      <c r="H2308" s="16">
        <v>42.946575700000004</v>
      </c>
      <c r="I2308" s="16">
        <v>28.471096900000003</v>
      </c>
      <c r="J2308" s="3" t="s">
        <v>5011</v>
      </c>
      <c r="K2308" s="16">
        <v>503.16645451480008</v>
      </c>
      <c r="L2308" s="16">
        <v>59.504870799999999</v>
      </c>
      <c r="M2308" s="16">
        <f t="shared" si="70"/>
        <v>1.3855556544406866</v>
      </c>
    </row>
    <row r="2309" spans="1:13" x14ac:dyDescent="0.25">
      <c r="A2309" s="2">
        <f t="shared" si="71"/>
        <v>2304</v>
      </c>
      <c r="B2309" s="2">
        <v>181278</v>
      </c>
      <c r="C2309" s="2" t="s">
        <v>4815</v>
      </c>
      <c r="D2309" s="14" t="s">
        <v>2298</v>
      </c>
      <c r="E2309" s="14">
        <v>1.3151657000000001</v>
      </c>
      <c r="F2309" s="14">
        <v>0</v>
      </c>
      <c r="G2309" s="14">
        <v>1.3151657000000001</v>
      </c>
      <c r="H2309" s="16">
        <v>119.47906259999999</v>
      </c>
      <c r="I2309" s="16">
        <v>102.200384</v>
      </c>
      <c r="J2309" s="3" t="s">
        <v>5011</v>
      </c>
      <c r="K2309" s="16">
        <v>1521.7834276737999</v>
      </c>
      <c r="L2309" s="16">
        <v>210.67534000000001</v>
      </c>
      <c r="M2309" s="16">
        <f t="shared" si="70"/>
        <v>1.7632824983345661</v>
      </c>
    </row>
    <row r="2310" spans="1:13" x14ac:dyDescent="0.25">
      <c r="A2310" s="2">
        <f t="shared" si="71"/>
        <v>2305</v>
      </c>
      <c r="B2310" s="2">
        <v>181727</v>
      </c>
      <c r="C2310" s="2" t="s">
        <v>4816</v>
      </c>
      <c r="D2310" s="14" t="s">
        <v>2299</v>
      </c>
      <c r="E2310" s="14">
        <v>29.312064499999998</v>
      </c>
      <c r="F2310" s="14">
        <v>0</v>
      </c>
      <c r="G2310" s="14">
        <v>29.312064499999998</v>
      </c>
      <c r="H2310" s="16">
        <v>1499.9521362999999</v>
      </c>
      <c r="I2310" s="16">
        <v>1099.9933245999998</v>
      </c>
      <c r="J2310" s="3" t="s">
        <v>5011</v>
      </c>
      <c r="K2310" s="16">
        <v>28473.305180377407</v>
      </c>
      <c r="L2310" s="16">
        <v>3776.7765054000001</v>
      </c>
      <c r="M2310" s="16">
        <f t="shared" si="70"/>
        <v>2.5179313486071271</v>
      </c>
    </row>
    <row r="2311" spans="1:13" x14ac:dyDescent="0.25">
      <c r="A2311" s="2">
        <f t="shared" si="71"/>
        <v>2306</v>
      </c>
      <c r="B2311" s="2">
        <v>182258</v>
      </c>
      <c r="C2311" s="2" t="s">
        <v>4817</v>
      </c>
      <c r="D2311" s="14" t="s">
        <v>2300</v>
      </c>
      <c r="E2311" s="14">
        <v>0</v>
      </c>
      <c r="F2311" s="14">
        <v>0</v>
      </c>
      <c r="G2311" s="14">
        <v>0</v>
      </c>
      <c r="H2311" s="16">
        <v>0</v>
      </c>
      <c r="I2311" s="16">
        <v>0</v>
      </c>
      <c r="J2311" s="3" t="s">
        <v>5011</v>
      </c>
      <c r="K2311" s="16">
        <v>0</v>
      </c>
      <c r="L2311" s="16">
        <v>0</v>
      </c>
      <c r="M2311" s="16">
        <v>0</v>
      </c>
    </row>
    <row r="2312" spans="1:13" x14ac:dyDescent="0.25">
      <c r="A2312" s="2">
        <f t="shared" ref="A2312:A2375" si="72">A2311+1</f>
        <v>2307</v>
      </c>
      <c r="B2312" s="2">
        <v>183038</v>
      </c>
      <c r="C2312" s="2" t="s">
        <v>4818</v>
      </c>
      <c r="D2312" s="14" t="s">
        <v>2301</v>
      </c>
      <c r="E2312" s="14">
        <v>9.191025999999999</v>
      </c>
      <c r="F2312" s="14">
        <v>0</v>
      </c>
      <c r="G2312" s="14">
        <v>9.191025999999999</v>
      </c>
      <c r="H2312" s="16">
        <v>259.3736677</v>
      </c>
      <c r="I2312" s="16">
        <v>137.47125019999999</v>
      </c>
      <c r="J2312" s="3" t="s">
        <v>5011</v>
      </c>
      <c r="K2312" s="16">
        <v>7183.3664258729023</v>
      </c>
      <c r="L2312" s="16">
        <v>779.71388279999996</v>
      </c>
      <c r="M2312" s="16">
        <f t="shared" ref="M2311:M2374" si="73">L2312/H2312</f>
        <v>3.0061412544847936</v>
      </c>
    </row>
    <row r="2313" spans="1:13" x14ac:dyDescent="0.25">
      <c r="A2313" s="2">
        <f t="shared" si="72"/>
        <v>2308</v>
      </c>
      <c r="B2313" s="2">
        <v>183111</v>
      </c>
      <c r="C2313" s="2" t="s">
        <v>4819</v>
      </c>
      <c r="D2313" s="14" t="s">
        <v>2302</v>
      </c>
      <c r="E2313" s="14">
        <v>38.684768599999998</v>
      </c>
      <c r="F2313" s="14">
        <v>0</v>
      </c>
      <c r="G2313" s="14">
        <v>38.684768599999998</v>
      </c>
      <c r="H2313" s="16">
        <v>2712.2954641000001</v>
      </c>
      <c r="I2313" s="16">
        <v>1827.2017508000004</v>
      </c>
      <c r="J2313" s="3" t="s">
        <v>5011</v>
      </c>
      <c r="K2313" s="16">
        <v>38930.630886674</v>
      </c>
      <c r="L2313" s="16">
        <v>5118.8657891000003</v>
      </c>
      <c r="M2313" s="16">
        <f t="shared" si="73"/>
        <v>1.8872817717882935</v>
      </c>
    </row>
    <row r="2314" spans="1:13" x14ac:dyDescent="0.25">
      <c r="A2314" s="2">
        <f t="shared" si="72"/>
        <v>2309</v>
      </c>
      <c r="B2314" s="2">
        <v>184136</v>
      </c>
      <c r="C2314" s="2" t="s">
        <v>4820</v>
      </c>
      <c r="D2314" s="14" t="s">
        <v>2303</v>
      </c>
      <c r="E2314" s="14">
        <v>5.8444445999999992</v>
      </c>
      <c r="F2314" s="14">
        <v>0</v>
      </c>
      <c r="G2314" s="14">
        <v>5.8444445999999992</v>
      </c>
      <c r="H2314" s="16">
        <v>459.62693150000001</v>
      </c>
      <c r="I2314" s="16">
        <v>142.16093139999998</v>
      </c>
      <c r="J2314" s="3" t="s">
        <v>5011</v>
      </c>
      <c r="K2314" s="16">
        <v>6143.6804045501003</v>
      </c>
      <c r="L2314" s="16">
        <v>676.21771939999996</v>
      </c>
      <c r="M2314" s="16">
        <f t="shared" si="73"/>
        <v>1.471231716542702</v>
      </c>
    </row>
    <row r="2315" spans="1:13" x14ac:dyDescent="0.25">
      <c r="A2315" s="2">
        <f t="shared" si="72"/>
        <v>2310</v>
      </c>
      <c r="B2315" s="2">
        <v>184155</v>
      </c>
      <c r="C2315" s="2" t="s">
        <v>4821</v>
      </c>
      <c r="D2315" s="14" t="s">
        <v>2304</v>
      </c>
      <c r="E2315" s="14">
        <v>2.0265297000000002</v>
      </c>
      <c r="F2315" s="14">
        <v>0</v>
      </c>
      <c r="G2315" s="14">
        <v>2.0265297000000002</v>
      </c>
      <c r="H2315" s="16">
        <v>341.71529869999995</v>
      </c>
      <c r="I2315" s="16">
        <v>209.45530269999995</v>
      </c>
      <c r="J2315" s="3" t="s">
        <v>5011</v>
      </c>
      <c r="K2315" s="16">
        <v>2641.2964953513001</v>
      </c>
      <c r="L2315" s="16">
        <v>411.4748128</v>
      </c>
      <c r="M2315" s="16">
        <f t="shared" si="73"/>
        <v>1.2041451300699404</v>
      </c>
    </row>
    <row r="2316" spans="1:13" x14ac:dyDescent="0.25">
      <c r="A2316" s="2">
        <f t="shared" si="72"/>
        <v>2311</v>
      </c>
      <c r="B2316" s="2">
        <v>184294</v>
      </c>
      <c r="C2316" s="2" t="s">
        <v>4822</v>
      </c>
      <c r="D2316" s="14" t="s">
        <v>2305</v>
      </c>
      <c r="E2316" s="14">
        <v>0</v>
      </c>
      <c r="F2316" s="14">
        <v>0</v>
      </c>
      <c r="G2316" s="14">
        <v>0</v>
      </c>
      <c r="H2316" s="16">
        <v>0</v>
      </c>
      <c r="I2316" s="16">
        <v>0</v>
      </c>
      <c r="J2316" s="3" t="s">
        <v>5011</v>
      </c>
      <c r="K2316" s="16">
        <v>0</v>
      </c>
      <c r="L2316" s="16">
        <v>0</v>
      </c>
      <c r="M2316" s="16">
        <v>0</v>
      </c>
    </row>
    <row r="2317" spans="1:13" x14ac:dyDescent="0.25">
      <c r="A2317" s="2">
        <f t="shared" si="72"/>
        <v>2312</v>
      </c>
      <c r="B2317" s="2">
        <v>184506</v>
      </c>
      <c r="C2317" s="2" t="s">
        <v>4823</v>
      </c>
      <c r="D2317" s="14" t="s">
        <v>2306</v>
      </c>
      <c r="E2317" s="14">
        <v>13.111437400000002</v>
      </c>
      <c r="F2317" s="14">
        <v>0</v>
      </c>
      <c r="G2317" s="14">
        <v>13.111437400000002</v>
      </c>
      <c r="H2317" s="16">
        <v>946.86816769999996</v>
      </c>
      <c r="I2317" s="16">
        <v>456.98998249999994</v>
      </c>
      <c r="J2317" s="3" t="s">
        <v>5011</v>
      </c>
      <c r="K2317" s="16">
        <v>10605.0642230585</v>
      </c>
      <c r="L2317" s="16">
        <v>1407.3681597</v>
      </c>
      <c r="M2317" s="16">
        <f t="shared" si="73"/>
        <v>1.4863401344651626</v>
      </c>
    </row>
    <row r="2318" spans="1:13" x14ac:dyDescent="0.25">
      <c r="A2318" s="2">
        <f t="shared" si="72"/>
        <v>2313</v>
      </c>
      <c r="B2318" s="2">
        <v>184541</v>
      </c>
      <c r="C2318" s="2" t="s">
        <v>4824</v>
      </c>
      <c r="D2318" s="14" t="s">
        <v>2307</v>
      </c>
      <c r="E2318" s="14">
        <v>0.33131880000000002</v>
      </c>
      <c r="F2318" s="14">
        <v>0</v>
      </c>
      <c r="G2318" s="14">
        <v>0.33131880000000002</v>
      </c>
      <c r="H2318" s="16">
        <v>15.8692098</v>
      </c>
      <c r="I2318" s="16">
        <v>14.969207299999999</v>
      </c>
      <c r="J2318" s="3" t="s">
        <v>5011</v>
      </c>
      <c r="K2318" s="16">
        <v>312.39228139860001</v>
      </c>
      <c r="L2318" s="16">
        <v>41.403831699999998</v>
      </c>
      <c r="M2318" s="16">
        <f t="shared" si="73"/>
        <v>2.6090670059702656</v>
      </c>
    </row>
    <row r="2319" spans="1:13" x14ac:dyDescent="0.25">
      <c r="A2319" s="2">
        <f t="shared" si="72"/>
        <v>2314</v>
      </c>
      <c r="B2319" s="2">
        <v>184618</v>
      </c>
      <c r="C2319" s="2" t="s">
        <v>4825</v>
      </c>
      <c r="D2319" s="14" t="s">
        <v>2308</v>
      </c>
      <c r="E2319" s="14">
        <v>0</v>
      </c>
      <c r="F2319" s="14">
        <v>0</v>
      </c>
      <c r="G2319" s="14">
        <v>0</v>
      </c>
      <c r="H2319" s="16">
        <v>0</v>
      </c>
      <c r="I2319" s="16">
        <v>0</v>
      </c>
      <c r="J2319" s="3" t="s">
        <v>5011</v>
      </c>
      <c r="K2319" s="16">
        <v>0</v>
      </c>
      <c r="L2319" s="16">
        <v>0</v>
      </c>
      <c r="M2319" s="16">
        <v>0</v>
      </c>
    </row>
    <row r="2320" spans="1:13" x14ac:dyDescent="0.25">
      <c r="A2320" s="2">
        <f t="shared" si="72"/>
        <v>2315</v>
      </c>
      <c r="B2320" s="2">
        <v>184633</v>
      </c>
      <c r="C2320" s="2" t="s">
        <v>4826</v>
      </c>
      <c r="D2320" s="14" t="s">
        <v>2309</v>
      </c>
      <c r="E2320" s="14">
        <v>0.36745620000000001</v>
      </c>
      <c r="F2320" s="14">
        <v>0</v>
      </c>
      <c r="G2320" s="14">
        <v>0.36745620000000001</v>
      </c>
      <c r="H2320" s="16">
        <v>6.3306841</v>
      </c>
      <c r="I2320" s="16">
        <v>5.4996835000000006</v>
      </c>
      <c r="J2320" s="3" t="s">
        <v>5011</v>
      </c>
      <c r="K2320" s="16">
        <v>321.3783383032</v>
      </c>
      <c r="L2320" s="16">
        <v>36.545535200000003</v>
      </c>
      <c r="M2320" s="16">
        <f t="shared" si="73"/>
        <v>5.7727624096738621</v>
      </c>
    </row>
    <row r="2321" spans="1:13" x14ac:dyDescent="0.25">
      <c r="A2321" s="2">
        <f t="shared" si="72"/>
        <v>2316</v>
      </c>
      <c r="B2321" s="2">
        <v>185633</v>
      </c>
      <c r="C2321" s="2" t="s">
        <v>4827</v>
      </c>
      <c r="D2321" s="14" t="s">
        <v>2310</v>
      </c>
      <c r="E2321" s="14">
        <v>0.13140740000000001</v>
      </c>
      <c r="F2321" s="14">
        <v>0</v>
      </c>
      <c r="G2321" s="14">
        <v>0.13140740000000001</v>
      </c>
      <c r="H2321" s="16">
        <v>105.40705679999999</v>
      </c>
      <c r="I2321" s="16">
        <v>65.388788000000005</v>
      </c>
      <c r="J2321" s="3" t="s">
        <v>5011</v>
      </c>
      <c r="K2321" s="16">
        <v>330.3495263965001</v>
      </c>
      <c r="L2321" s="16">
        <v>77.5255346</v>
      </c>
      <c r="M2321" s="16">
        <f t="shared" si="73"/>
        <v>0.73548713865616644</v>
      </c>
    </row>
    <row r="2322" spans="1:13" x14ac:dyDescent="0.25">
      <c r="A2322" s="2">
        <f t="shared" si="72"/>
        <v>2317</v>
      </c>
      <c r="B2322" s="2">
        <v>185921</v>
      </c>
      <c r="C2322" s="2" t="s">
        <v>4828</v>
      </c>
      <c r="D2322" s="14" t="s">
        <v>2311</v>
      </c>
      <c r="E2322" s="14">
        <v>4.7972270000000004</v>
      </c>
      <c r="F2322" s="14">
        <v>0</v>
      </c>
      <c r="G2322" s="14">
        <v>4.7972270000000004</v>
      </c>
      <c r="H2322" s="16">
        <v>198.96081989999999</v>
      </c>
      <c r="I2322" s="16">
        <v>156.72229999999999</v>
      </c>
      <c r="J2322" s="3" t="s">
        <v>5011</v>
      </c>
      <c r="K2322" s="16">
        <v>4229.0076462576008</v>
      </c>
      <c r="L2322" s="16">
        <v>541.28711810000004</v>
      </c>
      <c r="M2322" s="16">
        <f t="shared" si="73"/>
        <v>2.720571408843496</v>
      </c>
    </row>
    <row r="2323" spans="1:13" x14ac:dyDescent="0.25">
      <c r="A2323" s="2">
        <f t="shared" si="72"/>
        <v>2318</v>
      </c>
      <c r="B2323" s="2">
        <v>186386</v>
      </c>
      <c r="C2323" s="2" t="s">
        <v>4829</v>
      </c>
      <c r="D2323" s="14" t="s">
        <v>2312</v>
      </c>
      <c r="E2323" s="14">
        <v>0.20180310000000001</v>
      </c>
      <c r="F2323" s="14">
        <v>0</v>
      </c>
      <c r="G2323" s="14">
        <v>0.20180310000000001</v>
      </c>
      <c r="H2323" s="16">
        <v>18.772105</v>
      </c>
      <c r="I2323" s="16">
        <v>14.9233204</v>
      </c>
      <c r="J2323" s="3" t="s">
        <v>5011</v>
      </c>
      <c r="K2323" s="16">
        <v>234.08901789069998</v>
      </c>
      <c r="L2323" s="16">
        <v>34.246501500000001</v>
      </c>
      <c r="M2323" s="16">
        <f t="shared" si="73"/>
        <v>1.8243293173567909</v>
      </c>
    </row>
    <row r="2324" spans="1:13" x14ac:dyDescent="0.25">
      <c r="A2324" s="2">
        <f t="shared" si="72"/>
        <v>2319</v>
      </c>
      <c r="B2324" s="2">
        <v>186659</v>
      </c>
      <c r="C2324" s="2" t="s">
        <v>4830</v>
      </c>
      <c r="D2324" s="14" t="s">
        <v>2313</v>
      </c>
      <c r="E2324" s="14">
        <v>0</v>
      </c>
      <c r="F2324" s="14">
        <v>0</v>
      </c>
      <c r="G2324" s="14">
        <v>0</v>
      </c>
      <c r="H2324" s="16">
        <v>0</v>
      </c>
      <c r="I2324" s="16">
        <v>0</v>
      </c>
      <c r="J2324" s="3" t="s">
        <v>5011</v>
      </c>
      <c r="K2324" s="16">
        <v>0</v>
      </c>
      <c r="L2324" s="16">
        <v>0</v>
      </c>
      <c r="M2324" s="16">
        <v>0</v>
      </c>
    </row>
    <row r="2325" spans="1:13" x14ac:dyDescent="0.25">
      <c r="A2325" s="2">
        <f t="shared" si="72"/>
        <v>2320</v>
      </c>
      <c r="B2325" s="2">
        <v>186911</v>
      </c>
      <c r="C2325" s="2" t="s">
        <v>4831</v>
      </c>
      <c r="D2325" s="14" t="s">
        <v>2314</v>
      </c>
      <c r="E2325" s="14">
        <v>1.1810000000000001E-4</v>
      </c>
      <c r="F2325" s="14">
        <v>0</v>
      </c>
      <c r="G2325" s="14">
        <v>1.1810000000000001E-4</v>
      </c>
      <c r="H2325" s="16">
        <v>8.9995499999999992E-2</v>
      </c>
      <c r="I2325" s="16">
        <v>8.9995499999999992E-2</v>
      </c>
      <c r="J2325" s="3" t="s">
        <v>5011</v>
      </c>
      <c r="K2325" s="16">
        <v>0.57617122390000008</v>
      </c>
      <c r="L2325" s="16">
        <v>0.11028159999999999</v>
      </c>
      <c r="M2325" s="16">
        <f t="shared" si="73"/>
        <v>1.2254123817301976</v>
      </c>
    </row>
    <row r="2326" spans="1:13" x14ac:dyDescent="0.25">
      <c r="A2326" s="2">
        <f t="shared" si="72"/>
        <v>2321</v>
      </c>
      <c r="B2326" s="2">
        <v>186987</v>
      </c>
      <c r="C2326" s="2" t="s">
        <v>4832</v>
      </c>
      <c r="D2326" s="14" t="s">
        <v>2315</v>
      </c>
      <c r="E2326" s="14">
        <v>5.1833705999999991</v>
      </c>
      <c r="F2326" s="14">
        <v>0</v>
      </c>
      <c r="G2326" s="14">
        <v>5.1833705999999991</v>
      </c>
      <c r="H2326" s="16">
        <v>404.55730939999995</v>
      </c>
      <c r="I2326" s="16">
        <v>210.88086129999999</v>
      </c>
      <c r="J2326" s="3" t="s">
        <v>5011</v>
      </c>
      <c r="K2326" s="16">
        <v>5593.1525743139991</v>
      </c>
      <c r="L2326" s="16">
        <v>641.67347210000003</v>
      </c>
      <c r="M2326" s="16">
        <f t="shared" si="73"/>
        <v>1.5861126648574653</v>
      </c>
    </row>
    <row r="2327" spans="1:13" x14ac:dyDescent="0.25">
      <c r="A2327" s="2">
        <f t="shared" si="72"/>
        <v>2322</v>
      </c>
      <c r="B2327" s="2">
        <v>187201</v>
      </c>
      <c r="C2327" s="2" t="s">
        <v>4833</v>
      </c>
      <c r="D2327" s="14" t="s">
        <v>2316</v>
      </c>
      <c r="E2327" s="14">
        <v>0.77599850000000004</v>
      </c>
      <c r="F2327" s="14">
        <v>0</v>
      </c>
      <c r="G2327" s="14">
        <v>0.77599850000000004</v>
      </c>
      <c r="H2327" s="16">
        <v>76.181200500000003</v>
      </c>
      <c r="I2327" s="16">
        <v>68.641863400000005</v>
      </c>
      <c r="J2327" s="3" t="s">
        <v>5011</v>
      </c>
      <c r="K2327" s="16">
        <v>763.99453141410015</v>
      </c>
      <c r="L2327" s="16">
        <v>120.3440535</v>
      </c>
      <c r="M2327" s="16">
        <f t="shared" si="73"/>
        <v>1.5797080212722561</v>
      </c>
    </row>
    <row r="2328" spans="1:13" x14ac:dyDescent="0.25">
      <c r="A2328" s="2">
        <f t="shared" si="72"/>
        <v>2323</v>
      </c>
      <c r="B2328" s="2">
        <v>187441</v>
      </c>
      <c r="C2328" s="2" t="s">
        <v>4834</v>
      </c>
      <c r="D2328" s="14" t="s">
        <v>2317</v>
      </c>
      <c r="E2328" s="14">
        <v>0.14738270000000001</v>
      </c>
      <c r="F2328" s="14">
        <v>0</v>
      </c>
      <c r="G2328" s="14">
        <v>0.14738270000000001</v>
      </c>
      <c r="H2328" s="16">
        <v>66.144288399999994</v>
      </c>
      <c r="I2328" s="16">
        <v>45.487834399999997</v>
      </c>
      <c r="J2328" s="3" t="s">
        <v>5011</v>
      </c>
      <c r="K2328" s="16">
        <v>308.82684427390006</v>
      </c>
      <c r="L2328" s="16">
        <v>50.0828007</v>
      </c>
      <c r="M2328" s="16">
        <f t="shared" si="73"/>
        <v>0.75717498685797346</v>
      </c>
    </row>
    <row r="2329" spans="1:13" x14ac:dyDescent="0.25">
      <c r="A2329" s="2">
        <f t="shared" si="72"/>
        <v>2324</v>
      </c>
      <c r="B2329" s="2">
        <v>187485</v>
      </c>
      <c r="C2329" s="2" t="s">
        <v>4835</v>
      </c>
      <c r="D2329" s="14" t="s">
        <v>2318</v>
      </c>
      <c r="E2329" s="14">
        <v>0</v>
      </c>
      <c r="F2329" s="14">
        <v>0</v>
      </c>
      <c r="G2329" s="14">
        <v>0</v>
      </c>
      <c r="H2329" s="16">
        <v>0</v>
      </c>
      <c r="I2329" s="16">
        <v>0</v>
      </c>
      <c r="J2329" s="3" t="s">
        <v>5011</v>
      </c>
      <c r="K2329" s="16">
        <v>0</v>
      </c>
      <c r="L2329" s="16">
        <v>0</v>
      </c>
      <c r="M2329" s="16">
        <v>0</v>
      </c>
    </row>
    <row r="2330" spans="1:13" x14ac:dyDescent="0.25">
      <c r="A2330" s="2">
        <f t="shared" si="72"/>
        <v>2325</v>
      </c>
      <c r="B2330" s="2">
        <v>187821</v>
      </c>
      <c r="C2330" s="2" t="s">
        <v>4836</v>
      </c>
      <c r="D2330" s="14" t="s">
        <v>2319</v>
      </c>
      <c r="E2330" s="14">
        <v>135.859385</v>
      </c>
      <c r="F2330" s="14">
        <v>0</v>
      </c>
      <c r="G2330" s="14">
        <v>135.859385</v>
      </c>
      <c r="H2330" s="16">
        <v>40471.4827563</v>
      </c>
      <c r="I2330" s="16">
        <v>26670.569236400002</v>
      </c>
      <c r="J2330" s="3" t="s">
        <v>5011</v>
      </c>
      <c r="K2330" s="16">
        <v>170012.39366837969</v>
      </c>
      <c r="L2330" s="16">
        <v>33878.432354600001</v>
      </c>
      <c r="M2330" s="16">
        <f t="shared" si="73"/>
        <v>0.83709392508793889</v>
      </c>
    </row>
    <row r="2331" spans="1:13" x14ac:dyDescent="0.25">
      <c r="A2331" s="2">
        <f t="shared" si="72"/>
        <v>2326</v>
      </c>
      <c r="B2331" s="2">
        <v>188138</v>
      </c>
      <c r="C2331" s="2" t="s">
        <v>4837</v>
      </c>
      <c r="D2331" s="14" t="s">
        <v>2320</v>
      </c>
      <c r="E2331" s="14">
        <v>9.9770000000000002E-4</v>
      </c>
      <c r="F2331" s="14">
        <v>0</v>
      </c>
      <c r="G2331" s="14">
        <v>9.9770000000000002E-4</v>
      </c>
      <c r="H2331" s="16">
        <v>1.8799060000000001</v>
      </c>
      <c r="I2331" s="16">
        <v>1.8799060000000001</v>
      </c>
      <c r="J2331" s="3" t="s">
        <v>5011</v>
      </c>
      <c r="K2331" s="16">
        <v>3.6212901886999997</v>
      </c>
      <c r="L2331" s="16">
        <v>1.9234010999999998</v>
      </c>
      <c r="M2331" s="16">
        <f t="shared" si="73"/>
        <v>1.0231368483317782</v>
      </c>
    </row>
    <row r="2332" spans="1:13" x14ac:dyDescent="0.25">
      <c r="A2332" s="2">
        <f t="shared" si="72"/>
        <v>2327</v>
      </c>
      <c r="B2332" s="2">
        <v>188164</v>
      </c>
      <c r="C2332" s="2" t="s">
        <v>4838</v>
      </c>
      <c r="D2332" s="14" t="s">
        <v>2321</v>
      </c>
      <c r="E2332" s="14">
        <v>5.0365181000000003</v>
      </c>
      <c r="F2332" s="14">
        <v>0</v>
      </c>
      <c r="G2332" s="14">
        <v>5.0365181000000003</v>
      </c>
      <c r="H2332" s="16">
        <v>1024.5272817</v>
      </c>
      <c r="I2332" s="16">
        <v>935.48014030000002</v>
      </c>
      <c r="J2332" s="3" t="s">
        <v>5011</v>
      </c>
      <c r="K2332" s="16">
        <v>6540.3610525681006</v>
      </c>
      <c r="L2332" s="16">
        <v>1416.9881188999998</v>
      </c>
      <c r="M2332" s="16">
        <f t="shared" si="73"/>
        <v>1.3830652869963489</v>
      </c>
    </row>
    <row r="2333" spans="1:13" x14ac:dyDescent="0.25">
      <c r="A2333" s="2">
        <f t="shared" si="72"/>
        <v>2328</v>
      </c>
      <c r="B2333" s="2">
        <v>188281</v>
      </c>
      <c r="C2333" s="2" t="s">
        <v>4839</v>
      </c>
      <c r="D2333" s="14" t="s">
        <v>2322</v>
      </c>
      <c r="E2333" s="14">
        <v>0.22956059999999998</v>
      </c>
      <c r="F2333" s="14">
        <v>0</v>
      </c>
      <c r="G2333" s="14">
        <v>0.22956059999999998</v>
      </c>
      <c r="H2333" s="16">
        <v>8.2745864999999998</v>
      </c>
      <c r="I2333" s="16">
        <v>8.0745865000000006</v>
      </c>
      <c r="J2333" s="3" t="s">
        <v>5011</v>
      </c>
      <c r="K2333" s="16">
        <v>147.79935847419998</v>
      </c>
      <c r="L2333" s="16">
        <v>19.629479799999999</v>
      </c>
      <c r="M2333" s="16">
        <f t="shared" si="73"/>
        <v>2.3722611154043767</v>
      </c>
    </row>
    <row r="2334" spans="1:13" x14ac:dyDescent="0.25">
      <c r="A2334" s="2">
        <f t="shared" si="72"/>
        <v>2329</v>
      </c>
      <c r="B2334" s="2">
        <v>188888</v>
      </c>
      <c r="C2334" s="2" t="s">
        <v>4840</v>
      </c>
      <c r="D2334" s="14" t="s">
        <v>2323</v>
      </c>
      <c r="E2334" s="14">
        <v>1.2363095</v>
      </c>
      <c r="F2334" s="14">
        <v>0</v>
      </c>
      <c r="G2334" s="14">
        <v>1.2363095</v>
      </c>
      <c r="H2334" s="16">
        <v>18.729067000000001</v>
      </c>
      <c r="I2334" s="16">
        <v>13.662113599999998</v>
      </c>
      <c r="J2334" s="3" t="s">
        <v>5011</v>
      </c>
      <c r="K2334" s="16">
        <v>1454.6759291212998</v>
      </c>
      <c r="L2334" s="16">
        <v>156.70067169999999</v>
      </c>
      <c r="M2334" s="16">
        <f t="shared" si="73"/>
        <v>8.3667099754622036</v>
      </c>
    </row>
    <row r="2335" spans="1:13" x14ac:dyDescent="0.25">
      <c r="A2335" s="2">
        <f t="shared" si="72"/>
        <v>2330</v>
      </c>
      <c r="B2335" s="2">
        <v>188934</v>
      </c>
      <c r="C2335" s="2" t="s">
        <v>4841</v>
      </c>
      <c r="D2335" s="14" t="s">
        <v>2324</v>
      </c>
      <c r="E2335" s="14">
        <v>0</v>
      </c>
      <c r="F2335" s="14">
        <v>0</v>
      </c>
      <c r="G2335" s="14">
        <v>0</v>
      </c>
      <c r="H2335" s="16">
        <v>0.57997100000000001</v>
      </c>
      <c r="I2335" s="16">
        <v>-18.196802099999999</v>
      </c>
      <c r="J2335" s="3" t="s">
        <v>5011</v>
      </c>
      <c r="K2335" s="16">
        <v>23.8694791872</v>
      </c>
      <c r="L2335" s="16">
        <v>1.3902141000000001</v>
      </c>
      <c r="M2335" s="16">
        <f t="shared" si="73"/>
        <v>2.397040714104671</v>
      </c>
    </row>
    <row r="2336" spans="1:13" x14ac:dyDescent="0.25">
      <c r="A2336" s="2">
        <f t="shared" si="72"/>
        <v>2331</v>
      </c>
      <c r="B2336" s="2">
        <v>189009</v>
      </c>
      <c r="C2336" s="2" t="s">
        <v>4842</v>
      </c>
      <c r="D2336" s="14" t="s">
        <v>2325</v>
      </c>
      <c r="E2336" s="14">
        <v>0.42404410000000003</v>
      </c>
      <c r="F2336" s="14">
        <v>0</v>
      </c>
      <c r="G2336" s="14">
        <v>0.42404410000000003</v>
      </c>
      <c r="H2336" s="16">
        <v>82.59466110000001</v>
      </c>
      <c r="I2336" s="16">
        <v>55.945623600000005</v>
      </c>
      <c r="J2336" s="3" t="s">
        <v>5011</v>
      </c>
      <c r="K2336" s="16">
        <v>559.10714744450001</v>
      </c>
      <c r="L2336" s="16">
        <v>91.122793200000004</v>
      </c>
      <c r="M2336" s="16">
        <f t="shared" si="73"/>
        <v>1.1032528251393237</v>
      </c>
    </row>
    <row r="2337" spans="1:13" x14ac:dyDescent="0.25">
      <c r="A2337" s="2">
        <f t="shared" si="72"/>
        <v>2332</v>
      </c>
      <c r="B2337" s="2">
        <v>189032</v>
      </c>
      <c r="C2337" s="2" t="s">
        <v>4843</v>
      </c>
      <c r="D2337" s="14" t="s">
        <v>2326</v>
      </c>
      <c r="E2337" s="14">
        <v>5.8694851000000003</v>
      </c>
      <c r="F2337" s="14">
        <v>0</v>
      </c>
      <c r="G2337" s="14">
        <v>5.8694851000000003</v>
      </c>
      <c r="H2337" s="16">
        <v>182.0236027</v>
      </c>
      <c r="I2337" s="16">
        <v>144.7445511</v>
      </c>
      <c r="J2337" s="3" t="s">
        <v>5011</v>
      </c>
      <c r="K2337" s="16">
        <v>4605.664317119199</v>
      </c>
      <c r="L2337" s="16">
        <v>533.38688390000004</v>
      </c>
      <c r="M2337" s="16">
        <f t="shared" si="73"/>
        <v>2.9303171456236652</v>
      </c>
    </row>
    <row r="2338" spans="1:13" x14ac:dyDescent="0.25">
      <c r="A2338" s="2">
        <f t="shared" si="72"/>
        <v>2333</v>
      </c>
      <c r="B2338" s="2">
        <v>189274</v>
      </c>
      <c r="C2338" s="2" t="s">
        <v>4844</v>
      </c>
      <c r="D2338" s="14" t="s">
        <v>2327</v>
      </c>
      <c r="E2338" s="14">
        <v>7.7876523999999998</v>
      </c>
      <c r="F2338" s="14">
        <v>0</v>
      </c>
      <c r="G2338" s="14">
        <v>7.7876523999999998</v>
      </c>
      <c r="H2338" s="16">
        <v>1070.6279623</v>
      </c>
      <c r="I2338" s="16">
        <v>989.38826779999999</v>
      </c>
      <c r="J2338" s="3" t="s">
        <v>5011</v>
      </c>
      <c r="K2338" s="16">
        <v>8587.6278263101958</v>
      </c>
      <c r="L2338" s="16">
        <v>1671.0722574000001</v>
      </c>
      <c r="M2338" s="16">
        <f t="shared" si="73"/>
        <v>1.5608337501386405</v>
      </c>
    </row>
    <row r="2339" spans="1:13" x14ac:dyDescent="0.25">
      <c r="A2339" s="2">
        <f t="shared" si="72"/>
        <v>2334</v>
      </c>
      <c r="B2339" s="2">
        <v>189294</v>
      </c>
      <c r="C2339" s="2" t="s">
        <v>4845</v>
      </c>
      <c r="D2339" s="14" t="s">
        <v>2328</v>
      </c>
      <c r="E2339" s="14">
        <v>5.8195040999999987</v>
      </c>
      <c r="F2339" s="14">
        <v>0</v>
      </c>
      <c r="G2339" s="14">
        <v>5.8195040999999987</v>
      </c>
      <c r="H2339" s="16">
        <v>397.49471090000003</v>
      </c>
      <c r="I2339" s="16">
        <v>269.30721080000006</v>
      </c>
      <c r="J2339" s="3" t="s">
        <v>5011</v>
      </c>
      <c r="K2339" s="16">
        <v>5017.1654101405002</v>
      </c>
      <c r="L2339" s="16">
        <v>686.68036119999999</v>
      </c>
      <c r="M2339" s="16">
        <f t="shared" si="73"/>
        <v>1.7275207502641514</v>
      </c>
    </row>
    <row r="2340" spans="1:13" x14ac:dyDescent="0.25">
      <c r="A2340" s="2">
        <f t="shared" si="72"/>
        <v>2335</v>
      </c>
      <c r="B2340" s="2">
        <v>190022</v>
      </c>
      <c r="C2340" s="2" t="s">
        <v>4846</v>
      </c>
      <c r="D2340" s="14" t="s">
        <v>2329</v>
      </c>
      <c r="E2340" s="14">
        <v>0</v>
      </c>
      <c r="F2340" s="14">
        <v>0</v>
      </c>
      <c r="G2340" s="14">
        <v>0</v>
      </c>
      <c r="H2340" s="16">
        <v>0</v>
      </c>
      <c r="I2340" s="16">
        <v>0</v>
      </c>
      <c r="J2340" s="3" t="s">
        <v>5011</v>
      </c>
      <c r="K2340" s="16">
        <v>0</v>
      </c>
      <c r="L2340" s="16">
        <v>0</v>
      </c>
      <c r="M2340" s="16">
        <v>0</v>
      </c>
    </row>
    <row r="2341" spans="1:13" x14ac:dyDescent="0.25">
      <c r="A2341" s="2">
        <f t="shared" si="72"/>
        <v>2336</v>
      </c>
      <c r="B2341" s="2">
        <v>190023</v>
      </c>
      <c r="C2341" s="2" t="s">
        <v>4847</v>
      </c>
      <c r="D2341" s="14" t="s">
        <v>2330</v>
      </c>
      <c r="E2341" s="14">
        <v>0</v>
      </c>
      <c r="F2341" s="14">
        <v>0</v>
      </c>
      <c r="G2341" s="14">
        <v>0</v>
      </c>
      <c r="H2341" s="16">
        <v>0</v>
      </c>
      <c r="I2341" s="16">
        <v>0</v>
      </c>
      <c r="J2341" s="3" t="s">
        <v>5011</v>
      </c>
      <c r="K2341" s="16">
        <v>0</v>
      </c>
      <c r="L2341" s="16">
        <v>0</v>
      </c>
      <c r="M2341" s="16">
        <v>0</v>
      </c>
    </row>
    <row r="2342" spans="1:13" x14ac:dyDescent="0.25">
      <c r="A2342" s="2">
        <f t="shared" si="72"/>
        <v>2337</v>
      </c>
      <c r="B2342" s="2">
        <v>190032</v>
      </c>
      <c r="C2342" s="2" t="s">
        <v>4848</v>
      </c>
      <c r="D2342" s="14" t="s">
        <v>2331</v>
      </c>
      <c r="E2342" s="14">
        <v>21.916100199999995</v>
      </c>
      <c r="F2342" s="14">
        <v>0</v>
      </c>
      <c r="G2342" s="14">
        <v>21.916100199999995</v>
      </c>
      <c r="H2342" s="16">
        <v>1023.2320137</v>
      </c>
      <c r="I2342" s="16">
        <v>457.34378750000008</v>
      </c>
      <c r="J2342" s="3" t="s">
        <v>5011</v>
      </c>
      <c r="K2342" s="16">
        <v>17033.99068298679</v>
      </c>
      <c r="L2342" s="16">
        <v>1955.8874533000001</v>
      </c>
      <c r="M2342" s="16">
        <f t="shared" si="73"/>
        <v>1.9114799254838835</v>
      </c>
    </row>
    <row r="2343" spans="1:13" x14ac:dyDescent="0.25">
      <c r="A2343" s="2">
        <f t="shared" si="72"/>
        <v>2338</v>
      </c>
      <c r="B2343" s="2">
        <v>190730</v>
      </c>
      <c r="C2343" s="2" t="s">
        <v>4849</v>
      </c>
      <c r="D2343" s="14" t="s">
        <v>2332</v>
      </c>
      <c r="E2343" s="14">
        <v>7.4724100000000002E-2</v>
      </c>
      <c r="F2343" s="14">
        <v>0</v>
      </c>
      <c r="G2343" s="14">
        <v>7.4724100000000002E-2</v>
      </c>
      <c r="H2343" s="16">
        <v>48.927600700000006</v>
      </c>
      <c r="I2343" s="16">
        <v>30.568990800000002</v>
      </c>
      <c r="J2343" s="3" t="s">
        <v>5011</v>
      </c>
      <c r="K2343" s="16">
        <v>165.9390747942</v>
      </c>
      <c r="L2343" s="16">
        <v>35.432921100000002</v>
      </c>
      <c r="M2343" s="16">
        <f t="shared" si="73"/>
        <v>0.72419085737020406</v>
      </c>
    </row>
    <row r="2344" spans="1:13" x14ac:dyDescent="0.25">
      <c r="A2344" s="2">
        <f t="shared" si="72"/>
        <v>2339</v>
      </c>
      <c r="B2344" s="2">
        <v>191304</v>
      </c>
      <c r="C2344" s="2" t="s">
        <v>4850</v>
      </c>
      <c r="D2344" s="14" t="s">
        <v>2333</v>
      </c>
      <c r="E2344" s="14">
        <v>5.7258500000000004E-2</v>
      </c>
      <c r="F2344" s="14">
        <v>0</v>
      </c>
      <c r="G2344" s="14">
        <v>5.7258500000000004E-2</v>
      </c>
      <c r="H2344" s="16">
        <v>21.173773499999999</v>
      </c>
      <c r="I2344" s="16">
        <v>17.030992200000004</v>
      </c>
      <c r="J2344" s="3" t="s">
        <v>5011</v>
      </c>
      <c r="K2344" s="16">
        <v>106.5767758742</v>
      </c>
      <c r="L2344" s="16">
        <v>20.803560900000001</v>
      </c>
      <c r="M2344" s="16">
        <f t="shared" si="73"/>
        <v>0.98251551146516236</v>
      </c>
    </row>
    <row r="2345" spans="1:13" x14ac:dyDescent="0.25">
      <c r="A2345" s="2">
        <f t="shared" si="72"/>
        <v>2340</v>
      </c>
      <c r="B2345" s="2">
        <v>191497</v>
      </c>
      <c r="C2345" s="2" t="s">
        <v>4851</v>
      </c>
      <c r="D2345" s="14" t="s">
        <v>2334</v>
      </c>
      <c r="E2345" s="14">
        <v>0</v>
      </c>
      <c r="F2345" s="14">
        <v>0</v>
      </c>
      <c r="G2345" s="14">
        <v>0</v>
      </c>
      <c r="H2345" s="16">
        <v>0</v>
      </c>
      <c r="I2345" s="16">
        <v>0</v>
      </c>
      <c r="J2345" s="3" t="s">
        <v>5011</v>
      </c>
      <c r="K2345" s="16">
        <v>0</v>
      </c>
      <c r="L2345" s="16">
        <v>0</v>
      </c>
      <c r="M2345" s="16">
        <v>0</v>
      </c>
    </row>
    <row r="2346" spans="1:13" x14ac:dyDescent="0.25">
      <c r="A2346" s="2">
        <f t="shared" si="72"/>
        <v>2341</v>
      </c>
      <c r="B2346" s="2">
        <v>192100</v>
      </c>
      <c r="C2346" s="2" t="s">
        <v>4852</v>
      </c>
      <c r="D2346" s="14" t="s">
        <v>2335</v>
      </c>
      <c r="E2346" s="14">
        <v>2.6515840999999996</v>
      </c>
      <c r="F2346" s="14">
        <v>0</v>
      </c>
      <c r="G2346" s="14">
        <v>2.6515840999999996</v>
      </c>
      <c r="H2346" s="16">
        <v>482.01835399999999</v>
      </c>
      <c r="I2346" s="16">
        <v>287.0994915</v>
      </c>
      <c r="J2346" s="3" t="s">
        <v>5011</v>
      </c>
      <c r="K2346" s="16">
        <v>3650.8223150067015</v>
      </c>
      <c r="L2346" s="16">
        <v>510.8249576</v>
      </c>
      <c r="M2346" s="16">
        <f t="shared" si="73"/>
        <v>1.0597624620742139</v>
      </c>
    </row>
    <row r="2347" spans="1:13" x14ac:dyDescent="0.25">
      <c r="A2347" s="2">
        <f t="shared" si="72"/>
        <v>2342</v>
      </c>
      <c r="B2347" s="2">
        <v>192342</v>
      </c>
      <c r="C2347" s="2" t="s">
        <v>4853</v>
      </c>
      <c r="D2347" s="14" t="s">
        <v>2336</v>
      </c>
      <c r="E2347" s="14">
        <v>0</v>
      </c>
      <c r="F2347" s="14">
        <v>0</v>
      </c>
      <c r="G2347" s="14">
        <v>0</v>
      </c>
      <c r="H2347" s="16">
        <v>0</v>
      </c>
      <c r="I2347" s="16">
        <v>0</v>
      </c>
      <c r="J2347" s="3" t="s">
        <v>5011</v>
      </c>
      <c r="K2347" s="16">
        <v>0</v>
      </c>
      <c r="L2347" s="16">
        <v>0</v>
      </c>
      <c r="M2347" s="16">
        <v>0</v>
      </c>
    </row>
    <row r="2348" spans="1:13" x14ac:dyDescent="0.25">
      <c r="A2348" s="2">
        <f t="shared" si="72"/>
        <v>2343</v>
      </c>
      <c r="B2348" s="2">
        <v>192746</v>
      </c>
      <c r="C2348" s="2" t="s">
        <v>4854</v>
      </c>
      <c r="D2348" s="14" t="s">
        <v>2337</v>
      </c>
      <c r="E2348" s="14">
        <v>0.17650880000000002</v>
      </c>
      <c r="F2348" s="14">
        <v>0</v>
      </c>
      <c r="G2348" s="14">
        <v>0.17650880000000002</v>
      </c>
      <c r="H2348" s="16">
        <v>26.600439300000001</v>
      </c>
      <c r="I2348" s="16">
        <v>21.183841699999999</v>
      </c>
      <c r="J2348" s="3" t="s">
        <v>5011</v>
      </c>
      <c r="K2348" s="16">
        <v>231.4695672986</v>
      </c>
      <c r="L2348" s="16">
        <v>40.390059199999996</v>
      </c>
      <c r="M2348" s="16">
        <f t="shared" si="73"/>
        <v>1.5183982017921032</v>
      </c>
    </row>
    <row r="2349" spans="1:13" x14ac:dyDescent="0.25">
      <c r="A2349" s="2">
        <f t="shared" si="72"/>
        <v>2344</v>
      </c>
      <c r="B2349" s="2">
        <v>192813</v>
      </c>
      <c r="C2349" s="2" t="s">
        <v>4855</v>
      </c>
      <c r="D2349" s="14" t="s">
        <v>2338</v>
      </c>
      <c r="E2349" s="14">
        <v>0.36704389999999998</v>
      </c>
      <c r="F2349" s="14">
        <v>0</v>
      </c>
      <c r="G2349" s="14">
        <v>0.36704389999999998</v>
      </c>
      <c r="H2349" s="16">
        <v>13.349332499999999</v>
      </c>
      <c r="I2349" s="16">
        <v>12.325439099999999</v>
      </c>
      <c r="J2349" s="3" t="s">
        <v>5011</v>
      </c>
      <c r="K2349" s="16">
        <v>399.7810977762</v>
      </c>
      <c r="L2349" s="16">
        <v>47.2427457</v>
      </c>
      <c r="M2349" s="16">
        <f t="shared" si="73"/>
        <v>3.5389593974080729</v>
      </c>
    </row>
    <row r="2350" spans="1:13" x14ac:dyDescent="0.25">
      <c r="A2350" s="2">
        <f t="shared" si="72"/>
        <v>2345</v>
      </c>
      <c r="B2350" s="2">
        <v>192973</v>
      </c>
      <c r="C2350" s="2" t="s">
        <v>4856</v>
      </c>
      <c r="D2350" s="14" t="s">
        <v>2339</v>
      </c>
      <c r="E2350" s="14">
        <v>323.5363097</v>
      </c>
      <c r="F2350" s="14">
        <v>0</v>
      </c>
      <c r="G2350" s="14">
        <v>323.5363097</v>
      </c>
      <c r="H2350" s="16">
        <v>3515.1435554000004</v>
      </c>
      <c r="I2350" s="16">
        <v>-4408.5023092000001</v>
      </c>
      <c r="J2350" s="3" t="s">
        <v>5011</v>
      </c>
      <c r="K2350" s="16">
        <v>196008.08430924432</v>
      </c>
      <c r="L2350" s="16">
        <v>18461.327363199998</v>
      </c>
      <c r="M2350" s="16">
        <f t="shared" si="73"/>
        <v>5.2519412286418614</v>
      </c>
    </row>
    <row r="2351" spans="1:13" x14ac:dyDescent="0.25">
      <c r="A2351" s="2">
        <f t="shared" si="72"/>
        <v>2346</v>
      </c>
      <c r="B2351" s="2">
        <v>193293</v>
      </c>
      <c r="C2351" s="2" t="s">
        <v>4857</v>
      </c>
      <c r="D2351" s="14" t="s">
        <v>2340</v>
      </c>
      <c r="E2351" s="14">
        <v>2.8147378000000001</v>
      </c>
      <c r="F2351" s="14">
        <v>0</v>
      </c>
      <c r="G2351" s="14">
        <v>2.8147378000000001</v>
      </c>
      <c r="H2351" s="16">
        <v>236.05349719999998</v>
      </c>
      <c r="I2351" s="16">
        <v>183.95208160000001</v>
      </c>
      <c r="J2351" s="3" t="s">
        <v>5011</v>
      </c>
      <c r="K2351" s="16">
        <v>2887.8599529955991</v>
      </c>
      <c r="L2351" s="16">
        <v>585.62698790000002</v>
      </c>
      <c r="M2351" s="16">
        <f t="shared" si="73"/>
        <v>2.4809079079384215</v>
      </c>
    </row>
    <row r="2352" spans="1:13" x14ac:dyDescent="0.25">
      <c r="A2352" s="2">
        <f t="shared" si="72"/>
        <v>2347</v>
      </c>
      <c r="B2352" s="2">
        <v>193359</v>
      </c>
      <c r="C2352" s="2" t="s">
        <v>4858</v>
      </c>
      <c r="D2352" s="14" t="s">
        <v>2341</v>
      </c>
      <c r="E2352" s="14">
        <v>0.44426369999999993</v>
      </c>
      <c r="F2352" s="14">
        <v>0</v>
      </c>
      <c r="G2352" s="14">
        <v>0.44426369999999993</v>
      </c>
      <c r="H2352" s="16">
        <v>68.759457999999995</v>
      </c>
      <c r="I2352" s="16">
        <v>53.567964399999994</v>
      </c>
      <c r="J2352" s="3" t="s">
        <v>5011</v>
      </c>
      <c r="K2352" s="16">
        <v>536.59248128270008</v>
      </c>
      <c r="L2352" s="16">
        <v>82.988118499999999</v>
      </c>
      <c r="M2352" s="16">
        <f t="shared" si="73"/>
        <v>1.2069338664653233</v>
      </c>
    </row>
    <row r="2353" spans="1:13" x14ac:dyDescent="0.25">
      <c r="A2353" s="2">
        <f t="shared" si="72"/>
        <v>2348</v>
      </c>
      <c r="B2353" s="2">
        <v>193389</v>
      </c>
      <c r="C2353" s="2" t="s">
        <v>4859</v>
      </c>
      <c r="D2353" s="14" t="s">
        <v>2342</v>
      </c>
      <c r="E2353" s="14">
        <v>0</v>
      </c>
      <c r="F2353" s="14">
        <v>0</v>
      </c>
      <c r="G2353" s="14">
        <v>0</v>
      </c>
      <c r="H2353" s="16">
        <v>0</v>
      </c>
      <c r="I2353" s="16">
        <v>0</v>
      </c>
      <c r="J2353" s="3" t="s">
        <v>5011</v>
      </c>
      <c r="K2353" s="16">
        <v>0</v>
      </c>
      <c r="L2353" s="16">
        <v>0</v>
      </c>
      <c r="M2353" s="16">
        <v>0</v>
      </c>
    </row>
    <row r="2354" spans="1:13" x14ac:dyDescent="0.25">
      <c r="A2354" s="2">
        <f t="shared" si="72"/>
        <v>2349</v>
      </c>
      <c r="B2354" s="2">
        <v>193741</v>
      </c>
      <c r="C2354" s="2" t="s">
        <v>4860</v>
      </c>
      <c r="D2354" s="14" t="s">
        <v>2343</v>
      </c>
      <c r="E2354" s="14">
        <v>0</v>
      </c>
      <c r="F2354" s="14">
        <v>0</v>
      </c>
      <c r="G2354" s="14">
        <v>0</v>
      </c>
      <c r="H2354" s="16">
        <v>0</v>
      </c>
      <c r="I2354" s="16">
        <v>0</v>
      </c>
      <c r="J2354" s="3" t="s">
        <v>5011</v>
      </c>
      <c r="K2354" s="16">
        <v>0</v>
      </c>
      <c r="L2354" s="16">
        <v>0</v>
      </c>
      <c r="M2354" s="16">
        <v>0</v>
      </c>
    </row>
    <row r="2355" spans="1:13" x14ac:dyDescent="0.25">
      <c r="A2355" s="2">
        <f t="shared" si="72"/>
        <v>2350</v>
      </c>
      <c r="B2355" s="2">
        <v>193948</v>
      </c>
      <c r="C2355" s="2" t="s">
        <v>4861</v>
      </c>
      <c r="D2355" s="14" t="s">
        <v>2344</v>
      </c>
      <c r="E2355" s="14">
        <v>0</v>
      </c>
      <c r="F2355" s="14">
        <v>0</v>
      </c>
      <c r="G2355" s="14">
        <v>0</v>
      </c>
      <c r="H2355" s="16">
        <v>0</v>
      </c>
      <c r="I2355" s="16">
        <v>0</v>
      </c>
      <c r="J2355" s="3" t="s">
        <v>5011</v>
      </c>
      <c r="K2355" s="16">
        <v>0</v>
      </c>
      <c r="L2355" s="16">
        <v>0</v>
      </c>
      <c r="M2355" s="16">
        <v>0</v>
      </c>
    </row>
    <row r="2356" spans="1:13" x14ac:dyDescent="0.25">
      <c r="A2356" s="2">
        <f t="shared" si="72"/>
        <v>2351</v>
      </c>
      <c r="B2356" s="2">
        <v>193949</v>
      </c>
      <c r="C2356" s="2" t="s">
        <v>4862</v>
      </c>
      <c r="D2356" s="14" t="s">
        <v>2345</v>
      </c>
      <c r="E2356" s="14">
        <v>0.18407010000000001</v>
      </c>
      <c r="F2356" s="14">
        <v>0</v>
      </c>
      <c r="G2356" s="14">
        <v>0.18407010000000001</v>
      </c>
      <c r="H2356" s="16">
        <v>42.755865499999999</v>
      </c>
      <c r="I2356" s="16">
        <v>41.947308599999992</v>
      </c>
      <c r="J2356" s="3" t="s">
        <v>5011</v>
      </c>
      <c r="K2356" s="16">
        <v>213.1897465477</v>
      </c>
      <c r="L2356" s="16">
        <v>61.183401799999999</v>
      </c>
      <c r="M2356" s="16">
        <f t="shared" si="73"/>
        <v>1.4309943462610994</v>
      </c>
    </row>
    <row r="2357" spans="1:13" x14ac:dyDescent="0.25">
      <c r="A2357" s="2">
        <f t="shared" si="72"/>
        <v>2352</v>
      </c>
      <c r="B2357" s="2">
        <v>193973</v>
      </c>
      <c r="C2357" s="2" t="s">
        <v>4863</v>
      </c>
      <c r="D2357" s="14" t="s">
        <v>2346</v>
      </c>
      <c r="E2357" s="14">
        <v>0.46504780000000007</v>
      </c>
      <c r="F2357" s="14">
        <v>0</v>
      </c>
      <c r="G2357" s="14">
        <v>0.46504780000000007</v>
      </c>
      <c r="H2357" s="16">
        <v>32.463377700000002</v>
      </c>
      <c r="I2357" s="16">
        <v>21.5756351</v>
      </c>
      <c r="J2357" s="3" t="s">
        <v>5011</v>
      </c>
      <c r="K2357" s="16">
        <v>534.10312102759997</v>
      </c>
      <c r="L2357" s="16">
        <v>67.338631199999995</v>
      </c>
      <c r="M2357" s="16">
        <f t="shared" si="73"/>
        <v>2.0742952819724607</v>
      </c>
    </row>
    <row r="2358" spans="1:13" x14ac:dyDescent="0.25">
      <c r="A2358" s="2">
        <f t="shared" si="72"/>
        <v>2353</v>
      </c>
      <c r="B2358" s="2">
        <v>194216</v>
      </c>
      <c r="C2358" s="2" t="s">
        <v>4864</v>
      </c>
      <c r="D2358" s="14" t="s">
        <v>2347</v>
      </c>
      <c r="E2358" s="14">
        <v>0</v>
      </c>
      <c r="F2358" s="14">
        <v>0</v>
      </c>
      <c r="G2358" s="14">
        <v>0</v>
      </c>
      <c r="H2358" s="16">
        <v>0</v>
      </c>
      <c r="I2358" s="16">
        <v>0</v>
      </c>
      <c r="J2358" s="3" t="s">
        <v>5011</v>
      </c>
      <c r="K2358" s="16">
        <v>0</v>
      </c>
      <c r="L2358" s="16">
        <v>0</v>
      </c>
      <c r="M2358" s="16">
        <v>0</v>
      </c>
    </row>
    <row r="2359" spans="1:13" x14ac:dyDescent="0.25">
      <c r="A2359" s="2">
        <f t="shared" si="72"/>
        <v>2354</v>
      </c>
      <c r="B2359" s="2">
        <v>194915</v>
      </c>
      <c r="C2359" s="2" t="s">
        <v>4865</v>
      </c>
      <c r="D2359" s="14" t="s">
        <v>2348</v>
      </c>
      <c r="E2359" s="14">
        <v>0.15404329999999999</v>
      </c>
      <c r="F2359" s="14">
        <v>0</v>
      </c>
      <c r="G2359" s="14">
        <v>0.15404329999999999</v>
      </c>
      <c r="H2359" s="16">
        <v>34.983257200000004</v>
      </c>
      <c r="I2359" s="16">
        <v>34.983257200000004</v>
      </c>
      <c r="J2359" s="3" t="s">
        <v>5011</v>
      </c>
      <c r="K2359" s="16">
        <v>243.59690287360002</v>
      </c>
      <c r="L2359" s="16">
        <v>52.284346599999999</v>
      </c>
      <c r="M2359" s="16">
        <f t="shared" si="73"/>
        <v>1.4945534173987662</v>
      </c>
    </row>
    <row r="2360" spans="1:13" x14ac:dyDescent="0.25">
      <c r="A2360" s="2">
        <f t="shared" si="72"/>
        <v>2355</v>
      </c>
      <c r="B2360" s="2">
        <v>194918</v>
      </c>
      <c r="C2360" s="2" t="s">
        <v>4866</v>
      </c>
      <c r="D2360" s="14" t="s">
        <v>2349</v>
      </c>
      <c r="E2360" s="14">
        <v>1.6184199999999999E-2</v>
      </c>
      <c r="F2360" s="14">
        <v>0</v>
      </c>
      <c r="G2360" s="14">
        <v>1.6184199999999999E-2</v>
      </c>
      <c r="H2360" s="16">
        <v>11.374432499999999</v>
      </c>
      <c r="I2360" s="16">
        <v>10.747950700000001</v>
      </c>
      <c r="J2360" s="3" t="s">
        <v>5011</v>
      </c>
      <c r="K2360" s="16">
        <v>80.747911269400007</v>
      </c>
      <c r="L2360" s="16">
        <v>14.993859499999999</v>
      </c>
      <c r="M2360" s="16">
        <f t="shared" si="73"/>
        <v>1.3182072600105543</v>
      </c>
    </row>
    <row r="2361" spans="1:13" x14ac:dyDescent="0.25">
      <c r="A2361" s="2">
        <f t="shared" si="72"/>
        <v>2356</v>
      </c>
      <c r="B2361" s="2">
        <v>195075</v>
      </c>
      <c r="C2361" s="2" t="s">
        <v>4867</v>
      </c>
      <c r="D2361" s="14" t="s">
        <v>2350</v>
      </c>
      <c r="E2361" s="14">
        <v>2.1343622000000004</v>
      </c>
      <c r="F2361" s="14">
        <v>0</v>
      </c>
      <c r="G2361" s="14">
        <v>2.1343622000000004</v>
      </c>
      <c r="H2361" s="16">
        <v>271.181263</v>
      </c>
      <c r="I2361" s="16">
        <v>195.80391200000003</v>
      </c>
      <c r="J2361" s="3" t="s">
        <v>5011</v>
      </c>
      <c r="K2361" s="16">
        <v>2203.6718561293001</v>
      </c>
      <c r="L2361" s="16">
        <v>370.44552420000002</v>
      </c>
      <c r="M2361" s="16">
        <f t="shared" si="73"/>
        <v>1.3660439519377856</v>
      </c>
    </row>
    <row r="2362" spans="1:13" x14ac:dyDescent="0.25">
      <c r="A2362" s="2">
        <f t="shared" si="72"/>
        <v>2357</v>
      </c>
      <c r="B2362" s="2">
        <v>195185</v>
      </c>
      <c r="C2362" s="2" t="s">
        <v>4868</v>
      </c>
      <c r="D2362" s="14" t="s">
        <v>2351</v>
      </c>
      <c r="E2362" s="14">
        <v>26.357917199999996</v>
      </c>
      <c r="F2362" s="14">
        <v>0</v>
      </c>
      <c r="G2362" s="14">
        <v>26.357917199999996</v>
      </c>
      <c r="H2362" s="16">
        <v>622.58674859999996</v>
      </c>
      <c r="I2362" s="16">
        <v>554.62752660000001</v>
      </c>
      <c r="J2362" s="3" t="s">
        <v>5011</v>
      </c>
      <c r="K2362" s="16">
        <v>21482.478556395694</v>
      </c>
      <c r="L2362" s="16">
        <v>2521.4308649999998</v>
      </c>
      <c r="M2362" s="16">
        <f t="shared" si="73"/>
        <v>4.0499269710926189</v>
      </c>
    </row>
    <row r="2363" spans="1:13" x14ac:dyDescent="0.25">
      <c r="A2363" s="2">
        <f t="shared" si="72"/>
        <v>2358</v>
      </c>
      <c r="B2363" s="2">
        <v>195287</v>
      </c>
      <c r="C2363" s="2" t="s">
        <v>4869</v>
      </c>
      <c r="D2363" s="14" t="s">
        <v>2352</v>
      </c>
      <c r="E2363" s="14">
        <v>0.28170899999999999</v>
      </c>
      <c r="F2363" s="14">
        <v>0</v>
      </c>
      <c r="G2363" s="14">
        <v>0.28170899999999999</v>
      </c>
      <c r="H2363" s="16">
        <v>59.595168600000001</v>
      </c>
      <c r="I2363" s="16">
        <v>42.562686599999999</v>
      </c>
      <c r="J2363" s="3" t="s">
        <v>5011</v>
      </c>
      <c r="K2363" s="16">
        <v>409.50744062989997</v>
      </c>
      <c r="L2363" s="16">
        <v>63.369991599999999</v>
      </c>
      <c r="M2363" s="16">
        <f t="shared" si="73"/>
        <v>1.0633410910427392</v>
      </c>
    </row>
    <row r="2364" spans="1:13" x14ac:dyDescent="0.25">
      <c r="A2364" s="2">
        <f t="shared" si="72"/>
        <v>2359</v>
      </c>
      <c r="B2364" s="2">
        <v>195537</v>
      </c>
      <c r="C2364" s="2" t="s">
        <v>4870</v>
      </c>
      <c r="D2364" s="14" t="s">
        <v>2353</v>
      </c>
      <c r="E2364" s="14">
        <v>0</v>
      </c>
      <c r="F2364" s="14">
        <v>0</v>
      </c>
      <c r="G2364" s="14">
        <v>0</v>
      </c>
      <c r="H2364" s="16">
        <v>0</v>
      </c>
      <c r="I2364" s="16">
        <v>0</v>
      </c>
      <c r="J2364" s="3" t="s">
        <v>5011</v>
      </c>
      <c r="K2364" s="16">
        <v>0</v>
      </c>
      <c r="L2364" s="16">
        <v>0</v>
      </c>
      <c r="M2364" s="16">
        <v>0</v>
      </c>
    </row>
    <row r="2365" spans="1:13" x14ac:dyDescent="0.25">
      <c r="A2365" s="2">
        <f t="shared" si="72"/>
        <v>2360</v>
      </c>
      <c r="B2365" s="2">
        <v>195636</v>
      </c>
      <c r="C2365" s="2" t="s">
        <v>4871</v>
      </c>
      <c r="D2365" s="14" t="s">
        <v>2354</v>
      </c>
      <c r="E2365" s="14">
        <v>25.0572594</v>
      </c>
      <c r="F2365" s="14">
        <v>0</v>
      </c>
      <c r="G2365" s="14">
        <v>25.0572594</v>
      </c>
      <c r="H2365" s="16">
        <v>2841.4256888</v>
      </c>
      <c r="I2365" s="16">
        <v>1791.0870112</v>
      </c>
      <c r="J2365" s="3" t="s">
        <v>5011</v>
      </c>
      <c r="K2365" s="16">
        <v>23780.031557210394</v>
      </c>
      <c r="L2365" s="16">
        <v>3633.5451696</v>
      </c>
      <c r="M2365" s="16">
        <f t="shared" si="73"/>
        <v>1.2787753640442838</v>
      </c>
    </row>
    <row r="2366" spans="1:13" x14ac:dyDescent="0.25">
      <c r="A2366" s="2">
        <f t="shared" si="72"/>
        <v>2361</v>
      </c>
      <c r="B2366" s="2">
        <v>195638</v>
      </c>
      <c r="C2366" s="2" t="s">
        <v>4872</v>
      </c>
      <c r="D2366" s="14" t="s">
        <v>2355</v>
      </c>
      <c r="E2366" s="14">
        <v>0.2369078</v>
      </c>
      <c r="F2366" s="14">
        <v>0</v>
      </c>
      <c r="G2366" s="14">
        <v>0.2369078</v>
      </c>
      <c r="H2366" s="16">
        <v>22.823859700000003</v>
      </c>
      <c r="I2366" s="16">
        <v>-5.3471685999999989</v>
      </c>
      <c r="J2366" s="3" t="s">
        <v>5011</v>
      </c>
      <c r="K2366" s="16">
        <v>452.47427379710001</v>
      </c>
      <c r="L2366" s="16">
        <v>42.051958300000003</v>
      </c>
      <c r="M2366" s="16">
        <f t="shared" si="73"/>
        <v>1.8424560461173882</v>
      </c>
    </row>
    <row r="2367" spans="1:13" x14ac:dyDescent="0.25">
      <c r="A2367" s="2">
        <f t="shared" si="72"/>
        <v>2362</v>
      </c>
      <c r="B2367" s="2">
        <v>195783</v>
      </c>
      <c r="C2367" s="2" t="s">
        <v>4873</v>
      </c>
      <c r="D2367" s="14" t="s">
        <v>2356</v>
      </c>
      <c r="E2367" s="14">
        <v>63.34420029999999</v>
      </c>
      <c r="F2367" s="14">
        <v>0</v>
      </c>
      <c r="G2367" s="14">
        <v>63.34420029999999</v>
      </c>
      <c r="H2367" s="16">
        <v>1061.0178172000001</v>
      </c>
      <c r="I2367" s="16">
        <v>659.53847619999999</v>
      </c>
      <c r="J2367" s="3" t="s">
        <v>5011</v>
      </c>
      <c r="K2367" s="16">
        <v>46416.716442680103</v>
      </c>
      <c r="L2367" s="16">
        <v>5260.5323094999994</v>
      </c>
      <c r="M2367" s="16">
        <f t="shared" si="73"/>
        <v>4.9580056283903078</v>
      </c>
    </row>
    <row r="2368" spans="1:13" x14ac:dyDescent="0.25">
      <c r="A2368" s="2">
        <f t="shared" si="72"/>
        <v>2363</v>
      </c>
      <c r="B2368" s="2">
        <v>195998</v>
      </c>
      <c r="C2368" s="2" t="s">
        <v>4874</v>
      </c>
      <c r="D2368" s="14" t="s">
        <v>2357</v>
      </c>
      <c r="E2368" s="14">
        <v>4.5639100000000002E-2</v>
      </c>
      <c r="F2368" s="14">
        <v>0</v>
      </c>
      <c r="G2368" s="14">
        <v>4.5639100000000002E-2</v>
      </c>
      <c r="H2368" s="16">
        <v>13.9693018</v>
      </c>
      <c r="I2368" s="16">
        <v>13.769297399999999</v>
      </c>
      <c r="J2368" s="3" t="s">
        <v>5011</v>
      </c>
      <c r="K2368" s="16">
        <v>133.71974763</v>
      </c>
      <c r="L2368" s="16">
        <v>27.164774300000001</v>
      </c>
      <c r="M2368" s="16">
        <f t="shared" si="73"/>
        <v>1.944605012399403</v>
      </c>
    </row>
    <row r="2369" spans="1:13" x14ac:dyDescent="0.25">
      <c r="A2369" s="2">
        <f t="shared" si="72"/>
        <v>2364</v>
      </c>
      <c r="B2369" s="2">
        <v>196079</v>
      </c>
      <c r="C2369" s="2" t="s">
        <v>4875</v>
      </c>
      <c r="D2369" s="14" t="s">
        <v>2358</v>
      </c>
      <c r="E2369" s="14">
        <v>20.580665699999997</v>
      </c>
      <c r="F2369" s="14">
        <v>0</v>
      </c>
      <c r="G2369" s="14">
        <v>20.580665699999997</v>
      </c>
      <c r="H2369" s="16">
        <v>991.43362819999993</v>
      </c>
      <c r="I2369" s="16">
        <v>556.59648509999988</v>
      </c>
      <c r="J2369" s="3" t="s">
        <v>5011</v>
      </c>
      <c r="K2369" s="16">
        <v>19634.728115822101</v>
      </c>
      <c r="L2369" s="16">
        <v>2374.2797307000001</v>
      </c>
      <c r="M2369" s="16">
        <f t="shared" si="73"/>
        <v>2.3947944301734352</v>
      </c>
    </row>
    <row r="2370" spans="1:13" x14ac:dyDescent="0.25">
      <c r="A2370" s="2">
        <f t="shared" si="72"/>
        <v>2365</v>
      </c>
      <c r="B2370" s="2">
        <v>197457</v>
      </c>
      <c r="C2370" s="2" t="s">
        <v>4876</v>
      </c>
      <c r="D2370" s="14" t="s">
        <v>2359</v>
      </c>
      <c r="E2370" s="14">
        <v>75.374627799999999</v>
      </c>
      <c r="F2370" s="14">
        <v>0</v>
      </c>
      <c r="G2370" s="14">
        <v>75.374627799999999</v>
      </c>
      <c r="H2370" s="16">
        <v>3455.1228661999999</v>
      </c>
      <c r="I2370" s="16">
        <v>1976.4990691</v>
      </c>
      <c r="J2370" s="3" t="s">
        <v>5011</v>
      </c>
      <c r="K2370" s="16">
        <v>57885.725372283894</v>
      </c>
      <c r="L2370" s="16">
        <v>7243.3559811000005</v>
      </c>
      <c r="M2370" s="16">
        <f t="shared" si="73"/>
        <v>2.0964105363541994</v>
      </c>
    </row>
    <row r="2371" spans="1:13" x14ac:dyDescent="0.25">
      <c r="A2371" s="2">
        <f t="shared" si="72"/>
        <v>2366</v>
      </c>
      <c r="B2371" s="2">
        <v>199433</v>
      </c>
      <c r="C2371" s="2" t="s">
        <v>4877</v>
      </c>
      <c r="D2371" s="14" t="s">
        <v>2360</v>
      </c>
      <c r="E2371" s="14">
        <v>76.342199699999995</v>
      </c>
      <c r="F2371" s="14">
        <v>0</v>
      </c>
      <c r="G2371" s="14">
        <v>76.342199699999995</v>
      </c>
      <c r="H2371" s="16">
        <v>2392.3786031999998</v>
      </c>
      <c r="I2371" s="16">
        <v>1125.9554567999999</v>
      </c>
      <c r="J2371" s="3" t="s">
        <v>5011</v>
      </c>
      <c r="K2371" s="16">
        <v>57168.185137352608</v>
      </c>
      <c r="L2371" s="16">
        <v>6280.7989336000001</v>
      </c>
      <c r="M2371" s="16">
        <f t="shared" si="73"/>
        <v>2.6253365270860236</v>
      </c>
    </row>
    <row r="2372" spans="1:13" x14ac:dyDescent="0.25">
      <c r="A2372" s="2">
        <f t="shared" si="72"/>
        <v>2367</v>
      </c>
      <c r="B2372" s="2">
        <v>201038</v>
      </c>
      <c r="C2372" s="2" t="s">
        <v>4878</v>
      </c>
      <c r="D2372" s="14" t="s">
        <v>2361</v>
      </c>
      <c r="E2372" s="14">
        <v>77.69099460000001</v>
      </c>
      <c r="F2372" s="14">
        <v>0</v>
      </c>
      <c r="G2372" s="14">
        <v>77.69099460000001</v>
      </c>
      <c r="H2372" s="16">
        <v>11872.260473900002</v>
      </c>
      <c r="I2372" s="16">
        <v>8995.3469396</v>
      </c>
      <c r="J2372" s="3" t="s">
        <v>5011</v>
      </c>
      <c r="K2372" s="16">
        <v>87083.821152981851</v>
      </c>
      <c r="L2372" s="16">
        <v>14043.0703118</v>
      </c>
      <c r="M2372" s="16">
        <f t="shared" si="73"/>
        <v>1.1828472212745256</v>
      </c>
    </row>
    <row r="2373" spans="1:13" x14ac:dyDescent="0.25">
      <c r="A2373" s="2">
        <f t="shared" si="72"/>
        <v>2368</v>
      </c>
      <c r="B2373" s="2">
        <v>201243</v>
      </c>
      <c r="C2373" s="2" t="s">
        <v>4879</v>
      </c>
      <c r="D2373" s="14" t="s">
        <v>2362</v>
      </c>
      <c r="E2373" s="14">
        <v>0</v>
      </c>
      <c r="F2373" s="14">
        <v>0</v>
      </c>
      <c r="G2373" s="14">
        <v>0</v>
      </c>
      <c r="H2373" s="16">
        <v>0</v>
      </c>
      <c r="I2373" s="16">
        <v>0</v>
      </c>
      <c r="J2373" s="3" t="s">
        <v>5011</v>
      </c>
      <c r="K2373" s="16">
        <v>0</v>
      </c>
      <c r="L2373" s="16">
        <v>0</v>
      </c>
      <c r="M2373" s="16">
        <v>0</v>
      </c>
    </row>
    <row r="2374" spans="1:13" x14ac:dyDescent="0.25">
      <c r="A2374" s="2">
        <f t="shared" si="72"/>
        <v>2369</v>
      </c>
      <c r="B2374" s="2">
        <v>202058</v>
      </c>
      <c r="C2374" s="2" t="s">
        <v>4880</v>
      </c>
      <c r="D2374" s="14" t="s">
        <v>2363</v>
      </c>
      <c r="E2374" s="14">
        <v>0.54621069999999994</v>
      </c>
      <c r="F2374" s="14">
        <v>0</v>
      </c>
      <c r="G2374" s="14">
        <v>0.54621069999999994</v>
      </c>
      <c r="H2374" s="16">
        <v>147.13355189999999</v>
      </c>
      <c r="I2374" s="16">
        <v>120.07156799999998</v>
      </c>
      <c r="J2374" s="3" t="s">
        <v>5011</v>
      </c>
      <c r="K2374" s="16">
        <v>861.12063338079997</v>
      </c>
      <c r="L2374" s="16">
        <v>169.92958170000003</v>
      </c>
      <c r="M2374" s="16">
        <f t="shared" si="73"/>
        <v>1.1549342723371041</v>
      </c>
    </row>
    <row r="2375" spans="1:13" x14ac:dyDescent="0.25">
      <c r="A2375" s="2">
        <f t="shared" si="72"/>
        <v>2370</v>
      </c>
      <c r="B2375" s="2">
        <v>207772</v>
      </c>
      <c r="C2375" s="2" t="s">
        <v>4881</v>
      </c>
      <c r="D2375" s="14" t="s">
        <v>2364</v>
      </c>
      <c r="E2375" s="14">
        <v>6.5112470999999994</v>
      </c>
      <c r="F2375" s="14">
        <v>0</v>
      </c>
      <c r="G2375" s="14">
        <v>6.5112470999999994</v>
      </c>
      <c r="H2375" s="16">
        <v>622.50858189999997</v>
      </c>
      <c r="I2375" s="16">
        <v>312.68489569999997</v>
      </c>
      <c r="J2375" s="3" t="s">
        <v>5011</v>
      </c>
      <c r="K2375" s="16">
        <v>7091.3665400413993</v>
      </c>
      <c r="L2375" s="16">
        <v>1837.3180081999999</v>
      </c>
      <c r="M2375" s="16">
        <f t="shared" ref="M2375:M2438" si="74">L2375/H2375</f>
        <v>2.9514741830421021</v>
      </c>
    </row>
    <row r="2376" spans="1:13" x14ac:dyDescent="0.25">
      <c r="A2376" s="2">
        <f t="shared" ref="A2376:A2439" si="75">A2375+1</f>
        <v>2371</v>
      </c>
      <c r="B2376" s="2">
        <v>210827</v>
      </c>
      <c r="C2376" s="2" t="s">
        <v>4882</v>
      </c>
      <c r="D2376" s="14" t="s">
        <v>2365</v>
      </c>
      <c r="E2376" s="14">
        <v>2.7812754000000002</v>
      </c>
      <c r="F2376" s="14">
        <v>0</v>
      </c>
      <c r="G2376" s="14">
        <v>2.7812754000000002</v>
      </c>
      <c r="H2376" s="16">
        <v>17.8941047</v>
      </c>
      <c r="I2376" s="16">
        <v>14.656458799999999</v>
      </c>
      <c r="J2376" s="3" t="s">
        <v>5011</v>
      </c>
      <c r="K2376" s="16">
        <v>2205.4852625887997</v>
      </c>
      <c r="L2376" s="16">
        <v>243.39028519999999</v>
      </c>
      <c r="M2376" s="16">
        <f t="shared" si="74"/>
        <v>13.601702308135035</v>
      </c>
    </row>
    <row r="2377" spans="1:13" x14ac:dyDescent="0.25">
      <c r="A2377" s="2">
        <f t="shared" si="75"/>
        <v>2372</v>
      </c>
      <c r="B2377" s="2">
        <v>215115</v>
      </c>
      <c r="C2377" s="2" t="s">
        <v>4883</v>
      </c>
      <c r="D2377" s="14" t="s">
        <v>2366</v>
      </c>
      <c r="E2377" s="14">
        <v>0</v>
      </c>
      <c r="F2377" s="14">
        <v>0</v>
      </c>
      <c r="G2377" s="14">
        <v>0</v>
      </c>
      <c r="H2377" s="16">
        <v>0</v>
      </c>
      <c r="I2377" s="16">
        <v>0</v>
      </c>
      <c r="J2377" s="3" t="s">
        <v>5011</v>
      </c>
      <c r="K2377" s="16">
        <v>0</v>
      </c>
      <c r="L2377" s="16">
        <v>0</v>
      </c>
      <c r="M2377" s="16">
        <v>0</v>
      </c>
    </row>
    <row r="2378" spans="1:13" x14ac:dyDescent="0.25">
      <c r="A2378" s="2">
        <f t="shared" si="75"/>
        <v>2373</v>
      </c>
      <c r="B2378" s="2">
        <v>215118</v>
      </c>
      <c r="C2378" s="2" t="s">
        <v>4884</v>
      </c>
      <c r="D2378" s="14" t="s">
        <v>2367</v>
      </c>
      <c r="E2378" s="14">
        <v>5.4103899000000002</v>
      </c>
      <c r="F2378" s="14">
        <v>0</v>
      </c>
      <c r="G2378" s="14">
        <v>5.4103899000000002</v>
      </c>
      <c r="H2378" s="16">
        <v>1254.2234756999999</v>
      </c>
      <c r="I2378" s="16">
        <v>803.27446959999997</v>
      </c>
      <c r="J2378" s="3" t="s">
        <v>5011</v>
      </c>
      <c r="K2378" s="16">
        <v>6664.9502961988037</v>
      </c>
      <c r="L2378" s="16">
        <v>1219.3531961000001</v>
      </c>
      <c r="M2378" s="16">
        <f t="shared" si="74"/>
        <v>0.9721977141429774</v>
      </c>
    </row>
    <row r="2379" spans="1:13" x14ac:dyDescent="0.25">
      <c r="A2379" s="2">
        <f t="shared" si="75"/>
        <v>2374</v>
      </c>
      <c r="B2379" s="2">
        <v>219027</v>
      </c>
      <c r="C2379" s="2" t="s">
        <v>4885</v>
      </c>
      <c r="D2379" s="14" t="s">
        <v>2368</v>
      </c>
      <c r="E2379" s="14">
        <v>0</v>
      </c>
      <c r="F2379" s="14">
        <v>0</v>
      </c>
      <c r="G2379" s="14">
        <v>0</v>
      </c>
      <c r="H2379" s="16">
        <v>0</v>
      </c>
      <c r="I2379" s="16">
        <v>0</v>
      </c>
      <c r="J2379" s="3" t="s">
        <v>5011</v>
      </c>
      <c r="K2379" s="16">
        <v>0</v>
      </c>
      <c r="L2379" s="16">
        <v>0</v>
      </c>
      <c r="M2379" s="16">
        <v>0</v>
      </c>
    </row>
    <row r="2380" spans="1:13" x14ac:dyDescent="0.25">
      <c r="A2380" s="2">
        <f t="shared" si="75"/>
        <v>2375</v>
      </c>
      <c r="B2380" s="2">
        <v>220065</v>
      </c>
      <c r="C2380" s="2" t="s">
        <v>4886</v>
      </c>
      <c r="D2380" s="14" t="s">
        <v>2369</v>
      </c>
      <c r="E2380" s="14">
        <v>17.522788500000001</v>
      </c>
      <c r="F2380" s="14">
        <v>0</v>
      </c>
      <c r="G2380" s="14">
        <v>17.522788500000001</v>
      </c>
      <c r="H2380" s="16">
        <v>1949.3896778000001</v>
      </c>
      <c r="I2380" s="16">
        <v>1256.3493529</v>
      </c>
      <c r="J2380" s="3" t="s">
        <v>5011</v>
      </c>
      <c r="K2380" s="16">
        <v>15625.779463246799</v>
      </c>
      <c r="L2380" s="16">
        <v>2304.4038028999998</v>
      </c>
      <c r="M2380" s="16">
        <f t="shared" si="74"/>
        <v>1.1821155252553988</v>
      </c>
    </row>
    <row r="2381" spans="1:13" x14ac:dyDescent="0.25">
      <c r="A2381" s="2">
        <f t="shared" si="75"/>
        <v>2376</v>
      </c>
      <c r="B2381" s="2">
        <v>224232</v>
      </c>
      <c r="C2381" s="2" t="s">
        <v>4887</v>
      </c>
      <c r="D2381" s="14" t="s">
        <v>2370</v>
      </c>
      <c r="E2381" s="14">
        <v>4.7675234</v>
      </c>
      <c r="F2381" s="14">
        <v>0</v>
      </c>
      <c r="G2381" s="14">
        <v>4.7675234</v>
      </c>
      <c r="H2381" s="16">
        <v>846.93981930000007</v>
      </c>
      <c r="I2381" s="16">
        <v>628.30817280000008</v>
      </c>
      <c r="J2381" s="3" t="s">
        <v>5011</v>
      </c>
      <c r="K2381" s="16">
        <v>5863.6364319196</v>
      </c>
      <c r="L2381" s="16">
        <v>1076.5420517</v>
      </c>
      <c r="M2381" s="16">
        <f t="shared" si="74"/>
        <v>1.2710962776431591</v>
      </c>
    </row>
    <row r="2382" spans="1:13" x14ac:dyDescent="0.25">
      <c r="A2382" s="2">
        <f t="shared" si="75"/>
        <v>2377</v>
      </c>
      <c r="B2382" s="2">
        <v>227590</v>
      </c>
      <c r="C2382" s="2" t="s">
        <v>4888</v>
      </c>
      <c r="D2382" s="14" t="s">
        <v>2371</v>
      </c>
      <c r="E2382" s="14">
        <v>21.997470800000002</v>
      </c>
      <c r="F2382" s="14">
        <v>0</v>
      </c>
      <c r="G2382" s="14">
        <v>21.997470800000002</v>
      </c>
      <c r="H2382" s="16">
        <v>4544.5319294999999</v>
      </c>
      <c r="I2382" s="16">
        <v>1774.7220058999997</v>
      </c>
      <c r="J2382" s="3" t="s">
        <v>5011</v>
      </c>
      <c r="K2382" s="16">
        <v>25792.795297108911</v>
      </c>
      <c r="L2382" s="16">
        <v>4098.3886254999998</v>
      </c>
      <c r="M2382" s="16">
        <f t="shared" si="74"/>
        <v>0.90182854671920287</v>
      </c>
    </row>
    <row r="2383" spans="1:13" x14ac:dyDescent="0.25">
      <c r="A2383" s="2">
        <f t="shared" si="75"/>
        <v>2378</v>
      </c>
      <c r="B2383" s="2">
        <v>228676</v>
      </c>
      <c r="C2383" s="2" t="s">
        <v>4889</v>
      </c>
      <c r="D2383" s="14" t="s">
        <v>2372</v>
      </c>
      <c r="E2383" s="14">
        <v>32.980206600000002</v>
      </c>
      <c r="F2383" s="14">
        <v>0</v>
      </c>
      <c r="G2383" s="14">
        <v>32.980206600000002</v>
      </c>
      <c r="H2383" s="16">
        <v>1511.5579915999999</v>
      </c>
      <c r="I2383" s="16">
        <v>786.12235310000005</v>
      </c>
      <c r="J2383" s="3" t="s">
        <v>5011</v>
      </c>
      <c r="K2383" s="16">
        <v>29320.819428935796</v>
      </c>
      <c r="L2383" s="16">
        <v>3418.6199043000001</v>
      </c>
      <c r="M2383" s="16">
        <f t="shared" si="74"/>
        <v>2.2616531574030811</v>
      </c>
    </row>
    <row r="2384" spans="1:13" x14ac:dyDescent="0.25">
      <c r="A2384" s="2">
        <f t="shared" si="75"/>
        <v>2379</v>
      </c>
      <c r="B2384" s="2">
        <v>228678</v>
      </c>
      <c r="C2384" s="2" t="s">
        <v>4890</v>
      </c>
      <c r="D2384" s="14" t="s">
        <v>2373</v>
      </c>
      <c r="E2384" s="14">
        <v>0.59554189999999996</v>
      </c>
      <c r="F2384" s="14">
        <v>0</v>
      </c>
      <c r="G2384" s="14">
        <v>0.59554189999999996</v>
      </c>
      <c r="H2384" s="16">
        <v>153.16735310000001</v>
      </c>
      <c r="I2384" s="16">
        <v>87.992323299999995</v>
      </c>
      <c r="J2384" s="3" t="s">
        <v>5011</v>
      </c>
      <c r="K2384" s="16">
        <v>881.57027300230015</v>
      </c>
      <c r="L2384" s="16">
        <v>129.93016249999999</v>
      </c>
      <c r="M2384" s="16">
        <f t="shared" si="74"/>
        <v>0.8482888805630211</v>
      </c>
    </row>
    <row r="2385" spans="1:13" x14ac:dyDescent="0.25">
      <c r="A2385" s="2">
        <f t="shared" si="75"/>
        <v>2380</v>
      </c>
      <c r="B2385" s="2">
        <v>240125</v>
      </c>
      <c r="C2385" s="2" t="s">
        <v>4891</v>
      </c>
      <c r="D2385" s="14" t="s">
        <v>2374</v>
      </c>
      <c r="E2385" s="14">
        <v>0</v>
      </c>
      <c r="F2385" s="14">
        <v>0</v>
      </c>
      <c r="G2385" s="14">
        <v>0</v>
      </c>
      <c r="H2385" s="16">
        <v>0</v>
      </c>
      <c r="I2385" s="16">
        <v>0</v>
      </c>
      <c r="J2385" s="3" t="s">
        <v>5011</v>
      </c>
      <c r="K2385" s="16">
        <v>0</v>
      </c>
      <c r="L2385" s="16">
        <v>0</v>
      </c>
      <c r="M2385" s="16">
        <v>0</v>
      </c>
    </row>
    <row r="2386" spans="1:13" x14ac:dyDescent="0.25">
      <c r="A2386" s="2">
        <f t="shared" si="75"/>
        <v>2381</v>
      </c>
      <c r="B2386" s="2">
        <v>240126</v>
      </c>
      <c r="C2386" s="2" t="s">
        <v>4892</v>
      </c>
      <c r="D2386" s="14" t="s">
        <v>2375</v>
      </c>
      <c r="E2386" s="14">
        <v>0</v>
      </c>
      <c r="F2386" s="14">
        <v>0</v>
      </c>
      <c r="G2386" s="14">
        <v>0</v>
      </c>
      <c r="H2386" s="16">
        <v>0</v>
      </c>
      <c r="I2386" s="16">
        <v>0</v>
      </c>
      <c r="J2386" s="3" t="s">
        <v>5011</v>
      </c>
      <c r="K2386" s="16">
        <v>0</v>
      </c>
      <c r="L2386" s="16">
        <v>0</v>
      </c>
      <c r="M2386" s="16">
        <v>0</v>
      </c>
    </row>
    <row r="2387" spans="1:13" x14ac:dyDescent="0.25">
      <c r="A2387" s="2">
        <f t="shared" si="75"/>
        <v>2382</v>
      </c>
      <c r="B2387" s="2">
        <v>241930</v>
      </c>
      <c r="C2387" s="2" t="s">
        <v>4893</v>
      </c>
      <c r="D2387" s="14" t="s">
        <v>2376</v>
      </c>
      <c r="E2387" s="14">
        <v>3.4697298999999995</v>
      </c>
      <c r="F2387" s="14">
        <v>0</v>
      </c>
      <c r="G2387" s="14">
        <v>3.4697298999999995</v>
      </c>
      <c r="H2387" s="16">
        <v>223.5438643</v>
      </c>
      <c r="I2387" s="16">
        <v>63.477062999999987</v>
      </c>
      <c r="J2387" s="3" t="s">
        <v>5011</v>
      </c>
      <c r="K2387" s="16">
        <v>3320.5217111246002</v>
      </c>
      <c r="L2387" s="16">
        <v>387.9519004</v>
      </c>
      <c r="M2387" s="16">
        <f t="shared" si="74"/>
        <v>1.7354620830897036</v>
      </c>
    </row>
    <row r="2388" spans="1:13" x14ac:dyDescent="0.25">
      <c r="A2388" s="2">
        <f t="shared" si="75"/>
        <v>2383</v>
      </c>
      <c r="B2388" s="2">
        <v>243797</v>
      </c>
      <c r="C2388" s="2" t="s">
        <v>4894</v>
      </c>
      <c r="D2388" s="14" t="s">
        <v>2377</v>
      </c>
      <c r="E2388" s="14">
        <v>30.876567900000001</v>
      </c>
      <c r="F2388" s="14">
        <v>0</v>
      </c>
      <c r="G2388" s="14">
        <v>30.876567900000001</v>
      </c>
      <c r="H2388" s="16">
        <v>1999.900005</v>
      </c>
      <c r="I2388" s="16">
        <v>1999.900005</v>
      </c>
      <c r="J2388" s="3" t="s">
        <v>5011</v>
      </c>
      <c r="K2388" s="16">
        <v>29377.652115110202</v>
      </c>
      <c r="L2388" s="16">
        <v>3119.5057074000001</v>
      </c>
      <c r="M2388" s="16">
        <f t="shared" si="74"/>
        <v>1.5598308413424902</v>
      </c>
    </row>
    <row r="2389" spans="1:13" x14ac:dyDescent="0.25">
      <c r="A2389" s="2">
        <f t="shared" si="75"/>
        <v>2384</v>
      </c>
      <c r="B2389" s="2">
        <v>243903</v>
      </c>
      <c r="C2389" s="2" t="s">
        <v>4895</v>
      </c>
      <c r="D2389" s="14" t="s">
        <v>2378</v>
      </c>
      <c r="E2389" s="14">
        <v>52.8376351</v>
      </c>
      <c r="F2389" s="14">
        <v>0</v>
      </c>
      <c r="G2389" s="14">
        <v>52.8376351</v>
      </c>
      <c r="H2389" s="16">
        <v>1831.7074447</v>
      </c>
      <c r="I2389" s="16">
        <v>1336.7680819</v>
      </c>
      <c r="J2389" s="3" t="s">
        <v>5011</v>
      </c>
      <c r="K2389" s="16">
        <v>44486.9354240557</v>
      </c>
      <c r="L2389" s="16">
        <v>5218.2961618999998</v>
      </c>
      <c r="M2389" s="16">
        <f t="shared" si="74"/>
        <v>2.8488698765728175</v>
      </c>
    </row>
    <row r="2390" spans="1:13" x14ac:dyDescent="0.25">
      <c r="A2390" s="2">
        <f t="shared" si="75"/>
        <v>2385</v>
      </c>
      <c r="B2390" s="2">
        <v>244487</v>
      </c>
      <c r="C2390" s="2" t="s">
        <v>4896</v>
      </c>
      <c r="D2390" s="14" t="s">
        <v>2379</v>
      </c>
      <c r="E2390" s="14">
        <v>0</v>
      </c>
      <c r="F2390" s="14">
        <v>0</v>
      </c>
      <c r="G2390" s="14">
        <v>0</v>
      </c>
      <c r="H2390" s="16">
        <v>0</v>
      </c>
      <c r="I2390" s="16">
        <v>0</v>
      </c>
      <c r="J2390" s="3" t="s">
        <v>5011</v>
      </c>
      <c r="K2390" s="16">
        <v>0</v>
      </c>
      <c r="L2390" s="16">
        <v>0</v>
      </c>
      <c r="M2390" s="16">
        <v>0</v>
      </c>
    </row>
    <row r="2391" spans="1:13" x14ac:dyDescent="0.25">
      <c r="A2391" s="2">
        <f t="shared" si="75"/>
        <v>2386</v>
      </c>
      <c r="B2391" s="2">
        <v>244876</v>
      </c>
      <c r="C2391" s="2" t="s">
        <v>4897</v>
      </c>
      <c r="D2391" s="14" t="s">
        <v>2380</v>
      </c>
      <c r="E2391" s="14">
        <v>0</v>
      </c>
      <c r="F2391" s="14">
        <v>0</v>
      </c>
      <c r="G2391" s="14">
        <v>0</v>
      </c>
      <c r="H2391" s="16">
        <v>0</v>
      </c>
      <c r="I2391" s="16">
        <v>0</v>
      </c>
      <c r="J2391" s="3" t="s">
        <v>5011</v>
      </c>
      <c r="K2391" s="16">
        <v>0</v>
      </c>
      <c r="L2391" s="16">
        <v>0</v>
      </c>
      <c r="M2391" s="16">
        <v>0</v>
      </c>
    </row>
    <row r="2392" spans="1:13" x14ac:dyDescent="0.25">
      <c r="A2392" s="2">
        <f t="shared" si="75"/>
        <v>2387</v>
      </c>
      <c r="B2392" s="2">
        <v>244907</v>
      </c>
      <c r="C2392" s="2" t="s">
        <v>4898</v>
      </c>
      <c r="D2392" s="14" t="s">
        <v>2381</v>
      </c>
      <c r="E2392" s="14">
        <v>0.39670529999999998</v>
      </c>
      <c r="F2392" s="14">
        <v>0</v>
      </c>
      <c r="G2392" s="14">
        <v>0.39670529999999998</v>
      </c>
      <c r="H2392" s="16">
        <v>22.711206199999999</v>
      </c>
      <c r="I2392" s="16">
        <v>17.788864400000001</v>
      </c>
      <c r="J2392" s="3" t="s">
        <v>5011</v>
      </c>
      <c r="K2392" s="16">
        <v>349.50865771949998</v>
      </c>
      <c r="L2392" s="16">
        <v>46.873617500000002</v>
      </c>
      <c r="M2392" s="16">
        <f t="shared" si="74"/>
        <v>2.0638981957726226</v>
      </c>
    </row>
    <row r="2393" spans="1:13" x14ac:dyDescent="0.25">
      <c r="A2393" s="2">
        <f t="shared" si="75"/>
        <v>2388</v>
      </c>
      <c r="B2393" s="2">
        <v>245210</v>
      </c>
      <c r="C2393" s="2" t="s">
        <v>4899</v>
      </c>
      <c r="D2393" s="14" t="s">
        <v>2382</v>
      </c>
      <c r="E2393" s="14">
        <v>1.3982428</v>
      </c>
      <c r="F2393" s="14">
        <v>0</v>
      </c>
      <c r="G2393" s="14">
        <v>1.3982428</v>
      </c>
      <c r="H2393" s="16">
        <v>296.0204885</v>
      </c>
      <c r="I2393" s="16">
        <v>223.3475162</v>
      </c>
      <c r="J2393" s="3" t="s">
        <v>5011</v>
      </c>
      <c r="K2393" s="16">
        <v>1915.9643666460997</v>
      </c>
      <c r="L2393" s="16">
        <v>326.22199999999998</v>
      </c>
      <c r="M2393" s="16">
        <f t="shared" si="74"/>
        <v>1.1020250714841988</v>
      </c>
    </row>
    <row r="2394" spans="1:13" x14ac:dyDescent="0.25">
      <c r="A2394" s="2">
        <f t="shared" si="75"/>
        <v>2389</v>
      </c>
      <c r="B2394" s="2">
        <v>245436</v>
      </c>
      <c r="C2394" s="2" t="s">
        <v>4900</v>
      </c>
      <c r="D2394" s="14" t="s">
        <v>2383</v>
      </c>
      <c r="E2394" s="14">
        <v>7.0357099999999992E-2</v>
      </c>
      <c r="F2394" s="14">
        <v>0</v>
      </c>
      <c r="G2394" s="14">
        <v>7.0357099999999992E-2</v>
      </c>
      <c r="H2394" s="16">
        <v>0</v>
      </c>
      <c r="I2394" s="16">
        <v>0</v>
      </c>
      <c r="J2394" s="3" t="s">
        <v>5011</v>
      </c>
      <c r="K2394" s="16">
        <v>237.2967910646</v>
      </c>
      <c r="L2394" s="16">
        <v>24.911536600000002</v>
      </c>
      <c r="M2394" s="16">
        <v>0</v>
      </c>
    </row>
    <row r="2395" spans="1:13" x14ac:dyDescent="0.25">
      <c r="A2395" s="2">
        <f t="shared" si="75"/>
        <v>2390</v>
      </c>
      <c r="B2395" s="2">
        <v>245582</v>
      </c>
      <c r="C2395" s="2" t="s">
        <v>4901</v>
      </c>
      <c r="D2395" s="14" t="s">
        <v>2384</v>
      </c>
      <c r="E2395" s="14">
        <v>0</v>
      </c>
      <c r="F2395" s="14">
        <v>0</v>
      </c>
      <c r="G2395" s="14">
        <v>0</v>
      </c>
      <c r="H2395" s="16">
        <v>0.36998150000000002</v>
      </c>
      <c r="I2395" s="16">
        <v>0.36998150000000002</v>
      </c>
      <c r="J2395" s="3" t="s">
        <v>5011</v>
      </c>
      <c r="K2395" s="16">
        <v>34.871415292199991</v>
      </c>
      <c r="L2395" s="16">
        <v>27.5514662</v>
      </c>
      <c r="M2395" s="16">
        <f t="shared" si="74"/>
        <v>74.467145519438134</v>
      </c>
    </row>
    <row r="2396" spans="1:13" x14ac:dyDescent="0.25">
      <c r="A2396" s="2">
        <f t="shared" si="75"/>
        <v>2391</v>
      </c>
      <c r="B2396" s="2">
        <v>246125</v>
      </c>
      <c r="C2396" s="2" t="s">
        <v>4902</v>
      </c>
      <c r="D2396" s="14" t="s">
        <v>2385</v>
      </c>
      <c r="E2396" s="14">
        <v>0.44205449999999996</v>
      </c>
      <c r="F2396" s="14">
        <v>0</v>
      </c>
      <c r="G2396" s="14">
        <v>0.44205449999999996</v>
      </c>
      <c r="H2396" s="16">
        <v>43.5045401</v>
      </c>
      <c r="I2396" s="16">
        <v>35.0853155</v>
      </c>
      <c r="J2396" s="3" t="s">
        <v>5011</v>
      </c>
      <c r="K2396" s="16">
        <v>511.17654576369995</v>
      </c>
      <c r="L2396" s="16">
        <v>75.966609599999998</v>
      </c>
      <c r="M2396" s="16">
        <f t="shared" si="74"/>
        <v>1.7461765927276174</v>
      </c>
    </row>
    <row r="2397" spans="1:13" x14ac:dyDescent="0.25">
      <c r="A2397" s="2">
        <f t="shared" si="75"/>
        <v>2392</v>
      </c>
      <c r="B2397" s="2">
        <v>246336</v>
      </c>
      <c r="C2397" s="2" t="s">
        <v>4903</v>
      </c>
      <c r="D2397" s="14" t="s">
        <v>2386</v>
      </c>
      <c r="E2397" s="14">
        <v>9.3890399999999985E-2</v>
      </c>
      <c r="F2397" s="14">
        <v>0</v>
      </c>
      <c r="G2397" s="14">
        <v>9.3890399999999985E-2</v>
      </c>
      <c r="H2397" s="16">
        <v>3.4098295000000003</v>
      </c>
      <c r="I2397" s="16">
        <v>3.4098295000000003</v>
      </c>
      <c r="J2397" s="3" t="s">
        <v>5011</v>
      </c>
      <c r="K2397" s="16">
        <v>115.5975991927</v>
      </c>
      <c r="L2397" s="16">
        <v>14.546221399999999</v>
      </c>
      <c r="M2397" s="16">
        <f t="shared" si="74"/>
        <v>4.2659673746150641</v>
      </c>
    </row>
    <row r="2398" spans="1:13" x14ac:dyDescent="0.25">
      <c r="A2398" s="2">
        <f t="shared" si="75"/>
        <v>2393</v>
      </c>
      <c r="B2398" s="2">
        <v>246682</v>
      </c>
      <c r="C2398" s="2" t="s">
        <v>4904</v>
      </c>
      <c r="D2398" s="14" t="s">
        <v>2387</v>
      </c>
      <c r="E2398" s="14">
        <v>0</v>
      </c>
      <c r="F2398" s="14">
        <v>0</v>
      </c>
      <c r="G2398" s="14">
        <v>0</v>
      </c>
      <c r="H2398" s="16">
        <v>0</v>
      </c>
      <c r="I2398" s="16">
        <v>0</v>
      </c>
      <c r="J2398" s="3" t="s">
        <v>5011</v>
      </c>
      <c r="K2398" s="16">
        <v>0</v>
      </c>
      <c r="L2398" s="16">
        <v>0</v>
      </c>
      <c r="M2398" s="16">
        <v>0</v>
      </c>
    </row>
    <row r="2399" spans="1:13" x14ac:dyDescent="0.25">
      <c r="A2399" s="2">
        <f t="shared" si="75"/>
        <v>2394</v>
      </c>
      <c r="B2399" s="2">
        <v>246834</v>
      </c>
      <c r="C2399" s="2" t="s">
        <v>4905</v>
      </c>
      <c r="D2399" s="14" t="s">
        <v>2388</v>
      </c>
      <c r="E2399" s="14">
        <v>3.9509999999999995E-4</v>
      </c>
      <c r="F2399" s="14">
        <v>0</v>
      </c>
      <c r="G2399" s="14">
        <v>3.9509999999999995E-4</v>
      </c>
      <c r="H2399" s="16">
        <v>1.0499475</v>
      </c>
      <c r="I2399" s="16">
        <v>1.0499475</v>
      </c>
      <c r="J2399" s="3" t="s">
        <v>5011</v>
      </c>
      <c r="K2399" s="16">
        <v>1.7173005326999999</v>
      </c>
      <c r="L2399" s="16">
        <v>1.0864780999999999</v>
      </c>
      <c r="M2399" s="16">
        <f t="shared" si="74"/>
        <v>1.0347927872584104</v>
      </c>
    </row>
    <row r="2400" spans="1:13" x14ac:dyDescent="0.25">
      <c r="A2400" s="2">
        <f t="shared" si="75"/>
        <v>2395</v>
      </c>
      <c r="B2400" s="2">
        <v>247417</v>
      </c>
      <c r="C2400" s="2" t="s">
        <v>4906</v>
      </c>
      <c r="D2400" s="14" t="s">
        <v>2389</v>
      </c>
      <c r="E2400" s="14">
        <v>1.94673E-2</v>
      </c>
      <c r="F2400" s="14">
        <v>0</v>
      </c>
      <c r="G2400" s="14">
        <v>1.94673E-2</v>
      </c>
      <c r="H2400" s="16">
        <v>12.249388400000001</v>
      </c>
      <c r="I2400" s="16">
        <v>12.249388400000001</v>
      </c>
      <c r="J2400" s="3" t="s">
        <v>5011</v>
      </c>
      <c r="K2400" s="16">
        <v>31.953685105000002</v>
      </c>
      <c r="L2400" s="16">
        <v>13.2028392</v>
      </c>
      <c r="M2400" s="16">
        <f t="shared" si="74"/>
        <v>1.0778366044789631</v>
      </c>
    </row>
    <row r="2401" spans="1:13" x14ac:dyDescent="0.25">
      <c r="A2401" s="2">
        <f t="shared" si="75"/>
        <v>2396</v>
      </c>
      <c r="B2401" s="2">
        <v>247667</v>
      </c>
      <c r="C2401" s="2" t="s">
        <v>4907</v>
      </c>
      <c r="D2401" s="14" t="s">
        <v>2390</v>
      </c>
      <c r="E2401" s="14">
        <v>0</v>
      </c>
      <c r="F2401" s="14">
        <v>0</v>
      </c>
      <c r="G2401" s="14">
        <v>0</v>
      </c>
      <c r="H2401" s="16">
        <v>0</v>
      </c>
      <c r="I2401" s="16">
        <v>0</v>
      </c>
      <c r="J2401" s="3" t="s">
        <v>5011</v>
      </c>
      <c r="K2401" s="16">
        <v>0</v>
      </c>
      <c r="L2401" s="16">
        <v>0</v>
      </c>
      <c r="M2401" s="16">
        <v>0</v>
      </c>
    </row>
    <row r="2402" spans="1:13" x14ac:dyDescent="0.25">
      <c r="A2402" s="2">
        <f t="shared" si="75"/>
        <v>2397</v>
      </c>
      <c r="B2402" s="2">
        <v>247917</v>
      </c>
      <c r="C2402" s="2" t="s">
        <v>4908</v>
      </c>
      <c r="D2402" s="14" t="s">
        <v>2391</v>
      </c>
      <c r="E2402" s="14">
        <v>0.72915399999999997</v>
      </c>
      <c r="F2402" s="14">
        <v>0</v>
      </c>
      <c r="G2402" s="14">
        <v>0.72915399999999997</v>
      </c>
      <c r="H2402" s="16">
        <v>222.89385530000001</v>
      </c>
      <c r="I2402" s="16">
        <v>197.47017160000001</v>
      </c>
      <c r="J2402" s="3" t="s">
        <v>5011</v>
      </c>
      <c r="K2402" s="16">
        <v>930.19833565069985</v>
      </c>
      <c r="L2402" s="16">
        <v>268.72630550000002</v>
      </c>
      <c r="M2402" s="16">
        <f t="shared" si="74"/>
        <v>1.2056245567573527</v>
      </c>
    </row>
    <row r="2403" spans="1:13" x14ac:dyDescent="0.25">
      <c r="A2403" s="2">
        <f t="shared" si="75"/>
        <v>2398</v>
      </c>
      <c r="B2403" s="2">
        <v>248080</v>
      </c>
      <c r="C2403" s="2" t="s">
        <v>4909</v>
      </c>
      <c r="D2403" s="14" t="s">
        <v>2392</v>
      </c>
      <c r="E2403" s="14">
        <v>0</v>
      </c>
      <c r="F2403" s="14">
        <v>0</v>
      </c>
      <c r="G2403" s="14">
        <v>0</v>
      </c>
      <c r="H2403" s="16">
        <v>0</v>
      </c>
      <c r="I2403" s="16">
        <v>0</v>
      </c>
      <c r="J2403" s="3" t="s">
        <v>5011</v>
      </c>
      <c r="K2403" s="16">
        <v>0</v>
      </c>
      <c r="L2403" s="16">
        <v>0</v>
      </c>
      <c r="M2403" s="16">
        <v>0</v>
      </c>
    </row>
    <row r="2404" spans="1:13" x14ac:dyDescent="0.25">
      <c r="A2404" s="2">
        <f t="shared" si="75"/>
        <v>2399</v>
      </c>
      <c r="B2404" s="2">
        <v>248368</v>
      </c>
      <c r="C2404" s="2" t="s">
        <v>4910</v>
      </c>
      <c r="D2404" s="14" t="s">
        <v>2393</v>
      </c>
      <c r="E2404" s="14">
        <v>0.30815710000000002</v>
      </c>
      <c r="F2404" s="14">
        <v>0</v>
      </c>
      <c r="G2404" s="14">
        <v>0.30815710000000002</v>
      </c>
      <c r="H2404" s="16">
        <v>58.017488</v>
      </c>
      <c r="I2404" s="16">
        <v>54.1106312</v>
      </c>
      <c r="J2404" s="3" t="s">
        <v>5011</v>
      </c>
      <c r="K2404" s="16">
        <v>425.74683872669993</v>
      </c>
      <c r="L2404" s="16">
        <v>75.500236000000001</v>
      </c>
      <c r="M2404" s="16">
        <f t="shared" si="74"/>
        <v>1.3013358317064676</v>
      </c>
    </row>
    <row r="2405" spans="1:13" x14ac:dyDescent="0.25">
      <c r="A2405" s="2">
        <f t="shared" si="75"/>
        <v>2400</v>
      </c>
      <c r="B2405" s="2">
        <v>248439</v>
      </c>
      <c r="C2405" s="2" t="s">
        <v>4911</v>
      </c>
      <c r="D2405" s="14" t="s">
        <v>2394</v>
      </c>
      <c r="E2405" s="14">
        <v>0.19334110000000002</v>
      </c>
      <c r="F2405" s="14">
        <v>0</v>
      </c>
      <c r="G2405" s="14">
        <v>0.19334110000000002</v>
      </c>
      <c r="H2405" s="16">
        <v>3.1898404999999999</v>
      </c>
      <c r="I2405" s="16">
        <v>-268.25926349999997</v>
      </c>
      <c r="J2405" s="3" t="s">
        <v>5011</v>
      </c>
      <c r="K2405" s="16">
        <v>1294.4367688448997</v>
      </c>
      <c r="L2405" s="16">
        <v>38.814686899999998</v>
      </c>
      <c r="M2405" s="16">
        <f t="shared" si="74"/>
        <v>12.168221859368831</v>
      </c>
    </row>
    <row r="2406" spans="1:13" x14ac:dyDescent="0.25">
      <c r="A2406" s="2">
        <f t="shared" si="75"/>
        <v>2401</v>
      </c>
      <c r="B2406" s="2">
        <v>249212</v>
      </c>
      <c r="C2406" s="2" t="s">
        <v>4912</v>
      </c>
      <c r="D2406" s="14" t="s">
        <v>2395</v>
      </c>
      <c r="E2406" s="14">
        <v>0.11966120000000001</v>
      </c>
      <c r="F2406" s="14">
        <v>0</v>
      </c>
      <c r="G2406" s="14">
        <v>0.11966120000000001</v>
      </c>
      <c r="H2406" s="16">
        <v>114.38428289999999</v>
      </c>
      <c r="I2406" s="16">
        <v>107.9727309</v>
      </c>
      <c r="J2406" s="3" t="s">
        <v>5011</v>
      </c>
      <c r="K2406" s="16">
        <v>346.23700174830003</v>
      </c>
      <c r="L2406" s="16">
        <v>132.9961763</v>
      </c>
      <c r="M2406" s="16">
        <f t="shared" si="74"/>
        <v>1.162713730664128</v>
      </c>
    </row>
    <row r="2407" spans="1:13" x14ac:dyDescent="0.25">
      <c r="A2407" s="2">
        <f t="shared" si="75"/>
        <v>2402</v>
      </c>
      <c r="B2407" s="2">
        <v>249727</v>
      </c>
      <c r="C2407" s="2" t="s">
        <v>4913</v>
      </c>
      <c r="D2407" s="14" t="s">
        <v>2396</v>
      </c>
      <c r="E2407" s="14">
        <v>0.36874059999999997</v>
      </c>
      <c r="F2407" s="14">
        <v>0</v>
      </c>
      <c r="G2407" s="14">
        <v>0.36874059999999997</v>
      </c>
      <c r="H2407" s="16">
        <v>60.665968099999994</v>
      </c>
      <c r="I2407" s="16">
        <v>48.041112599999998</v>
      </c>
      <c r="J2407" s="3" t="s">
        <v>5011</v>
      </c>
      <c r="K2407" s="16">
        <v>460.14151439609998</v>
      </c>
      <c r="L2407" s="16">
        <v>82.241880999999992</v>
      </c>
      <c r="M2407" s="16">
        <f t="shared" si="74"/>
        <v>1.3556510111968361</v>
      </c>
    </row>
    <row r="2408" spans="1:13" x14ac:dyDescent="0.25">
      <c r="A2408" s="2">
        <f t="shared" si="75"/>
        <v>2403</v>
      </c>
      <c r="B2408" s="2">
        <v>250664</v>
      </c>
      <c r="C2408" s="2" t="s">
        <v>4914</v>
      </c>
      <c r="D2408" s="14" t="s">
        <v>2397</v>
      </c>
      <c r="E2408" s="14">
        <v>0</v>
      </c>
      <c r="F2408" s="14">
        <v>0</v>
      </c>
      <c r="G2408" s="14">
        <v>0</v>
      </c>
      <c r="H2408" s="16">
        <v>0</v>
      </c>
      <c r="I2408" s="16">
        <v>0</v>
      </c>
      <c r="J2408" s="3" t="s">
        <v>5011</v>
      </c>
      <c r="K2408" s="16">
        <v>0</v>
      </c>
      <c r="L2408" s="16">
        <v>0</v>
      </c>
      <c r="M2408" s="16">
        <v>0</v>
      </c>
    </row>
    <row r="2409" spans="1:13" x14ac:dyDescent="0.25">
      <c r="A2409" s="2">
        <f t="shared" si="75"/>
        <v>2404</v>
      </c>
      <c r="B2409" s="2">
        <v>251198</v>
      </c>
      <c r="C2409" s="2" t="s">
        <v>4915</v>
      </c>
      <c r="D2409" s="14" t="s">
        <v>2398</v>
      </c>
      <c r="E2409" s="14">
        <v>2.0662943999999999</v>
      </c>
      <c r="F2409" s="14">
        <v>0</v>
      </c>
      <c r="G2409" s="14">
        <v>2.0662943999999999</v>
      </c>
      <c r="H2409" s="16">
        <v>334.09979970000001</v>
      </c>
      <c r="I2409" s="16">
        <v>202.78949059999999</v>
      </c>
      <c r="J2409" s="3" t="s">
        <v>5011</v>
      </c>
      <c r="K2409" s="16">
        <v>2395.8020456193999</v>
      </c>
      <c r="L2409" s="16">
        <v>371.08566340000004</v>
      </c>
      <c r="M2409" s="16">
        <f t="shared" si="74"/>
        <v>1.1107030406280127</v>
      </c>
    </row>
    <row r="2410" spans="1:13" x14ac:dyDescent="0.25">
      <c r="A2410" s="2">
        <f t="shared" si="75"/>
        <v>2405</v>
      </c>
      <c r="B2410" s="2">
        <v>251382</v>
      </c>
      <c r="C2410" s="2" t="s">
        <v>4916</v>
      </c>
      <c r="D2410" s="14" t="s">
        <v>2399</v>
      </c>
      <c r="E2410" s="14">
        <v>2.0495999999999999E-3</v>
      </c>
      <c r="F2410" s="14">
        <v>0</v>
      </c>
      <c r="G2410" s="14">
        <v>2.0495999999999999E-3</v>
      </c>
      <c r="H2410" s="16">
        <v>8.1495925000000007</v>
      </c>
      <c r="I2410" s="16">
        <v>8.1495925000000007</v>
      </c>
      <c r="J2410" s="3" t="s">
        <v>5011</v>
      </c>
      <c r="K2410" s="16">
        <v>11.012087728500001</v>
      </c>
      <c r="L2410" s="16">
        <v>8.147254499999999</v>
      </c>
      <c r="M2410" s="16">
        <f t="shared" si="74"/>
        <v>0.99971311449008016</v>
      </c>
    </row>
    <row r="2411" spans="1:13" x14ac:dyDescent="0.25">
      <c r="A2411" s="2">
        <f t="shared" si="75"/>
        <v>2406</v>
      </c>
      <c r="B2411" s="2">
        <v>251550</v>
      </c>
      <c r="C2411" s="2" t="s">
        <v>4917</v>
      </c>
      <c r="D2411" s="14" t="s">
        <v>2400</v>
      </c>
      <c r="E2411" s="14">
        <v>1.2145489999999999</v>
      </c>
      <c r="F2411" s="14">
        <v>0</v>
      </c>
      <c r="G2411" s="14">
        <v>1.2145489999999999</v>
      </c>
      <c r="H2411" s="16">
        <v>199.85983969999998</v>
      </c>
      <c r="I2411" s="16">
        <v>168.0135038</v>
      </c>
      <c r="J2411" s="3" t="s">
        <v>5011</v>
      </c>
      <c r="K2411" s="16">
        <v>1302.5211073829996</v>
      </c>
      <c r="L2411" s="16">
        <v>255.54123519999999</v>
      </c>
      <c r="M2411" s="16">
        <f t="shared" si="74"/>
        <v>1.2786022223553299</v>
      </c>
    </row>
    <row r="2412" spans="1:13" x14ac:dyDescent="0.25">
      <c r="A2412" s="2">
        <f t="shared" si="75"/>
        <v>2407</v>
      </c>
      <c r="B2412" s="2">
        <v>252158</v>
      </c>
      <c r="C2412" s="2" t="s">
        <v>4918</v>
      </c>
      <c r="D2412" s="14" t="s">
        <v>2401</v>
      </c>
      <c r="E2412" s="14">
        <v>5.5807304000000002</v>
      </c>
      <c r="F2412" s="14">
        <v>0</v>
      </c>
      <c r="G2412" s="14">
        <v>5.5807304000000002</v>
      </c>
      <c r="H2412" s="16">
        <v>1235.0265681999999</v>
      </c>
      <c r="I2412" s="16">
        <v>1059.9164358999999</v>
      </c>
      <c r="J2412" s="3" t="s">
        <v>5011</v>
      </c>
      <c r="K2412" s="16">
        <v>5740.8185106616002</v>
      </c>
      <c r="L2412" s="16">
        <v>1259.8100836000001</v>
      </c>
      <c r="M2412" s="16">
        <f t="shared" si="74"/>
        <v>1.0200671921059328</v>
      </c>
    </row>
    <row r="2413" spans="1:13" x14ac:dyDescent="0.25">
      <c r="A2413" s="2">
        <f t="shared" si="75"/>
        <v>2408</v>
      </c>
      <c r="B2413" s="2">
        <v>252966</v>
      </c>
      <c r="C2413" s="2" t="s">
        <v>4919</v>
      </c>
      <c r="D2413" s="14" t="s">
        <v>2402</v>
      </c>
      <c r="E2413" s="14">
        <v>0</v>
      </c>
      <c r="F2413" s="14">
        <v>0</v>
      </c>
      <c r="G2413" s="14">
        <v>0</v>
      </c>
      <c r="H2413" s="16">
        <v>0</v>
      </c>
      <c r="I2413" s="16">
        <v>0</v>
      </c>
      <c r="J2413" s="3" t="s">
        <v>5011</v>
      </c>
      <c r="K2413" s="16">
        <v>0</v>
      </c>
      <c r="L2413" s="16">
        <v>0</v>
      </c>
      <c r="M2413" s="16">
        <v>0</v>
      </c>
    </row>
    <row r="2414" spans="1:13" x14ac:dyDescent="0.25">
      <c r="A2414" s="2">
        <f t="shared" si="75"/>
        <v>2409</v>
      </c>
      <c r="B2414" s="2">
        <v>253076</v>
      </c>
      <c r="C2414" s="2" t="s">
        <v>4920</v>
      </c>
      <c r="D2414" s="14" t="s">
        <v>2403</v>
      </c>
      <c r="E2414" s="14">
        <v>0</v>
      </c>
      <c r="F2414" s="14">
        <v>0</v>
      </c>
      <c r="G2414" s="14">
        <v>0</v>
      </c>
      <c r="H2414" s="16">
        <v>0</v>
      </c>
      <c r="I2414" s="16">
        <v>0</v>
      </c>
      <c r="J2414" s="3" t="s">
        <v>5011</v>
      </c>
      <c r="K2414" s="16">
        <v>0</v>
      </c>
      <c r="L2414" s="16">
        <v>0</v>
      </c>
      <c r="M2414" s="16">
        <v>0</v>
      </c>
    </row>
    <row r="2415" spans="1:13" x14ac:dyDescent="0.25">
      <c r="A2415" s="2">
        <f t="shared" si="75"/>
        <v>2410</v>
      </c>
      <c r="B2415" s="2">
        <v>253162</v>
      </c>
      <c r="C2415" s="2" t="s">
        <v>4921</v>
      </c>
      <c r="D2415" s="14" t="s">
        <v>2404</v>
      </c>
      <c r="E2415" s="14">
        <v>0</v>
      </c>
      <c r="F2415" s="14">
        <v>0</v>
      </c>
      <c r="G2415" s="14">
        <v>0</v>
      </c>
      <c r="H2415" s="16">
        <v>0</v>
      </c>
      <c r="I2415" s="16">
        <v>0</v>
      </c>
      <c r="J2415" s="3" t="s">
        <v>5011</v>
      </c>
      <c r="K2415" s="16">
        <v>0</v>
      </c>
      <c r="L2415" s="16">
        <v>0</v>
      </c>
      <c r="M2415" s="16">
        <v>0</v>
      </c>
    </row>
    <row r="2416" spans="1:13" x14ac:dyDescent="0.25">
      <c r="A2416" s="2">
        <f t="shared" si="75"/>
        <v>2411</v>
      </c>
      <c r="B2416" s="2">
        <v>253442</v>
      </c>
      <c r="C2416" s="2" t="s">
        <v>4922</v>
      </c>
      <c r="D2416" s="14" t="s">
        <v>2405</v>
      </c>
      <c r="E2416" s="14">
        <v>8.8997300000000001E-2</v>
      </c>
      <c r="F2416" s="14">
        <v>0</v>
      </c>
      <c r="G2416" s="14">
        <v>8.8997300000000001E-2</v>
      </c>
      <c r="H2416" s="16">
        <v>43.737814200000003</v>
      </c>
      <c r="I2416" s="16">
        <v>43.267814199999997</v>
      </c>
      <c r="J2416" s="3" t="s">
        <v>5011</v>
      </c>
      <c r="K2416" s="16">
        <v>197.48492763409996</v>
      </c>
      <c r="L2416" s="16">
        <v>49.005735399999999</v>
      </c>
      <c r="M2416" s="16">
        <f t="shared" si="74"/>
        <v>1.1204431747757526</v>
      </c>
    </row>
    <row r="2417" spans="1:13" x14ac:dyDescent="0.25">
      <c r="A2417" s="2">
        <f t="shared" si="75"/>
        <v>2412</v>
      </c>
      <c r="B2417" s="2">
        <v>254009</v>
      </c>
      <c r="C2417" s="2" t="s">
        <v>4923</v>
      </c>
      <c r="D2417" s="14" t="s">
        <v>2406</v>
      </c>
      <c r="E2417" s="14">
        <v>0</v>
      </c>
      <c r="F2417" s="14">
        <v>0</v>
      </c>
      <c r="G2417" s="14">
        <v>0</v>
      </c>
      <c r="H2417" s="16">
        <v>0</v>
      </c>
      <c r="I2417" s="16">
        <v>0</v>
      </c>
      <c r="J2417" s="3" t="s">
        <v>5011</v>
      </c>
      <c r="K2417" s="16">
        <v>0</v>
      </c>
      <c r="L2417" s="16">
        <v>0</v>
      </c>
      <c r="M2417" s="16">
        <v>0</v>
      </c>
    </row>
    <row r="2418" spans="1:13" x14ac:dyDescent="0.25">
      <c r="A2418" s="2">
        <f t="shared" si="75"/>
        <v>2413</v>
      </c>
      <c r="B2418" s="2">
        <v>254361</v>
      </c>
      <c r="C2418" s="2" t="s">
        <v>4924</v>
      </c>
      <c r="D2418" s="14" t="s">
        <v>2407</v>
      </c>
      <c r="E2418" s="14">
        <v>0</v>
      </c>
      <c r="F2418" s="14">
        <v>0</v>
      </c>
      <c r="G2418" s="14">
        <v>0</v>
      </c>
      <c r="H2418" s="16">
        <v>0</v>
      </c>
      <c r="I2418" s="16">
        <v>0</v>
      </c>
      <c r="J2418" s="3" t="s">
        <v>5011</v>
      </c>
      <c r="K2418" s="16">
        <v>0</v>
      </c>
      <c r="L2418" s="16">
        <v>0</v>
      </c>
      <c r="M2418" s="16">
        <v>0</v>
      </c>
    </row>
    <row r="2419" spans="1:13" x14ac:dyDescent="0.25">
      <c r="A2419" s="2">
        <f t="shared" si="75"/>
        <v>2414</v>
      </c>
      <c r="B2419" s="2">
        <v>254715</v>
      </c>
      <c r="C2419" s="2" t="s">
        <v>4925</v>
      </c>
      <c r="D2419" s="14" t="s">
        <v>2408</v>
      </c>
      <c r="E2419" s="14">
        <v>0.1395605</v>
      </c>
      <c r="F2419" s="14">
        <v>0</v>
      </c>
      <c r="G2419" s="14">
        <v>0.1395605</v>
      </c>
      <c r="H2419" s="16">
        <v>55.664555300000004</v>
      </c>
      <c r="I2419" s="16">
        <v>55.197217000000002</v>
      </c>
      <c r="J2419" s="3" t="s">
        <v>5011</v>
      </c>
      <c r="K2419" s="16">
        <v>277.03299468020009</v>
      </c>
      <c r="L2419" s="16">
        <v>132.65423910000001</v>
      </c>
      <c r="M2419" s="16">
        <f t="shared" si="74"/>
        <v>2.38310067124528</v>
      </c>
    </row>
    <row r="2420" spans="1:13" x14ac:dyDescent="0.25">
      <c r="A2420" s="2">
        <f t="shared" si="75"/>
        <v>2415</v>
      </c>
      <c r="B2420" s="2">
        <v>254717</v>
      </c>
      <c r="C2420" s="2" t="s">
        <v>4926</v>
      </c>
      <c r="D2420" s="14" t="s">
        <v>2409</v>
      </c>
      <c r="E2420" s="14">
        <v>0.43879340000000006</v>
      </c>
      <c r="F2420" s="14">
        <v>0</v>
      </c>
      <c r="G2420" s="14">
        <v>0.43879340000000006</v>
      </c>
      <c r="H2420" s="16">
        <v>19.7970124</v>
      </c>
      <c r="I2420" s="16">
        <v>17.280543599999998</v>
      </c>
      <c r="J2420" s="3" t="s">
        <v>5011</v>
      </c>
      <c r="K2420" s="16">
        <v>551.3014647796</v>
      </c>
      <c r="L2420" s="16">
        <v>37.553878500000003</v>
      </c>
      <c r="M2420" s="16">
        <f t="shared" si="74"/>
        <v>1.8969467584917006</v>
      </c>
    </row>
    <row r="2421" spans="1:13" x14ac:dyDescent="0.25">
      <c r="A2421" s="2">
        <f t="shared" si="75"/>
        <v>2416</v>
      </c>
      <c r="B2421" s="2">
        <v>254807</v>
      </c>
      <c r="C2421" s="2" t="s">
        <v>4927</v>
      </c>
      <c r="D2421" s="14" t="s">
        <v>2410</v>
      </c>
      <c r="E2421" s="14">
        <v>1.0904149999999999</v>
      </c>
      <c r="F2421" s="14">
        <v>0</v>
      </c>
      <c r="G2421" s="14">
        <v>1.0904149999999999</v>
      </c>
      <c r="H2421" s="16">
        <v>125.2381792</v>
      </c>
      <c r="I2421" s="16">
        <v>69.0184833</v>
      </c>
      <c r="J2421" s="3" t="s">
        <v>5011</v>
      </c>
      <c r="K2421" s="16">
        <v>1233.0716707114002</v>
      </c>
      <c r="L2421" s="16">
        <v>187.17292030000002</v>
      </c>
      <c r="M2421" s="16">
        <f t="shared" si="74"/>
        <v>1.4945356240056229</v>
      </c>
    </row>
    <row r="2422" spans="1:13" x14ac:dyDescent="0.25">
      <c r="A2422" s="2">
        <f t="shared" si="75"/>
        <v>2417</v>
      </c>
      <c r="B2422" s="2">
        <v>254910</v>
      </c>
      <c r="C2422" s="2" t="s">
        <v>4928</v>
      </c>
      <c r="D2422" s="14" t="s">
        <v>2411</v>
      </c>
      <c r="E2422" s="14">
        <v>67.218217799999991</v>
      </c>
      <c r="F2422" s="14">
        <v>0</v>
      </c>
      <c r="G2422" s="14">
        <v>67.218217799999991</v>
      </c>
      <c r="H2422" s="16">
        <v>829.95893010000009</v>
      </c>
      <c r="I2422" s="16">
        <v>526.11006999999995</v>
      </c>
      <c r="J2422" s="3" t="s">
        <v>5011</v>
      </c>
      <c r="K2422" s="16">
        <v>53482.797026572691</v>
      </c>
      <c r="L2422" s="16">
        <v>5941.6895769000002</v>
      </c>
      <c r="M2422" s="16">
        <f t="shared" si="74"/>
        <v>7.1590163819119317</v>
      </c>
    </row>
    <row r="2423" spans="1:13" x14ac:dyDescent="0.25">
      <c r="A2423" s="2">
        <f t="shared" si="75"/>
        <v>2418</v>
      </c>
      <c r="B2423" s="2">
        <v>254970</v>
      </c>
      <c r="C2423" s="2" t="s">
        <v>4929</v>
      </c>
      <c r="D2423" s="14" t="s">
        <v>2412</v>
      </c>
      <c r="E2423" s="14">
        <v>5.9480663000000016</v>
      </c>
      <c r="F2423" s="14">
        <v>0</v>
      </c>
      <c r="G2423" s="14">
        <v>5.9480663000000016</v>
      </c>
      <c r="H2423" s="16">
        <v>290.2263016</v>
      </c>
      <c r="I2423" s="16">
        <v>260.88373250000001</v>
      </c>
      <c r="J2423" s="3" t="s">
        <v>5011</v>
      </c>
      <c r="K2423" s="16">
        <v>5174.5703544760008</v>
      </c>
      <c r="L2423" s="16">
        <v>691.97056629999997</v>
      </c>
      <c r="M2423" s="16">
        <f t="shared" si="74"/>
        <v>2.3842448547399329</v>
      </c>
    </row>
    <row r="2424" spans="1:13" x14ac:dyDescent="0.25">
      <c r="A2424" s="2">
        <f t="shared" si="75"/>
        <v>2419</v>
      </c>
      <c r="B2424" s="2">
        <v>255035</v>
      </c>
      <c r="C2424" s="2" t="s">
        <v>4930</v>
      </c>
      <c r="D2424" s="14" t="s">
        <v>2413</v>
      </c>
      <c r="E2424" s="14">
        <v>0</v>
      </c>
      <c r="F2424" s="14">
        <v>0</v>
      </c>
      <c r="G2424" s="14">
        <v>0</v>
      </c>
      <c r="H2424" s="16">
        <v>0</v>
      </c>
      <c r="I2424" s="16">
        <v>0</v>
      </c>
      <c r="J2424" s="3" t="s">
        <v>5011</v>
      </c>
      <c r="K2424" s="16">
        <v>0</v>
      </c>
      <c r="L2424" s="16">
        <v>0</v>
      </c>
      <c r="M2424" s="16">
        <v>0</v>
      </c>
    </row>
    <row r="2425" spans="1:13" x14ac:dyDescent="0.25">
      <c r="A2425" s="2">
        <f t="shared" si="75"/>
        <v>2420</v>
      </c>
      <c r="B2425" s="2">
        <v>255051</v>
      </c>
      <c r="C2425" s="2" t="s">
        <v>4931</v>
      </c>
      <c r="D2425" s="14" t="s">
        <v>2414</v>
      </c>
      <c r="E2425" s="14">
        <v>0</v>
      </c>
      <c r="F2425" s="14">
        <v>0</v>
      </c>
      <c r="G2425" s="14">
        <v>0</v>
      </c>
      <c r="H2425" s="16">
        <v>0</v>
      </c>
      <c r="I2425" s="16">
        <v>0</v>
      </c>
      <c r="J2425" s="3" t="s">
        <v>5011</v>
      </c>
      <c r="K2425" s="16">
        <v>0</v>
      </c>
      <c r="L2425" s="16">
        <v>0</v>
      </c>
      <c r="M2425" s="16">
        <v>0</v>
      </c>
    </row>
    <row r="2426" spans="1:13" x14ac:dyDescent="0.25">
      <c r="A2426" s="2">
        <f t="shared" si="75"/>
        <v>2421</v>
      </c>
      <c r="B2426" s="2">
        <v>255332</v>
      </c>
      <c r="C2426" s="2" t="s">
        <v>4932</v>
      </c>
      <c r="D2426" s="14" t="s">
        <v>2415</v>
      </c>
      <c r="E2426" s="14">
        <v>0</v>
      </c>
      <c r="F2426" s="14">
        <v>0</v>
      </c>
      <c r="G2426" s="14">
        <v>0</v>
      </c>
      <c r="H2426" s="16">
        <v>0</v>
      </c>
      <c r="I2426" s="16">
        <v>0</v>
      </c>
      <c r="J2426" s="3" t="s">
        <v>5011</v>
      </c>
      <c r="K2426" s="16">
        <v>0</v>
      </c>
      <c r="L2426" s="16">
        <v>0</v>
      </c>
      <c r="M2426" s="16">
        <v>0</v>
      </c>
    </row>
    <row r="2427" spans="1:13" x14ac:dyDescent="0.25">
      <c r="A2427" s="2">
        <f t="shared" si="75"/>
        <v>2422</v>
      </c>
      <c r="B2427" s="2">
        <v>255509</v>
      </c>
      <c r="C2427" s="2" t="s">
        <v>4933</v>
      </c>
      <c r="D2427" s="14" t="s">
        <v>2416</v>
      </c>
      <c r="E2427" s="14">
        <v>0</v>
      </c>
      <c r="F2427" s="14">
        <v>0</v>
      </c>
      <c r="G2427" s="14">
        <v>0</v>
      </c>
      <c r="H2427" s="16">
        <v>0</v>
      </c>
      <c r="I2427" s="16">
        <v>0</v>
      </c>
      <c r="J2427" s="3" t="s">
        <v>5011</v>
      </c>
      <c r="K2427" s="16">
        <v>0</v>
      </c>
      <c r="L2427" s="16">
        <v>0</v>
      </c>
      <c r="M2427" s="16">
        <v>0</v>
      </c>
    </row>
    <row r="2428" spans="1:13" x14ac:dyDescent="0.25">
      <c r="A2428" s="2">
        <f t="shared" si="75"/>
        <v>2423</v>
      </c>
      <c r="B2428" s="2">
        <v>256167</v>
      </c>
      <c r="C2428" s="2" t="s">
        <v>4934</v>
      </c>
      <c r="D2428" s="14" t="s">
        <v>2417</v>
      </c>
      <c r="E2428" s="14">
        <v>5.2769099999999999E-2</v>
      </c>
      <c r="F2428" s="14">
        <v>0</v>
      </c>
      <c r="G2428" s="14">
        <v>5.2769099999999999E-2</v>
      </c>
      <c r="H2428" s="16">
        <v>17.953425299999999</v>
      </c>
      <c r="I2428" s="16">
        <v>17.206123700000003</v>
      </c>
      <c r="J2428" s="3" t="s">
        <v>5011</v>
      </c>
      <c r="K2428" s="16">
        <v>91.151311727700005</v>
      </c>
      <c r="L2428" s="16">
        <v>22.300707599999999</v>
      </c>
      <c r="M2428" s="16">
        <f t="shared" si="74"/>
        <v>1.2421422222978253</v>
      </c>
    </row>
    <row r="2429" spans="1:13" x14ac:dyDescent="0.25">
      <c r="A2429" s="2">
        <f t="shared" si="75"/>
        <v>2424</v>
      </c>
      <c r="B2429" s="2">
        <v>256548</v>
      </c>
      <c r="C2429" s="2" t="s">
        <v>4935</v>
      </c>
      <c r="D2429" s="14" t="s">
        <v>2418</v>
      </c>
      <c r="E2429" s="14">
        <v>13.905805800000001</v>
      </c>
      <c r="F2429" s="14">
        <v>0</v>
      </c>
      <c r="G2429" s="14">
        <v>13.905805800000001</v>
      </c>
      <c r="H2429" s="16">
        <v>320.16003690000002</v>
      </c>
      <c r="I2429" s="16">
        <v>203.35346150000001</v>
      </c>
      <c r="J2429" s="3" t="s">
        <v>5011</v>
      </c>
      <c r="K2429" s="16">
        <v>10773.119488526601</v>
      </c>
      <c r="L2429" s="16">
        <v>1208.4701751</v>
      </c>
      <c r="M2429" s="16">
        <f t="shared" si="74"/>
        <v>3.7745815711454895</v>
      </c>
    </row>
    <row r="2430" spans="1:13" x14ac:dyDescent="0.25">
      <c r="A2430" s="2">
        <f t="shared" si="75"/>
        <v>2425</v>
      </c>
      <c r="B2430" s="2">
        <v>257083</v>
      </c>
      <c r="C2430" s="2" t="s">
        <v>4936</v>
      </c>
      <c r="D2430" s="14" t="s">
        <v>2419</v>
      </c>
      <c r="E2430" s="14">
        <v>0</v>
      </c>
      <c r="F2430" s="14">
        <v>0</v>
      </c>
      <c r="G2430" s="14">
        <v>0</v>
      </c>
      <c r="H2430" s="16">
        <v>0</v>
      </c>
      <c r="I2430" s="16">
        <v>0</v>
      </c>
      <c r="J2430" s="3" t="s">
        <v>5011</v>
      </c>
      <c r="K2430" s="16">
        <v>0</v>
      </c>
      <c r="L2430" s="16">
        <v>0</v>
      </c>
      <c r="M2430" s="16">
        <v>0</v>
      </c>
    </row>
    <row r="2431" spans="1:13" x14ac:dyDescent="0.25">
      <c r="A2431" s="2">
        <f t="shared" si="75"/>
        <v>2426</v>
      </c>
      <c r="B2431" s="2">
        <v>257131</v>
      </c>
      <c r="C2431" s="2" t="s">
        <v>4937</v>
      </c>
      <c r="D2431" s="14" t="s">
        <v>2420</v>
      </c>
      <c r="E2431" s="14">
        <v>0.18856900000000001</v>
      </c>
      <c r="F2431" s="14">
        <v>0</v>
      </c>
      <c r="G2431" s="14">
        <v>0.18856900000000001</v>
      </c>
      <c r="H2431" s="16">
        <v>86.800623800000011</v>
      </c>
      <c r="I2431" s="16">
        <v>85.631783400000018</v>
      </c>
      <c r="J2431" s="3" t="s">
        <v>5011</v>
      </c>
      <c r="K2431" s="16">
        <v>437.51362681659998</v>
      </c>
      <c r="L2431" s="16">
        <v>305.17373750000002</v>
      </c>
      <c r="M2431" s="16">
        <f t="shared" si="74"/>
        <v>3.5158012021107155</v>
      </c>
    </row>
    <row r="2432" spans="1:13" x14ac:dyDescent="0.25">
      <c r="A2432" s="2">
        <f t="shared" si="75"/>
        <v>2427</v>
      </c>
      <c r="B2432" s="2">
        <v>257227</v>
      </c>
      <c r="C2432" s="2" t="s">
        <v>4938</v>
      </c>
      <c r="D2432" s="14" t="s">
        <v>2421</v>
      </c>
      <c r="E2432" s="14">
        <v>0.1240743</v>
      </c>
      <c r="F2432" s="14">
        <v>0</v>
      </c>
      <c r="G2432" s="14">
        <v>0.1240743</v>
      </c>
      <c r="H2432" s="16">
        <v>14.989252800000001</v>
      </c>
      <c r="I2432" s="16">
        <v>14.989252800000001</v>
      </c>
      <c r="J2432" s="3" t="s">
        <v>5011</v>
      </c>
      <c r="K2432" s="16">
        <v>139.89073745849998</v>
      </c>
      <c r="L2432" s="16">
        <v>26.868856900000001</v>
      </c>
      <c r="M2432" s="16">
        <f t="shared" si="74"/>
        <v>1.792541446762443</v>
      </c>
    </row>
    <row r="2433" spans="1:13" x14ac:dyDescent="0.25">
      <c r="A2433" s="2">
        <f t="shared" si="75"/>
        <v>2428</v>
      </c>
      <c r="B2433" s="2">
        <v>257369</v>
      </c>
      <c r="C2433" s="2" t="s">
        <v>4939</v>
      </c>
      <c r="D2433" s="14" t="s">
        <v>2422</v>
      </c>
      <c r="E2433" s="14">
        <v>0</v>
      </c>
      <c r="F2433" s="14">
        <v>0</v>
      </c>
      <c r="G2433" s="14">
        <v>0</v>
      </c>
      <c r="H2433" s="16">
        <v>0</v>
      </c>
      <c r="I2433" s="16">
        <v>0</v>
      </c>
      <c r="J2433" s="3" t="s">
        <v>5011</v>
      </c>
      <c r="K2433" s="16">
        <v>0</v>
      </c>
      <c r="L2433" s="16">
        <v>0</v>
      </c>
      <c r="M2433" s="16">
        <v>0</v>
      </c>
    </row>
    <row r="2434" spans="1:13" x14ac:dyDescent="0.25">
      <c r="A2434" s="2">
        <f t="shared" si="75"/>
        <v>2429</v>
      </c>
      <c r="B2434" s="2">
        <v>257409</v>
      </c>
      <c r="C2434" s="2" t="s">
        <v>4940</v>
      </c>
      <c r="D2434" s="14" t="s">
        <v>2423</v>
      </c>
      <c r="E2434" s="14">
        <v>0</v>
      </c>
      <c r="F2434" s="14">
        <v>0</v>
      </c>
      <c r="G2434" s="14">
        <v>0</v>
      </c>
      <c r="H2434" s="16">
        <v>0</v>
      </c>
      <c r="I2434" s="16">
        <v>0</v>
      </c>
      <c r="J2434" s="3" t="s">
        <v>5011</v>
      </c>
      <c r="K2434" s="16">
        <v>0</v>
      </c>
      <c r="L2434" s="16">
        <v>0</v>
      </c>
      <c r="M2434" s="16">
        <v>0</v>
      </c>
    </row>
    <row r="2435" spans="1:13" x14ac:dyDescent="0.25">
      <c r="A2435" s="2">
        <f t="shared" si="75"/>
        <v>2430</v>
      </c>
      <c r="B2435" s="2">
        <v>258300</v>
      </c>
      <c r="C2435" s="2" t="s">
        <v>4941</v>
      </c>
      <c r="D2435" s="14" t="s">
        <v>2424</v>
      </c>
      <c r="E2435" s="14">
        <v>4.1224832000000005</v>
      </c>
      <c r="F2435" s="14">
        <v>0</v>
      </c>
      <c r="G2435" s="14">
        <v>4.1224832000000005</v>
      </c>
      <c r="H2435" s="16">
        <v>605.19531459999996</v>
      </c>
      <c r="I2435" s="16">
        <v>403.79246319999999</v>
      </c>
      <c r="J2435" s="3" t="s">
        <v>5011</v>
      </c>
      <c r="K2435" s="16">
        <v>4480.7801306240999</v>
      </c>
      <c r="L2435" s="16">
        <v>742.42925849999995</v>
      </c>
      <c r="M2435" s="16">
        <f t="shared" si="74"/>
        <v>1.2267597593525719</v>
      </c>
    </row>
    <row r="2436" spans="1:13" x14ac:dyDescent="0.25">
      <c r="A2436" s="2">
        <f t="shared" si="75"/>
        <v>2431</v>
      </c>
      <c r="B2436" s="2">
        <v>258420</v>
      </c>
      <c r="C2436" s="2" t="s">
        <v>4942</v>
      </c>
      <c r="D2436" s="14" t="s">
        <v>2425</v>
      </c>
      <c r="E2436" s="14">
        <v>0</v>
      </c>
      <c r="F2436" s="14">
        <v>0</v>
      </c>
      <c r="G2436" s="14">
        <v>0</v>
      </c>
      <c r="H2436" s="16">
        <v>0</v>
      </c>
      <c r="I2436" s="16">
        <v>0</v>
      </c>
      <c r="J2436" s="3" t="s">
        <v>5011</v>
      </c>
      <c r="K2436" s="16">
        <v>0</v>
      </c>
      <c r="L2436" s="16">
        <v>0</v>
      </c>
      <c r="M2436" s="16">
        <v>0</v>
      </c>
    </row>
    <row r="2437" spans="1:13" x14ac:dyDescent="0.25">
      <c r="A2437" s="2">
        <f t="shared" si="75"/>
        <v>2432</v>
      </c>
      <c r="B2437" s="2">
        <v>259333</v>
      </c>
      <c r="C2437" s="2" t="s">
        <v>4943</v>
      </c>
      <c r="D2437" s="14" t="s">
        <v>2426</v>
      </c>
      <c r="E2437" s="14">
        <v>0.44931089999999996</v>
      </c>
      <c r="F2437" s="14">
        <v>0</v>
      </c>
      <c r="G2437" s="14">
        <v>0.44931089999999996</v>
      </c>
      <c r="H2437" s="16">
        <v>69.081273499999995</v>
      </c>
      <c r="I2437" s="16">
        <v>54.115233400000001</v>
      </c>
      <c r="J2437" s="3" t="s">
        <v>5011</v>
      </c>
      <c r="K2437" s="16">
        <v>695.8910115555002</v>
      </c>
      <c r="L2437" s="16">
        <v>98.210216199999991</v>
      </c>
      <c r="M2437" s="16">
        <f t="shared" si="74"/>
        <v>1.4216619240523989</v>
      </c>
    </row>
    <row r="2438" spans="1:13" x14ac:dyDescent="0.25">
      <c r="A2438" s="2">
        <f t="shared" si="75"/>
        <v>2433</v>
      </c>
      <c r="B2438" s="2">
        <v>259776</v>
      </c>
      <c r="C2438" s="2" t="s">
        <v>4944</v>
      </c>
      <c r="D2438" s="14" t="s">
        <v>2427</v>
      </c>
      <c r="E2438" s="14">
        <v>5.0540600000000005E-2</v>
      </c>
      <c r="F2438" s="14">
        <v>0</v>
      </c>
      <c r="G2438" s="14">
        <v>5.0540600000000005E-2</v>
      </c>
      <c r="H2438" s="16">
        <v>7.6465991000000004</v>
      </c>
      <c r="I2438" s="16">
        <v>6.1500420000000009</v>
      </c>
      <c r="J2438" s="3" t="s">
        <v>5011</v>
      </c>
      <c r="K2438" s="16">
        <v>64.232756929599987</v>
      </c>
      <c r="L2438" s="16">
        <v>10.9080502</v>
      </c>
      <c r="M2438" s="16">
        <f t="shared" si="74"/>
        <v>1.4265230931225359</v>
      </c>
    </row>
    <row r="2439" spans="1:13" x14ac:dyDescent="0.25">
      <c r="A2439" s="2">
        <f t="shared" si="75"/>
        <v>2434</v>
      </c>
      <c r="B2439" s="2">
        <v>260160</v>
      </c>
      <c r="C2439" s="2" t="s">
        <v>4945</v>
      </c>
      <c r="D2439" s="14" t="s">
        <v>2428</v>
      </c>
      <c r="E2439" s="14">
        <v>2.4050000000000002E-4</v>
      </c>
      <c r="F2439" s="14">
        <v>0</v>
      </c>
      <c r="G2439" s="14">
        <v>2.4050000000000002E-4</v>
      </c>
      <c r="H2439" s="16">
        <v>0.99995000000000001</v>
      </c>
      <c r="I2439" s="16">
        <v>-2.5985859000000002</v>
      </c>
      <c r="J2439" s="3" t="s">
        <v>5011</v>
      </c>
      <c r="K2439" s="16">
        <v>29.228195809100001</v>
      </c>
      <c r="L2439" s="16">
        <v>11.6169505</v>
      </c>
      <c r="M2439" s="16">
        <f t="shared" ref="M2439:M2502" si="76">L2439/H2439</f>
        <v>11.617531376568827</v>
      </c>
    </row>
    <row r="2440" spans="1:13" x14ac:dyDescent="0.25">
      <c r="A2440" s="2">
        <f t="shared" ref="A2440:A2503" si="77">A2439+1</f>
        <v>2435</v>
      </c>
      <c r="B2440" s="2">
        <v>260198</v>
      </c>
      <c r="C2440" s="2" t="s">
        <v>4946</v>
      </c>
      <c r="D2440" s="14" t="s">
        <v>2429</v>
      </c>
      <c r="E2440" s="14">
        <v>0</v>
      </c>
      <c r="F2440" s="14">
        <v>0</v>
      </c>
      <c r="G2440" s="14">
        <v>0</v>
      </c>
      <c r="H2440" s="16">
        <v>0</v>
      </c>
      <c r="I2440" s="16">
        <v>0</v>
      </c>
      <c r="J2440" s="3" t="s">
        <v>5011</v>
      </c>
      <c r="K2440" s="16">
        <v>0</v>
      </c>
      <c r="L2440" s="16">
        <v>0</v>
      </c>
      <c r="M2440" s="16">
        <v>0</v>
      </c>
    </row>
    <row r="2441" spans="1:13" x14ac:dyDescent="0.25">
      <c r="A2441" s="2">
        <f t="shared" si="77"/>
        <v>2436</v>
      </c>
      <c r="B2441" s="2">
        <v>260483</v>
      </c>
      <c r="C2441" s="2" t="s">
        <v>4947</v>
      </c>
      <c r="D2441" s="14" t="s">
        <v>2430</v>
      </c>
      <c r="E2441" s="14">
        <v>8.4031700000000001E-2</v>
      </c>
      <c r="F2441" s="14">
        <v>0</v>
      </c>
      <c r="G2441" s="14">
        <v>8.4031700000000001E-2</v>
      </c>
      <c r="H2441" s="16">
        <v>29.213539399999998</v>
      </c>
      <c r="I2441" s="16">
        <v>26.8135394</v>
      </c>
      <c r="J2441" s="3" t="s">
        <v>5011</v>
      </c>
      <c r="K2441" s="16">
        <v>229.37939371689998</v>
      </c>
      <c r="L2441" s="16">
        <v>35.329473800000002</v>
      </c>
      <c r="M2441" s="16">
        <f t="shared" si="76"/>
        <v>1.2093527359440741</v>
      </c>
    </row>
    <row r="2442" spans="1:13" x14ac:dyDescent="0.25">
      <c r="A2442" s="2">
        <f t="shared" si="77"/>
        <v>2437</v>
      </c>
      <c r="B2442" s="2">
        <v>260564</v>
      </c>
      <c r="C2442" s="2" t="s">
        <v>4948</v>
      </c>
      <c r="D2442" s="14" t="s">
        <v>2431</v>
      </c>
      <c r="E2442" s="14">
        <v>0</v>
      </c>
      <c r="F2442" s="14">
        <v>0</v>
      </c>
      <c r="G2442" s="14">
        <v>0</v>
      </c>
      <c r="H2442" s="16">
        <v>0</v>
      </c>
      <c r="I2442" s="16">
        <v>0</v>
      </c>
      <c r="J2442" s="3" t="s">
        <v>5011</v>
      </c>
      <c r="K2442" s="16">
        <v>0</v>
      </c>
      <c r="L2442" s="16">
        <v>0</v>
      </c>
      <c r="M2442" s="16">
        <v>0</v>
      </c>
    </row>
    <row r="2443" spans="1:13" x14ac:dyDescent="0.25">
      <c r="A2443" s="2">
        <f t="shared" si="77"/>
        <v>2438</v>
      </c>
      <c r="B2443" s="2">
        <v>260681</v>
      </c>
      <c r="C2443" s="2" t="s">
        <v>4949</v>
      </c>
      <c r="D2443" s="14" t="s">
        <v>2432</v>
      </c>
      <c r="E2443" s="14">
        <v>11.892962900000001</v>
      </c>
      <c r="F2443" s="14">
        <v>0</v>
      </c>
      <c r="G2443" s="14">
        <v>11.892962900000001</v>
      </c>
      <c r="H2443" s="16">
        <v>1329.472207</v>
      </c>
      <c r="I2443" s="16">
        <v>466.92533579999997</v>
      </c>
      <c r="J2443" s="3" t="s">
        <v>5011</v>
      </c>
      <c r="K2443" s="16">
        <v>13300.405372373294</v>
      </c>
      <c r="L2443" s="16">
        <v>2506.3984209</v>
      </c>
      <c r="M2443" s="16">
        <f t="shared" si="76"/>
        <v>1.8852582308251291</v>
      </c>
    </row>
    <row r="2444" spans="1:13" x14ac:dyDescent="0.25">
      <c r="A2444" s="2">
        <f t="shared" si="77"/>
        <v>2439</v>
      </c>
      <c r="B2444" s="2">
        <v>260999</v>
      </c>
      <c r="C2444" s="2" t="s">
        <v>4950</v>
      </c>
      <c r="D2444" s="14" t="s">
        <v>2433</v>
      </c>
      <c r="E2444" s="14">
        <v>9.8508139999999997</v>
      </c>
      <c r="F2444" s="14">
        <v>0</v>
      </c>
      <c r="G2444" s="14">
        <v>9.8508139999999997</v>
      </c>
      <c r="H2444" s="16">
        <v>920.33310940000001</v>
      </c>
      <c r="I2444" s="16">
        <v>674.69864900000005</v>
      </c>
      <c r="J2444" s="3" t="s">
        <v>5011</v>
      </c>
      <c r="K2444" s="16">
        <v>8883.6522674892021</v>
      </c>
      <c r="L2444" s="16">
        <v>1272.6824145</v>
      </c>
      <c r="M2444" s="16">
        <f t="shared" si="76"/>
        <v>1.3828497546173362</v>
      </c>
    </row>
    <row r="2445" spans="1:13" x14ac:dyDescent="0.25">
      <c r="A2445" s="2">
        <f t="shared" si="77"/>
        <v>2440</v>
      </c>
      <c r="B2445" s="2">
        <v>262591</v>
      </c>
      <c r="C2445" s="2" t="s">
        <v>4951</v>
      </c>
      <c r="D2445" s="14" t="s">
        <v>2434</v>
      </c>
      <c r="E2445" s="14">
        <v>0.73040040000000006</v>
      </c>
      <c r="F2445" s="14">
        <v>0</v>
      </c>
      <c r="G2445" s="14">
        <v>0.73040040000000006</v>
      </c>
      <c r="H2445" s="16">
        <v>73.411442999999991</v>
      </c>
      <c r="I2445" s="16">
        <v>71.893799299999998</v>
      </c>
      <c r="J2445" s="3" t="s">
        <v>5011</v>
      </c>
      <c r="K2445" s="16">
        <v>795.86222458830002</v>
      </c>
      <c r="L2445" s="16">
        <v>132.59945980000001</v>
      </c>
      <c r="M2445" s="16">
        <f t="shared" si="76"/>
        <v>1.8062505568784422</v>
      </c>
    </row>
    <row r="2446" spans="1:13" x14ac:dyDescent="0.25">
      <c r="A2446" s="2">
        <f t="shared" si="77"/>
        <v>2441</v>
      </c>
      <c r="B2446" s="2">
        <v>262839</v>
      </c>
      <c r="C2446" s="2" t="s">
        <v>4952</v>
      </c>
      <c r="D2446" s="14" t="s">
        <v>2435</v>
      </c>
      <c r="E2446" s="14">
        <v>4.4120000000000001E-3</v>
      </c>
      <c r="F2446" s="14">
        <v>0</v>
      </c>
      <c r="G2446" s="14">
        <v>4.4120000000000001E-3</v>
      </c>
      <c r="H2446" s="16">
        <v>12.3093845</v>
      </c>
      <c r="I2446" s="16">
        <v>12.3093845</v>
      </c>
      <c r="J2446" s="3" t="s">
        <v>5011</v>
      </c>
      <c r="K2446" s="16">
        <v>18.086357253000003</v>
      </c>
      <c r="L2446" s="16">
        <v>12.353123200000001</v>
      </c>
      <c r="M2446" s="16">
        <f t="shared" si="76"/>
        <v>1.0035532808321976</v>
      </c>
    </row>
    <row r="2447" spans="1:13" x14ac:dyDescent="0.25">
      <c r="A2447" s="2">
        <f t="shared" si="77"/>
        <v>2442</v>
      </c>
      <c r="B2447" s="2">
        <v>262857</v>
      </c>
      <c r="C2447" s="2" t="s">
        <v>4953</v>
      </c>
      <c r="D2447" s="14" t="s">
        <v>2436</v>
      </c>
      <c r="E2447" s="14">
        <v>8.8000000000000011E-5</v>
      </c>
      <c r="F2447" s="14">
        <v>0</v>
      </c>
      <c r="G2447" s="14">
        <v>8.8000000000000011E-5</v>
      </c>
      <c r="H2447" s="16">
        <v>1.0499475</v>
      </c>
      <c r="I2447" s="16">
        <v>1.0499475</v>
      </c>
      <c r="J2447" s="3" t="s">
        <v>5011</v>
      </c>
      <c r="K2447" s="16">
        <v>0.71910247839999997</v>
      </c>
      <c r="L2447" s="16">
        <v>1.0523555</v>
      </c>
      <c r="M2447" s="16">
        <f t="shared" si="76"/>
        <v>1.0022934480057335</v>
      </c>
    </row>
    <row r="2448" spans="1:13" x14ac:dyDescent="0.25">
      <c r="A2448" s="2">
        <f t="shared" si="77"/>
        <v>2443</v>
      </c>
      <c r="B2448" s="2">
        <v>262950</v>
      </c>
      <c r="C2448" s="2" t="s">
        <v>4954</v>
      </c>
      <c r="D2448" s="14" t="s">
        <v>2437</v>
      </c>
      <c r="E2448" s="14">
        <v>3.6770000000000005E-4</v>
      </c>
      <c r="F2448" s="14">
        <v>0</v>
      </c>
      <c r="G2448" s="14">
        <v>3.6770000000000005E-4</v>
      </c>
      <c r="H2448" s="16">
        <v>1.2699365</v>
      </c>
      <c r="I2448" s="16">
        <v>1.2699365</v>
      </c>
      <c r="J2448" s="3" t="s">
        <v>5011</v>
      </c>
      <c r="K2448" s="16">
        <v>1.6767762079999999</v>
      </c>
      <c r="L2448" s="16">
        <v>1.3066693</v>
      </c>
      <c r="M2448" s="16">
        <f t="shared" si="76"/>
        <v>1.0289249108124698</v>
      </c>
    </row>
    <row r="2449" spans="1:13" x14ac:dyDescent="0.25">
      <c r="A2449" s="2">
        <f t="shared" si="77"/>
        <v>2444</v>
      </c>
      <c r="B2449" s="2">
        <v>263263</v>
      </c>
      <c r="C2449" s="2" t="s">
        <v>4955</v>
      </c>
      <c r="D2449" s="14" t="s">
        <v>2438</v>
      </c>
      <c r="E2449" s="14">
        <v>3.0152100000000001E-2</v>
      </c>
      <c r="F2449" s="14">
        <v>0</v>
      </c>
      <c r="G2449" s="14">
        <v>3.0152100000000001E-2</v>
      </c>
      <c r="H2449" s="16">
        <v>29.025022700000001</v>
      </c>
      <c r="I2449" s="16">
        <v>26.793446299999999</v>
      </c>
      <c r="J2449" s="3" t="s">
        <v>5011</v>
      </c>
      <c r="K2449" s="16">
        <v>44.734343196899999</v>
      </c>
      <c r="L2449" s="16">
        <v>29.093202900000001</v>
      </c>
      <c r="M2449" s="16">
        <f t="shared" si="76"/>
        <v>1.0023490145280747</v>
      </c>
    </row>
    <row r="2450" spans="1:13" x14ac:dyDescent="0.25">
      <c r="A2450" s="2">
        <f t="shared" si="77"/>
        <v>2445</v>
      </c>
      <c r="B2450" s="2">
        <v>263408</v>
      </c>
      <c r="C2450" s="2" t="s">
        <v>4956</v>
      </c>
      <c r="D2450" s="14" t="s">
        <v>2439</v>
      </c>
      <c r="E2450" s="14">
        <v>7.231230000000001E-2</v>
      </c>
      <c r="F2450" s="14">
        <v>0</v>
      </c>
      <c r="G2450" s="14">
        <v>7.231230000000001E-2</v>
      </c>
      <c r="H2450" s="16">
        <v>3.2448378999999998</v>
      </c>
      <c r="I2450" s="16">
        <v>3.2448378999999998</v>
      </c>
      <c r="J2450" s="3" t="s">
        <v>5011</v>
      </c>
      <c r="K2450" s="16">
        <v>60.473264638600007</v>
      </c>
      <c r="L2450" s="16">
        <v>8.9669945000000002</v>
      </c>
      <c r="M2450" s="16">
        <f t="shared" si="76"/>
        <v>2.7634645477975961</v>
      </c>
    </row>
    <row r="2451" spans="1:13" x14ac:dyDescent="0.25">
      <c r="A2451" s="2">
        <f t="shared" si="77"/>
        <v>2446</v>
      </c>
      <c r="B2451" s="2">
        <v>263473</v>
      </c>
      <c r="C2451" s="2" t="s">
        <v>4957</v>
      </c>
      <c r="D2451" s="14" t="s">
        <v>2440</v>
      </c>
      <c r="E2451" s="14">
        <v>0</v>
      </c>
      <c r="F2451" s="14">
        <v>0</v>
      </c>
      <c r="G2451" s="14">
        <v>0</v>
      </c>
      <c r="H2451" s="16">
        <v>0</v>
      </c>
      <c r="I2451" s="16">
        <v>0</v>
      </c>
      <c r="J2451" s="3" t="s">
        <v>5011</v>
      </c>
      <c r="K2451" s="16">
        <v>0</v>
      </c>
      <c r="L2451" s="16">
        <v>0</v>
      </c>
      <c r="M2451" s="16">
        <v>0</v>
      </c>
    </row>
    <row r="2452" spans="1:13" x14ac:dyDescent="0.25">
      <c r="A2452" s="2">
        <f t="shared" si="77"/>
        <v>2447</v>
      </c>
      <c r="B2452" s="2">
        <v>263659</v>
      </c>
      <c r="C2452" s="2" t="s">
        <v>4958</v>
      </c>
      <c r="D2452" s="14" t="s">
        <v>2441</v>
      </c>
      <c r="E2452" s="14">
        <v>2.0630172999999998</v>
      </c>
      <c r="F2452" s="14">
        <v>0</v>
      </c>
      <c r="G2452" s="14">
        <v>2.0630172999999998</v>
      </c>
      <c r="H2452" s="16">
        <v>344.44709109999997</v>
      </c>
      <c r="I2452" s="16">
        <v>273.2386224</v>
      </c>
      <c r="J2452" s="3" t="s">
        <v>5011</v>
      </c>
      <c r="K2452" s="16">
        <v>2419.9861655638997</v>
      </c>
      <c r="L2452" s="16">
        <v>397.39409729999994</v>
      </c>
      <c r="M2452" s="16">
        <f t="shared" si="76"/>
        <v>1.1537159336457523</v>
      </c>
    </row>
    <row r="2453" spans="1:13" x14ac:dyDescent="0.25">
      <c r="A2453" s="2">
        <f t="shared" si="77"/>
        <v>2448</v>
      </c>
      <c r="B2453" s="2">
        <v>263998</v>
      </c>
      <c r="C2453" s="2" t="s">
        <v>4959</v>
      </c>
      <c r="D2453" s="14" t="s">
        <v>2442</v>
      </c>
      <c r="E2453" s="14">
        <v>3.2070951000000001</v>
      </c>
      <c r="F2453" s="14">
        <v>0</v>
      </c>
      <c r="G2453" s="14">
        <v>3.2070951000000001</v>
      </c>
      <c r="H2453" s="16">
        <v>326.56734190000003</v>
      </c>
      <c r="I2453" s="16">
        <v>235.6767605</v>
      </c>
      <c r="J2453" s="3" t="s">
        <v>5011</v>
      </c>
      <c r="K2453" s="16">
        <v>2608.6035211705994</v>
      </c>
      <c r="L2453" s="16">
        <v>342.33508939999996</v>
      </c>
      <c r="M2453" s="16">
        <f t="shared" si="76"/>
        <v>1.0482832955930672</v>
      </c>
    </row>
    <row r="2454" spans="1:13" x14ac:dyDescent="0.25">
      <c r="A2454" s="2">
        <f t="shared" si="77"/>
        <v>2449</v>
      </c>
      <c r="B2454" s="2">
        <v>264480</v>
      </c>
      <c r="C2454" s="2" t="s">
        <v>4960</v>
      </c>
      <c r="D2454" s="14" t="s">
        <v>2443</v>
      </c>
      <c r="E2454" s="14">
        <v>0.45171019999999995</v>
      </c>
      <c r="F2454" s="14">
        <v>0</v>
      </c>
      <c r="G2454" s="14">
        <v>0.45171019999999995</v>
      </c>
      <c r="H2454" s="16">
        <v>83.049492999999998</v>
      </c>
      <c r="I2454" s="16">
        <v>70.511023499999993</v>
      </c>
      <c r="J2454" s="3" t="s">
        <v>5011</v>
      </c>
      <c r="K2454" s="16">
        <v>671.91967223990014</v>
      </c>
      <c r="L2454" s="16">
        <v>113.18836349999999</v>
      </c>
      <c r="M2454" s="16">
        <f t="shared" si="76"/>
        <v>1.362902522475363</v>
      </c>
    </row>
    <row r="2455" spans="1:13" x14ac:dyDescent="0.25">
      <c r="A2455" s="2">
        <f t="shared" si="77"/>
        <v>2450</v>
      </c>
      <c r="B2455" s="2">
        <v>264603</v>
      </c>
      <c r="C2455" s="2" t="s">
        <v>4961</v>
      </c>
      <c r="D2455" s="14" t="s">
        <v>2444</v>
      </c>
      <c r="E2455" s="14">
        <v>6.7019999999999992E-4</v>
      </c>
      <c r="F2455" s="14">
        <v>0</v>
      </c>
      <c r="G2455" s="14">
        <v>6.7019999999999992E-4</v>
      </c>
      <c r="H2455" s="16">
        <v>1.5796010999999999</v>
      </c>
      <c r="I2455" s="16">
        <v>1.4144405</v>
      </c>
      <c r="J2455" s="3" t="s">
        <v>5011</v>
      </c>
      <c r="K2455" s="16">
        <v>2.6066152918999999</v>
      </c>
      <c r="L2455" s="16">
        <v>1.4322402999999999</v>
      </c>
      <c r="M2455" s="16">
        <f t="shared" si="76"/>
        <v>0.90671011814311853</v>
      </c>
    </row>
    <row r="2456" spans="1:13" x14ac:dyDescent="0.25">
      <c r="A2456" s="2">
        <f t="shared" si="77"/>
        <v>2451</v>
      </c>
      <c r="B2456" s="2">
        <v>264660</v>
      </c>
      <c r="C2456" s="2" t="s">
        <v>4962</v>
      </c>
      <c r="D2456" s="14" t="s">
        <v>2445</v>
      </c>
      <c r="E2456" s="14">
        <v>1.6823672000000001</v>
      </c>
      <c r="F2456" s="14">
        <v>0</v>
      </c>
      <c r="G2456" s="14">
        <v>1.6823672000000001</v>
      </c>
      <c r="H2456" s="16">
        <v>144.94534949999999</v>
      </c>
      <c r="I2456" s="16">
        <v>92.474869100000006</v>
      </c>
      <c r="J2456" s="3" t="s">
        <v>5011</v>
      </c>
      <c r="K2456" s="16">
        <v>1985.1602162789009</v>
      </c>
      <c r="L2456" s="16">
        <v>630.90438700000004</v>
      </c>
      <c r="M2456" s="16">
        <f t="shared" si="76"/>
        <v>4.3527052725482589</v>
      </c>
    </row>
    <row r="2457" spans="1:13" x14ac:dyDescent="0.25">
      <c r="A2457" s="2">
        <f t="shared" si="77"/>
        <v>2452</v>
      </c>
      <c r="B2457" s="2">
        <v>265036</v>
      </c>
      <c r="C2457" s="2" t="s">
        <v>4963</v>
      </c>
      <c r="D2457" s="14" t="s">
        <v>2446</v>
      </c>
      <c r="E2457" s="14">
        <v>0.97056359999999986</v>
      </c>
      <c r="F2457" s="14">
        <v>0</v>
      </c>
      <c r="G2457" s="14">
        <v>0.97056359999999986</v>
      </c>
      <c r="H2457" s="16">
        <v>42.799247100000002</v>
      </c>
      <c r="I2457" s="16">
        <v>40.835522399999995</v>
      </c>
      <c r="J2457" s="3" t="s">
        <v>5011</v>
      </c>
      <c r="K2457" s="16">
        <v>1052.6379529237997</v>
      </c>
      <c r="L2457" s="16">
        <v>305.37528850000001</v>
      </c>
      <c r="M2457" s="16">
        <f t="shared" si="76"/>
        <v>7.1350621609416116</v>
      </c>
    </row>
    <row r="2458" spans="1:13" x14ac:dyDescent="0.25">
      <c r="A2458" s="2">
        <f t="shared" si="77"/>
        <v>2453</v>
      </c>
      <c r="B2458" s="2">
        <v>265132</v>
      </c>
      <c r="C2458" s="2" t="s">
        <v>4964</v>
      </c>
      <c r="D2458" s="14" t="s">
        <v>2447</v>
      </c>
      <c r="E2458" s="14">
        <v>33.087626100000001</v>
      </c>
      <c r="F2458" s="14">
        <v>0</v>
      </c>
      <c r="G2458" s="14">
        <v>33.087626100000001</v>
      </c>
      <c r="H2458" s="16">
        <v>2391.9554466999998</v>
      </c>
      <c r="I2458" s="16">
        <v>1296.7299626999998</v>
      </c>
      <c r="J2458" s="3" t="s">
        <v>5011</v>
      </c>
      <c r="K2458" s="16">
        <v>27933.455263237989</v>
      </c>
      <c r="L2458" s="16">
        <v>3768.0597352999998</v>
      </c>
      <c r="M2458" s="16">
        <f t="shared" si="76"/>
        <v>1.5753051506450537</v>
      </c>
    </row>
    <row r="2459" spans="1:13" x14ac:dyDescent="0.25">
      <c r="A2459" s="2">
        <f t="shared" si="77"/>
        <v>2454</v>
      </c>
      <c r="B2459" s="2">
        <v>265702</v>
      </c>
      <c r="C2459" s="2" t="s">
        <v>4965</v>
      </c>
      <c r="D2459" s="14" t="s">
        <v>2448</v>
      </c>
      <c r="E2459" s="14">
        <v>28.086077400000001</v>
      </c>
      <c r="F2459" s="14">
        <v>0</v>
      </c>
      <c r="G2459" s="14">
        <v>28.086077400000001</v>
      </c>
      <c r="H2459" s="16">
        <v>5441.1628653999996</v>
      </c>
      <c r="I2459" s="16">
        <v>3957.8486908999998</v>
      </c>
      <c r="J2459" s="3" t="s">
        <v>5011</v>
      </c>
      <c r="K2459" s="16">
        <v>32316.594890313405</v>
      </c>
      <c r="L2459" s="16">
        <v>5125.9536637000001</v>
      </c>
      <c r="M2459" s="16">
        <f t="shared" si="76"/>
        <v>0.9420695153779729</v>
      </c>
    </row>
    <row r="2460" spans="1:13" x14ac:dyDescent="0.25">
      <c r="A2460" s="2">
        <f t="shared" si="77"/>
        <v>2455</v>
      </c>
      <c r="B2460" s="2">
        <v>266051</v>
      </c>
      <c r="C2460" s="2" t="s">
        <v>4966</v>
      </c>
      <c r="D2460" s="14" t="s">
        <v>2449</v>
      </c>
      <c r="E2460" s="14">
        <v>0</v>
      </c>
      <c r="F2460" s="14">
        <v>0</v>
      </c>
      <c r="G2460" s="14">
        <v>0</v>
      </c>
      <c r="H2460" s="16">
        <v>0</v>
      </c>
      <c r="I2460" s="16">
        <v>0</v>
      </c>
      <c r="J2460" s="3" t="s">
        <v>5011</v>
      </c>
      <c r="K2460" s="16">
        <v>0</v>
      </c>
      <c r="L2460" s="16">
        <v>0</v>
      </c>
      <c r="M2460" s="16">
        <v>0</v>
      </c>
    </row>
    <row r="2461" spans="1:13" x14ac:dyDescent="0.25">
      <c r="A2461" s="2">
        <f t="shared" si="77"/>
        <v>2456</v>
      </c>
      <c r="B2461" s="2">
        <v>266556</v>
      </c>
      <c r="C2461" s="2" t="s">
        <v>4967</v>
      </c>
      <c r="D2461" s="14" t="s">
        <v>2450</v>
      </c>
      <c r="E2461" s="14">
        <v>7.3208999999999996E-2</v>
      </c>
      <c r="F2461" s="14">
        <v>0</v>
      </c>
      <c r="G2461" s="14">
        <v>7.3208999999999996E-2</v>
      </c>
      <c r="H2461" s="16">
        <v>14.039298</v>
      </c>
      <c r="I2461" s="16">
        <v>13.439499399999999</v>
      </c>
      <c r="J2461" s="3" t="s">
        <v>5011</v>
      </c>
      <c r="K2461" s="16">
        <v>111.9215727226</v>
      </c>
      <c r="L2461" s="16">
        <v>24.1406904</v>
      </c>
      <c r="M2461" s="16">
        <f t="shared" si="76"/>
        <v>1.7195083685808221</v>
      </c>
    </row>
    <row r="2462" spans="1:13" x14ac:dyDescent="0.25">
      <c r="A2462" s="2">
        <f t="shared" si="77"/>
        <v>2457</v>
      </c>
      <c r="B2462" s="2">
        <v>266892</v>
      </c>
      <c r="C2462" s="2" t="s">
        <v>4968</v>
      </c>
      <c r="D2462" s="14" t="s">
        <v>2451</v>
      </c>
      <c r="E2462" s="14">
        <v>0</v>
      </c>
      <c r="F2462" s="14">
        <v>0</v>
      </c>
      <c r="G2462" s="14">
        <v>0</v>
      </c>
      <c r="H2462" s="16">
        <v>0</v>
      </c>
      <c r="I2462" s="16">
        <v>0</v>
      </c>
      <c r="J2462" s="3" t="s">
        <v>5011</v>
      </c>
      <c r="K2462" s="16">
        <v>0</v>
      </c>
      <c r="L2462" s="16">
        <v>0</v>
      </c>
      <c r="M2462" s="16">
        <v>0</v>
      </c>
    </row>
    <row r="2463" spans="1:13" x14ac:dyDescent="0.25">
      <c r="A2463" s="2">
        <f t="shared" si="77"/>
        <v>2458</v>
      </c>
      <c r="B2463" s="2">
        <v>267230</v>
      </c>
      <c r="C2463" s="2" t="s">
        <v>4969</v>
      </c>
      <c r="D2463" s="14" t="s">
        <v>2452</v>
      </c>
      <c r="E2463" s="14">
        <v>0</v>
      </c>
      <c r="F2463" s="14">
        <v>0</v>
      </c>
      <c r="G2463" s="14">
        <v>0</v>
      </c>
      <c r="H2463" s="16">
        <v>0</v>
      </c>
      <c r="I2463" s="16">
        <v>0</v>
      </c>
      <c r="J2463" s="3" t="s">
        <v>5011</v>
      </c>
      <c r="K2463" s="16">
        <v>0</v>
      </c>
      <c r="L2463" s="16">
        <v>0</v>
      </c>
      <c r="M2463" s="16">
        <v>0</v>
      </c>
    </row>
    <row r="2464" spans="1:13" x14ac:dyDescent="0.25">
      <c r="A2464" s="2">
        <f t="shared" si="77"/>
        <v>2459</v>
      </c>
      <c r="B2464" s="2">
        <v>268616</v>
      </c>
      <c r="C2464" s="2" t="s">
        <v>4970</v>
      </c>
      <c r="D2464" s="14" t="s">
        <v>2453</v>
      </c>
      <c r="E2464" s="14">
        <v>7.2242000000000009E-3</v>
      </c>
      <c r="F2464" s="14">
        <v>0</v>
      </c>
      <c r="G2464" s="14">
        <v>7.2242000000000009E-3</v>
      </c>
      <c r="H2464" s="16">
        <v>101.6204034</v>
      </c>
      <c r="I2464" s="16">
        <v>90.680659300000002</v>
      </c>
      <c r="J2464" s="3" t="s">
        <v>5011</v>
      </c>
      <c r="K2464" s="16">
        <v>117.12258146629999</v>
      </c>
      <c r="L2464" s="16">
        <v>91.794764399999991</v>
      </c>
      <c r="M2464" s="16">
        <f t="shared" si="76"/>
        <v>0.90331037201924735</v>
      </c>
    </row>
    <row r="2465" spans="1:13" x14ac:dyDescent="0.25">
      <c r="A2465" s="2">
        <f t="shared" si="77"/>
        <v>2460</v>
      </c>
      <c r="B2465" s="2">
        <v>268692</v>
      </c>
      <c r="C2465" s="2" t="s">
        <v>4971</v>
      </c>
      <c r="D2465" s="14" t="s">
        <v>2454</v>
      </c>
      <c r="E2465" s="14">
        <v>0</v>
      </c>
      <c r="F2465" s="14">
        <v>0</v>
      </c>
      <c r="G2465" s="14">
        <v>0</v>
      </c>
      <c r="H2465" s="16">
        <v>0</v>
      </c>
      <c r="I2465" s="16">
        <v>0</v>
      </c>
      <c r="J2465" s="3" t="s">
        <v>5011</v>
      </c>
      <c r="K2465" s="16">
        <v>0</v>
      </c>
      <c r="L2465" s="16">
        <v>0</v>
      </c>
      <c r="M2465" s="16">
        <v>0</v>
      </c>
    </row>
    <row r="2466" spans="1:13" x14ac:dyDescent="0.25">
      <c r="A2466" s="2">
        <f t="shared" si="77"/>
        <v>2461</v>
      </c>
      <c r="B2466" s="2">
        <v>268843</v>
      </c>
      <c r="C2466" s="2" t="s">
        <v>4972</v>
      </c>
      <c r="D2466" s="14" t="s">
        <v>2455</v>
      </c>
      <c r="E2466" s="14">
        <v>1.4465128000000003</v>
      </c>
      <c r="F2466" s="14">
        <v>0</v>
      </c>
      <c r="G2466" s="14">
        <v>1.4465128000000003</v>
      </c>
      <c r="H2466" s="16">
        <v>195.44023059999998</v>
      </c>
      <c r="I2466" s="16">
        <v>180.9765879</v>
      </c>
      <c r="J2466" s="3" t="s">
        <v>5011</v>
      </c>
      <c r="K2466" s="16">
        <v>1546.9953258270004</v>
      </c>
      <c r="L2466" s="16">
        <v>356.7573107</v>
      </c>
      <c r="M2466" s="16">
        <f t="shared" si="76"/>
        <v>1.8254036520769437</v>
      </c>
    </row>
    <row r="2467" spans="1:13" x14ac:dyDescent="0.25">
      <c r="A2467" s="2">
        <f t="shared" si="77"/>
        <v>2462</v>
      </c>
      <c r="B2467" s="2">
        <v>269340</v>
      </c>
      <c r="C2467" s="2" t="s">
        <v>4973</v>
      </c>
      <c r="D2467" s="14" t="s">
        <v>2456</v>
      </c>
      <c r="E2467" s="14">
        <v>0</v>
      </c>
      <c r="F2467" s="14">
        <v>0</v>
      </c>
      <c r="G2467" s="14">
        <v>0</v>
      </c>
      <c r="H2467" s="16">
        <v>0</v>
      </c>
      <c r="I2467" s="16">
        <v>0</v>
      </c>
      <c r="J2467" s="3" t="s">
        <v>5011</v>
      </c>
      <c r="K2467" s="16">
        <v>0</v>
      </c>
      <c r="L2467" s="16">
        <v>0</v>
      </c>
      <c r="M2467" s="16">
        <v>0</v>
      </c>
    </row>
    <row r="2468" spans="1:13" x14ac:dyDescent="0.25">
      <c r="A2468" s="2">
        <f t="shared" si="77"/>
        <v>2463</v>
      </c>
      <c r="B2468" s="2">
        <v>269441</v>
      </c>
      <c r="C2468" s="2" t="s">
        <v>4974</v>
      </c>
      <c r="D2468" s="14" t="s">
        <v>2457</v>
      </c>
      <c r="E2468" s="14">
        <v>0</v>
      </c>
      <c r="F2468" s="14">
        <v>0</v>
      </c>
      <c r="G2468" s="14">
        <v>0</v>
      </c>
      <c r="H2468" s="16">
        <v>0</v>
      </c>
      <c r="I2468" s="16">
        <v>0</v>
      </c>
      <c r="J2468" s="3" t="s">
        <v>5011</v>
      </c>
      <c r="K2468" s="16">
        <v>0</v>
      </c>
      <c r="L2468" s="16">
        <v>0</v>
      </c>
      <c r="M2468" s="16">
        <v>0</v>
      </c>
    </row>
    <row r="2469" spans="1:13" x14ac:dyDescent="0.25">
      <c r="A2469" s="2">
        <f t="shared" si="77"/>
        <v>2464</v>
      </c>
      <c r="B2469" s="2">
        <v>269631</v>
      </c>
      <c r="C2469" s="2" t="s">
        <v>4975</v>
      </c>
      <c r="D2469" s="14" t="s">
        <v>2458</v>
      </c>
      <c r="E2469" s="14">
        <v>7.2803194000000007</v>
      </c>
      <c r="F2469" s="14">
        <v>0</v>
      </c>
      <c r="G2469" s="14">
        <v>7.2803194000000007</v>
      </c>
      <c r="H2469" s="16">
        <v>660.98988880000002</v>
      </c>
      <c r="I2469" s="16">
        <v>521.67123890000005</v>
      </c>
      <c r="J2469" s="3" t="s">
        <v>5011</v>
      </c>
      <c r="K2469" s="16">
        <v>8408.7940080813987</v>
      </c>
      <c r="L2469" s="16">
        <v>1432.9785706</v>
      </c>
      <c r="M2469" s="16">
        <f t="shared" si="76"/>
        <v>2.1679281254990355</v>
      </c>
    </row>
    <row r="2470" spans="1:13" x14ac:dyDescent="0.25">
      <c r="A2470" s="2">
        <f t="shared" si="77"/>
        <v>2465</v>
      </c>
      <c r="B2470" s="2">
        <v>269993</v>
      </c>
      <c r="C2470" s="2" t="s">
        <v>4976</v>
      </c>
      <c r="D2470" s="14" t="s">
        <v>2459</v>
      </c>
      <c r="E2470" s="14">
        <v>9.8358999999999999E-3</v>
      </c>
      <c r="F2470" s="14">
        <v>0</v>
      </c>
      <c r="G2470" s="14">
        <v>9.8358999999999999E-3</v>
      </c>
      <c r="H2470" s="16">
        <v>2.7198640000000003</v>
      </c>
      <c r="I2470" s="16">
        <v>2.7198640000000003</v>
      </c>
      <c r="J2470" s="3" t="s">
        <v>5011</v>
      </c>
      <c r="K2470" s="16">
        <v>16.3921138742</v>
      </c>
      <c r="L2470" s="16">
        <v>4.4594740000000002</v>
      </c>
      <c r="M2470" s="16">
        <f t="shared" si="76"/>
        <v>1.6395944797239861</v>
      </c>
    </row>
    <row r="2471" spans="1:13" x14ac:dyDescent="0.25">
      <c r="A2471" s="2">
        <f t="shared" si="77"/>
        <v>2466</v>
      </c>
      <c r="B2471" s="2">
        <v>270149</v>
      </c>
      <c r="C2471" s="2" t="s">
        <v>4977</v>
      </c>
      <c r="D2471" s="14" t="s">
        <v>2460</v>
      </c>
      <c r="E2471" s="14">
        <v>0</v>
      </c>
      <c r="F2471" s="14">
        <v>0</v>
      </c>
      <c r="G2471" s="14">
        <v>0</v>
      </c>
      <c r="H2471" s="16">
        <v>0</v>
      </c>
      <c r="I2471" s="16">
        <v>0</v>
      </c>
      <c r="J2471" s="3" t="s">
        <v>5011</v>
      </c>
      <c r="K2471" s="16">
        <v>0</v>
      </c>
      <c r="L2471" s="16">
        <v>0</v>
      </c>
      <c r="M2471" s="16">
        <v>0</v>
      </c>
    </row>
    <row r="2472" spans="1:13" x14ac:dyDescent="0.25">
      <c r="A2472" s="2">
        <f t="shared" si="77"/>
        <v>2467</v>
      </c>
      <c r="B2472" s="2">
        <v>270233</v>
      </c>
      <c r="C2472" s="2" t="s">
        <v>4978</v>
      </c>
      <c r="D2472" s="14" t="s">
        <v>2461</v>
      </c>
      <c r="E2472" s="14">
        <v>4.6475472</v>
      </c>
      <c r="F2472" s="14">
        <v>0</v>
      </c>
      <c r="G2472" s="14">
        <v>4.6475472</v>
      </c>
      <c r="H2472" s="16">
        <v>147.7504035</v>
      </c>
      <c r="I2472" s="16">
        <v>132.8392561</v>
      </c>
      <c r="J2472" s="3" t="s">
        <v>5011</v>
      </c>
      <c r="K2472" s="16">
        <v>3998.6672385179004</v>
      </c>
      <c r="L2472" s="16">
        <v>668.93584439999995</v>
      </c>
      <c r="M2472" s="16">
        <f t="shared" si="76"/>
        <v>4.5274722001013004</v>
      </c>
    </row>
    <row r="2473" spans="1:13" x14ac:dyDescent="0.25">
      <c r="A2473" s="2">
        <f t="shared" si="77"/>
        <v>2468</v>
      </c>
      <c r="B2473" s="2">
        <v>270293</v>
      </c>
      <c r="C2473" s="2" t="s">
        <v>4979</v>
      </c>
      <c r="D2473" s="14" t="s">
        <v>2462</v>
      </c>
      <c r="E2473" s="14">
        <v>7.1595680000000002</v>
      </c>
      <c r="F2473" s="14">
        <v>0</v>
      </c>
      <c r="G2473" s="14">
        <v>7.1595680000000002</v>
      </c>
      <c r="H2473" s="16">
        <v>892.80355930000007</v>
      </c>
      <c r="I2473" s="16">
        <v>677.41084060000003</v>
      </c>
      <c r="J2473" s="3" t="s">
        <v>5011</v>
      </c>
      <c r="K2473" s="16">
        <v>9543.8778326394022</v>
      </c>
      <c r="L2473" s="16">
        <v>2068.5043402000001</v>
      </c>
      <c r="M2473" s="16">
        <f t="shared" si="76"/>
        <v>2.316863904330539</v>
      </c>
    </row>
    <row r="2474" spans="1:13" x14ac:dyDescent="0.25">
      <c r="A2474" s="2">
        <f t="shared" si="77"/>
        <v>2469</v>
      </c>
      <c r="B2474" s="2">
        <v>270620</v>
      </c>
      <c r="C2474" s="2" t="s">
        <v>4980</v>
      </c>
      <c r="D2474" s="14" t="s">
        <v>2463</v>
      </c>
      <c r="E2474" s="14">
        <v>0.12619580000000002</v>
      </c>
      <c r="F2474" s="14">
        <v>0</v>
      </c>
      <c r="G2474" s="14">
        <v>0.12619580000000002</v>
      </c>
      <c r="H2474" s="16">
        <v>11.4494279</v>
      </c>
      <c r="I2474" s="16">
        <v>11.4494279</v>
      </c>
      <c r="J2474" s="3" t="s">
        <v>5011</v>
      </c>
      <c r="K2474" s="16">
        <v>133.70123921410001</v>
      </c>
      <c r="L2474" s="16">
        <v>24.908335299999997</v>
      </c>
      <c r="M2474" s="16">
        <f t="shared" si="76"/>
        <v>2.175509162339893</v>
      </c>
    </row>
    <row r="2475" spans="1:13" x14ac:dyDescent="0.25">
      <c r="A2475" s="2">
        <f t="shared" si="77"/>
        <v>2470</v>
      </c>
      <c r="B2475" s="2">
        <v>270727</v>
      </c>
      <c r="C2475" s="2" t="s">
        <v>4981</v>
      </c>
      <c r="D2475" s="14" t="s">
        <v>2464</v>
      </c>
      <c r="E2475" s="14">
        <v>1.2549E-3</v>
      </c>
      <c r="F2475" s="14">
        <v>0</v>
      </c>
      <c r="G2475" s="14">
        <v>1.2549E-3</v>
      </c>
      <c r="H2475" s="16">
        <v>12.6473473</v>
      </c>
      <c r="I2475" s="16">
        <v>9.2993472999999991</v>
      </c>
      <c r="J2475" s="3" t="s">
        <v>5011</v>
      </c>
      <c r="K2475" s="16">
        <v>24.211908437200005</v>
      </c>
      <c r="L2475" s="16">
        <v>23.169307499999999</v>
      </c>
      <c r="M2475" s="16">
        <f t="shared" si="76"/>
        <v>1.8319499694611849</v>
      </c>
    </row>
    <row r="2476" spans="1:13" x14ac:dyDescent="0.25">
      <c r="A2476" s="2">
        <f t="shared" si="77"/>
        <v>2471</v>
      </c>
      <c r="B2476" s="2">
        <v>270798</v>
      </c>
      <c r="C2476" s="2" t="s">
        <v>4982</v>
      </c>
      <c r="D2476" s="14" t="s">
        <v>2465</v>
      </c>
      <c r="E2476" s="14">
        <v>0.69084420000000002</v>
      </c>
      <c r="F2476" s="14">
        <v>0</v>
      </c>
      <c r="G2476" s="14">
        <v>0.69084420000000002</v>
      </c>
      <c r="H2476" s="16">
        <v>362.31185729999999</v>
      </c>
      <c r="I2476" s="16">
        <v>220.65234229999996</v>
      </c>
      <c r="J2476" s="3" t="s">
        <v>5011</v>
      </c>
      <c r="K2476" s="16">
        <v>1451.3644817373006</v>
      </c>
      <c r="L2476" s="16">
        <v>310.17201710000001</v>
      </c>
      <c r="M2476" s="16">
        <f t="shared" si="76"/>
        <v>0.85609126737238583</v>
      </c>
    </row>
    <row r="2477" spans="1:13" x14ac:dyDescent="0.25">
      <c r="A2477" s="2">
        <f t="shared" si="77"/>
        <v>2472</v>
      </c>
      <c r="B2477" s="2">
        <v>271741</v>
      </c>
      <c r="C2477" s="2" t="s">
        <v>4983</v>
      </c>
      <c r="D2477" s="14" t="s">
        <v>2466</v>
      </c>
      <c r="E2477" s="14">
        <v>0</v>
      </c>
      <c r="F2477" s="14">
        <v>0</v>
      </c>
      <c r="G2477" s="14">
        <v>0</v>
      </c>
      <c r="H2477" s="16">
        <v>0</v>
      </c>
      <c r="I2477" s="16">
        <v>0</v>
      </c>
      <c r="J2477" s="3" t="s">
        <v>5011</v>
      </c>
      <c r="K2477" s="16">
        <v>0</v>
      </c>
      <c r="L2477" s="16">
        <v>0</v>
      </c>
      <c r="M2477" s="16">
        <v>0</v>
      </c>
    </row>
    <row r="2478" spans="1:13" x14ac:dyDescent="0.25">
      <c r="A2478" s="2">
        <f t="shared" si="77"/>
        <v>2473</v>
      </c>
      <c r="B2478" s="2">
        <v>272069</v>
      </c>
      <c r="C2478" s="2" t="s">
        <v>4984</v>
      </c>
      <c r="D2478" s="14" t="s">
        <v>2467</v>
      </c>
      <c r="E2478" s="14">
        <v>0</v>
      </c>
      <c r="F2478" s="14">
        <v>0</v>
      </c>
      <c r="G2478" s="14">
        <v>0</v>
      </c>
      <c r="H2478" s="16">
        <v>0</v>
      </c>
      <c r="I2478" s="16">
        <v>0</v>
      </c>
      <c r="J2478" s="3" t="s">
        <v>5011</v>
      </c>
      <c r="K2478" s="16">
        <v>0</v>
      </c>
      <c r="L2478" s="16">
        <v>0</v>
      </c>
      <c r="M2478" s="16">
        <v>0</v>
      </c>
    </row>
    <row r="2479" spans="1:13" x14ac:dyDescent="0.25">
      <c r="A2479" s="2">
        <f t="shared" si="77"/>
        <v>2474</v>
      </c>
      <c r="B2479" s="2">
        <v>272332</v>
      </c>
      <c r="C2479" s="2" t="s">
        <v>4985</v>
      </c>
      <c r="D2479" s="14" t="s">
        <v>2468</v>
      </c>
      <c r="E2479" s="14">
        <v>1.2401999999999999E-3</v>
      </c>
      <c r="F2479" s="14">
        <v>0</v>
      </c>
      <c r="G2479" s="14">
        <v>1.2401999999999999E-3</v>
      </c>
      <c r="H2479" s="16">
        <v>8.9595520999999998</v>
      </c>
      <c r="I2479" s="16">
        <v>8.9595520999999998</v>
      </c>
      <c r="J2479" s="3" t="s">
        <v>5011</v>
      </c>
      <c r="K2479" s="16">
        <v>26.495963809500001</v>
      </c>
      <c r="L2479" s="16">
        <v>19.6223575</v>
      </c>
      <c r="M2479" s="16">
        <f t="shared" si="76"/>
        <v>2.1901047374901697</v>
      </c>
    </row>
    <row r="2480" spans="1:13" x14ac:dyDescent="0.25">
      <c r="A2480" s="2">
        <f t="shared" si="77"/>
        <v>2475</v>
      </c>
      <c r="B2480" s="2">
        <v>272705</v>
      </c>
      <c r="C2480" s="2" t="s">
        <v>4986</v>
      </c>
      <c r="D2480" s="14" t="s">
        <v>2469</v>
      </c>
      <c r="E2480" s="14">
        <v>0.18481430000000001</v>
      </c>
      <c r="F2480" s="14">
        <v>0</v>
      </c>
      <c r="G2480" s="14">
        <v>0.18481430000000001</v>
      </c>
      <c r="H2480" s="16">
        <v>38.218195099999996</v>
      </c>
      <c r="I2480" s="16">
        <v>36.224996099999998</v>
      </c>
      <c r="J2480" s="3" t="s">
        <v>5011</v>
      </c>
      <c r="K2480" s="16">
        <v>269.86711173480001</v>
      </c>
      <c r="L2480" s="16">
        <v>64.527985900000004</v>
      </c>
      <c r="M2480" s="16">
        <f t="shared" si="76"/>
        <v>1.6884100814064873</v>
      </c>
    </row>
    <row r="2481" spans="1:13" x14ac:dyDescent="0.25">
      <c r="A2481" s="2">
        <f t="shared" si="77"/>
        <v>2476</v>
      </c>
      <c r="B2481" s="2">
        <v>273443</v>
      </c>
      <c r="C2481" s="2" t="s">
        <v>4987</v>
      </c>
      <c r="D2481" s="14" t="s">
        <v>2470</v>
      </c>
      <c r="E2481" s="14">
        <v>3.8276821999999999</v>
      </c>
      <c r="F2481" s="14">
        <v>0</v>
      </c>
      <c r="G2481" s="14">
        <v>3.8276821999999999</v>
      </c>
      <c r="H2481" s="16">
        <v>202.56887370000001</v>
      </c>
      <c r="I2481" s="16">
        <v>198.4064453</v>
      </c>
      <c r="J2481" s="3" t="s">
        <v>5011</v>
      </c>
      <c r="K2481" s="16">
        <v>3874.3506675300996</v>
      </c>
      <c r="L2481" s="16">
        <v>812.86288249999996</v>
      </c>
      <c r="M2481" s="16">
        <f t="shared" si="76"/>
        <v>4.0127728789361381</v>
      </c>
    </row>
    <row r="2482" spans="1:13" x14ac:dyDescent="0.25">
      <c r="A2482" s="2">
        <f t="shared" si="77"/>
        <v>2477</v>
      </c>
      <c r="B2482" s="2">
        <v>273947</v>
      </c>
      <c r="C2482" s="2" t="s">
        <v>4988</v>
      </c>
      <c r="D2482" s="14" t="s">
        <v>2471</v>
      </c>
      <c r="E2482" s="14">
        <v>0.48124770000000006</v>
      </c>
      <c r="F2482" s="14">
        <v>0</v>
      </c>
      <c r="G2482" s="14">
        <v>0.48124770000000006</v>
      </c>
      <c r="H2482" s="16">
        <v>45.601870599999998</v>
      </c>
      <c r="I2482" s="16">
        <v>20.654617599999998</v>
      </c>
      <c r="J2482" s="3" t="s">
        <v>5011</v>
      </c>
      <c r="K2482" s="16">
        <v>647.44948964910009</v>
      </c>
      <c r="L2482" s="16">
        <v>133.30086990000001</v>
      </c>
      <c r="M2482" s="16">
        <f t="shared" si="76"/>
        <v>2.9231447777495343</v>
      </c>
    </row>
    <row r="2483" spans="1:13" x14ac:dyDescent="0.25">
      <c r="A2483" s="2">
        <f t="shared" si="77"/>
        <v>2478</v>
      </c>
      <c r="B2483" s="2">
        <v>274361</v>
      </c>
      <c r="C2483" s="2" t="s">
        <v>4989</v>
      </c>
      <c r="D2483" s="14" t="s">
        <v>2472</v>
      </c>
      <c r="E2483" s="14">
        <v>0.79435600000000006</v>
      </c>
      <c r="F2483" s="14">
        <v>0</v>
      </c>
      <c r="G2483" s="14">
        <v>0.79435600000000006</v>
      </c>
      <c r="H2483" s="16">
        <v>132.1283938</v>
      </c>
      <c r="I2483" s="16">
        <v>126.6970184</v>
      </c>
      <c r="J2483" s="3" t="s">
        <v>5011</v>
      </c>
      <c r="K2483" s="16">
        <v>1377.2103778073001</v>
      </c>
      <c r="L2483" s="16">
        <v>706.32698980000009</v>
      </c>
      <c r="M2483" s="16">
        <f t="shared" si="76"/>
        <v>5.3457623262199991</v>
      </c>
    </row>
    <row r="2484" spans="1:13" x14ac:dyDescent="0.25">
      <c r="A2484" s="2">
        <f t="shared" si="77"/>
        <v>2479</v>
      </c>
      <c r="B2484" s="2">
        <v>274504</v>
      </c>
      <c r="C2484" s="2" t="s">
        <v>4990</v>
      </c>
      <c r="D2484" s="14" t="s">
        <v>2473</v>
      </c>
      <c r="E2484" s="14">
        <v>0</v>
      </c>
      <c r="F2484" s="14">
        <v>0</v>
      </c>
      <c r="G2484" s="14">
        <v>0</v>
      </c>
      <c r="H2484" s="16">
        <v>0</v>
      </c>
      <c r="I2484" s="16">
        <v>0</v>
      </c>
      <c r="J2484" s="3" t="s">
        <v>5011</v>
      </c>
      <c r="K2484" s="16">
        <v>0</v>
      </c>
      <c r="L2484" s="16">
        <v>0</v>
      </c>
      <c r="M2484" s="16">
        <v>0</v>
      </c>
    </row>
    <row r="2485" spans="1:13" x14ac:dyDescent="0.25">
      <c r="A2485" s="2">
        <f t="shared" si="77"/>
        <v>2480</v>
      </c>
      <c r="B2485" s="2">
        <v>274884</v>
      </c>
      <c r="C2485" s="2" t="s">
        <v>4991</v>
      </c>
      <c r="D2485" s="14" t="s">
        <v>2474</v>
      </c>
      <c r="E2485" s="14">
        <v>2.6654737000000002</v>
      </c>
      <c r="F2485" s="14">
        <v>0</v>
      </c>
      <c r="G2485" s="14">
        <v>2.6654737000000002</v>
      </c>
      <c r="H2485" s="16">
        <v>263.35225149999997</v>
      </c>
      <c r="I2485" s="16">
        <v>183.852735</v>
      </c>
      <c r="J2485" s="3" t="s">
        <v>5011</v>
      </c>
      <c r="K2485" s="16">
        <v>2326.6498411371008</v>
      </c>
      <c r="L2485" s="16">
        <v>488.10086700000005</v>
      </c>
      <c r="M2485" s="16">
        <f t="shared" si="76"/>
        <v>1.8534144447973331</v>
      </c>
    </row>
    <row r="2486" spans="1:13" x14ac:dyDescent="0.25">
      <c r="A2486" s="2">
        <f t="shared" si="77"/>
        <v>2481</v>
      </c>
      <c r="B2486" s="2">
        <v>275466</v>
      </c>
      <c r="C2486" s="2" t="s">
        <v>4992</v>
      </c>
      <c r="D2486" s="14" t="s">
        <v>2475</v>
      </c>
      <c r="E2486" s="14">
        <v>2.6448090999999998</v>
      </c>
      <c r="F2486" s="14">
        <v>0</v>
      </c>
      <c r="G2486" s="14">
        <v>2.6448090999999998</v>
      </c>
      <c r="H2486" s="16">
        <v>214.73497499999999</v>
      </c>
      <c r="I2486" s="16">
        <v>160.17149949999998</v>
      </c>
      <c r="J2486" s="3" t="s">
        <v>5011</v>
      </c>
      <c r="K2486" s="16">
        <v>4259.7628792298983</v>
      </c>
      <c r="L2486" s="16">
        <v>1769.0350880000001</v>
      </c>
      <c r="M2486" s="16">
        <f t="shared" si="76"/>
        <v>8.2382252262352704</v>
      </c>
    </row>
    <row r="2487" spans="1:13" x14ac:dyDescent="0.25">
      <c r="A2487" s="2">
        <f t="shared" si="77"/>
        <v>2482</v>
      </c>
      <c r="B2487" s="2">
        <v>277350</v>
      </c>
      <c r="C2487" s="2" t="s">
        <v>4993</v>
      </c>
      <c r="D2487" s="14" t="s">
        <v>2476</v>
      </c>
      <c r="E2487" s="14">
        <v>0</v>
      </c>
      <c r="F2487" s="14">
        <v>0</v>
      </c>
      <c r="G2487" s="14">
        <v>0</v>
      </c>
      <c r="H2487" s="16">
        <v>0</v>
      </c>
      <c r="I2487" s="16">
        <v>0</v>
      </c>
      <c r="J2487" s="3" t="s">
        <v>5011</v>
      </c>
      <c r="K2487" s="16">
        <v>0</v>
      </c>
      <c r="L2487" s="16">
        <v>0</v>
      </c>
      <c r="M2487" s="16">
        <v>0</v>
      </c>
    </row>
    <row r="2488" spans="1:13" x14ac:dyDescent="0.25">
      <c r="A2488" s="2">
        <f t="shared" si="77"/>
        <v>2483</v>
      </c>
      <c r="B2488" s="2">
        <v>277453</v>
      </c>
      <c r="C2488" s="2" t="s">
        <v>4994</v>
      </c>
      <c r="D2488" s="14" t="s">
        <v>2477</v>
      </c>
      <c r="E2488" s="14">
        <v>0.128472</v>
      </c>
      <c r="F2488" s="14">
        <v>0</v>
      </c>
      <c r="G2488" s="14">
        <v>0.128472</v>
      </c>
      <c r="H2488" s="16">
        <v>47.730664400000002</v>
      </c>
      <c r="I2488" s="16">
        <v>38.510987</v>
      </c>
      <c r="J2488" s="3" t="s">
        <v>5011</v>
      </c>
      <c r="K2488" s="16">
        <v>415.31791923080021</v>
      </c>
      <c r="L2488" s="16">
        <v>175.47892539999998</v>
      </c>
      <c r="M2488" s="16">
        <f t="shared" si="76"/>
        <v>3.6764400329612839</v>
      </c>
    </row>
    <row r="2489" spans="1:13" x14ac:dyDescent="0.25">
      <c r="A2489" s="2">
        <f t="shared" si="77"/>
        <v>2484</v>
      </c>
      <c r="B2489" s="2">
        <v>277920</v>
      </c>
      <c r="C2489" s="2" t="s">
        <v>4995</v>
      </c>
      <c r="D2489" s="14" t="s">
        <v>2478</v>
      </c>
      <c r="E2489" s="14">
        <v>0</v>
      </c>
      <c r="F2489" s="14">
        <v>0</v>
      </c>
      <c r="G2489" s="14">
        <v>0</v>
      </c>
      <c r="H2489" s="16">
        <v>0</v>
      </c>
      <c r="I2489" s="16">
        <v>0</v>
      </c>
      <c r="J2489" s="3" t="s">
        <v>5011</v>
      </c>
      <c r="K2489" s="16">
        <v>0</v>
      </c>
      <c r="L2489" s="16">
        <v>0</v>
      </c>
      <c r="M2489" s="16">
        <v>0</v>
      </c>
    </row>
    <row r="2490" spans="1:13" x14ac:dyDescent="0.25">
      <c r="A2490" s="2">
        <f t="shared" si="77"/>
        <v>2485</v>
      </c>
      <c r="B2490" s="2">
        <v>278505</v>
      </c>
      <c r="C2490" s="2" t="s">
        <v>4996</v>
      </c>
      <c r="D2490" s="14" t="s">
        <v>2479</v>
      </c>
      <c r="E2490" s="14">
        <v>0</v>
      </c>
      <c r="F2490" s="14">
        <v>0</v>
      </c>
      <c r="G2490" s="14">
        <v>0</v>
      </c>
      <c r="H2490" s="16">
        <v>0</v>
      </c>
      <c r="I2490" s="16">
        <v>0</v>
      </c>
      <c r="J2490" s="3" t="s">
        <v>5011</v>
      </c>
      <c r="K2490" s="16">
        <v>0</v>
      </c>
      <c r="L2490" s="16">
        <v>0</v>
      </c>
      <c r="M2490" s="16">
        <v>0</v>
      </c>
    </row>
    <row r="2491" spans="1:13" x14ac:dyDescent="0.25">
      <c r="A2491" s="2">
        <f t="shared" si="77"/>
        <v>2486</v>
      </c>
      <c r="B2491" s="2">
        <v>279933</v>
      </c>
      <c r="C2491" s="2" t="s">
        <v>4997</v>
      </c>
      <c r="D2491" s="14" t="s">
        <v>2480</v>
      </c>
      <c r="E2491" s="14">
        <v>2.4119033000000001</v>
      </c>
      <c r="F2491" s="14">
        <v>0</v>
      </c>
      <c r="G2491" s="14">
        <v>2.4119033000000001</v>
      </c>
      <c r="H2491" s="16">
        <v>133.58129449999998</v>
      </c>
      <c r="I2491" s="16">
        <v>88.026570299999989</v>
      </c>
      <c r="J2491" s="3" t="s">
        <v>5011</v>
      </c>
      <c r="K2491" s="16">
        <v>4123.7725384247979</v>
      </c>
      <c r="L2491" s="16">
        <v>1778.2216030000002</v>
      </c>
      <c r="M2491" s="16">
        <f t="shared" si="76"/>
        <v>13.311905754888462</v>
      </c>
    </row>
    <row r="2492" spans="1:13" x14ac:dyDescent="0.25">
      <c r="A2492" s="2">
        <f t="shared" si="77"/>
        <v>2487</v>
      </c>
      <c r="B2492" s="2">
        <v>280761</v>
      </c>
      <c r="C2492" s="2" t="s">
        <v>4998</v>
      </c>
      <c r="D2492" s="14" t="s">
        <v>2481</v>
      </c>
      <c r="E2492" s="14">
        <v>0.10996399999999999</v>
      </c>
      <c r="F2492" s="14">
        <v>0</v>
      </c>
      <c r="G2492" s="14">
        <v>0.10996399999999999</v>
      </c>
      <c r="H2492" s="16">
        <v>26.013081700000001</v>
      </c>
      <c r="I2492" s="16">
        <v>21.968296000000002</v>
      </c>
      <c r="J2492" s="3" t="s">
        <v>5011</v>
      </c>
      <c r="K2492" s="16">
        <v>275.74611005740002</v>
      </c>
      <c r="L2492" s="16">
        <v>178.93681420000001</v>
      </c>
      <c r="M2492" s="16">
        <f t="shared" si="76"/>
        <v>6.8787241843783553</v>
      </c>
    </row>
    <row r="2493" spans="1:13" x14ac:dyDescent="0.25">
      <c r="A2493" s="2">
        <f t="shared" si="77"/>
        <v>2488</v>
      </c>
      <c r="B2493" s="2">
        <v>281552</v>
      </c>
      <c r="C2493" s="2" t="s">
        <v>4999</v>
      </c>
      <c r="D2493" s="14" t="s">
        <v>2482</v>
      </c>
      <c r="E2493" s="14">
        <v>1.089E-4</v>
      </c>
      <c r="F2493" s="14">
        <v>0</v>
      </c>
      <c r="G2493" s="14">
        <v>1.089E-4</v>
      </c>
      <c r="H2493" s="16">
        <v>4.3897804999999996</v>
      </c>
      <c r="I2493" s="16">
        <v>4.2897805</v>
      </c>
      <c r="J2493" s="3" t="s">
        <v>5011</v>
      </c>
      <c r="K2493" s="16">
        <v>62.001839813700002</v>
      </c>
      <c r="L2493" s="16">
        <v>40.665107499999998</v>
      </c>
      <c r="M2493" s="16">
        <f t="shared" si="76"/>
        <v>9.2635856166384638</v>
      </c>
    </row>
    <row r="2494" spans="1:13" x14ac:dyDescent="0.25">
      <c r="A2494" s="2">
        <f t="shared" si="77"/>
        <v>2489</v>
      </c>
      <c r="B2494" s="2">
        <v>282528</v>
      </c>
      <c r="C2494" s="2" t="s">
        <v>5000</v>
      </c>
      <c r="D2494" s="14" t="s">
        <v>2483</v>
      </c>
      <c r="E2494" s="14">
        <v>2.3933000000000001E-3</v>
      </c>
      <c r="F2494" s="14">
        <v>0</v>
      </c>
      <c r="G2494" s="14">
        <v>2.3933000000000001E-3</v>
      </c>
      <c r="H2494" s="16">
        <v>12.065507</v>
      </c>
      <c r="I2494" s="16">
        <v>12.065507</v>
      </c>
      <c r="J2494" s="3" t="s">
        <v>5011</v>
      </c>
      <c r="K2494" s="16">
        <v>47.9478971606</v>
      </c>
      <c r="L2494" s="16">
        <v>42.468439800000006</v>
      </c>
      <c r="M2494" s="16">
        <f t="shared" si="76"/>
        <v>3.5198222337445086</v>
      </c>
    </row>
    <row r="2495" spans="1:13" x14ac:dyDescent="0.25">
      <c r="A2495" s="2">
        <f t="shared" si="77"/>
        <v>2490</v>
      </c>
      <c r="B2495" s="2">
        <v>285143</v>
      </c>
      <c r="C2495" s="2" t="s">
        <v>5001</v>
      </c>
      <c r="D2495" s="14" t="s">
        <v>2484</v>
      </c>
      <c r="E2495" s="14">
        <v>2.6400000000000001E-5</v>
      </c>
      <c r="F2495" s="14">
        <v>0</v>
      </c>
      <c r="G2495" s="14">
        <v>2.6400000000000001E-5</v>
      </c>
      <c r="H2495" s="16">
        <v>6.7046647999999998</v>
      </c>
      <c r="I2495" s="16">
        <v>4.9446648</v>
      </c>
      <c r="J2495" s="3" t="s">
        <v>5011</v>
      </c>
      <c r="K2495" s="16">
        <v>18.465429784100003</v>
      </c>
      <c r="L2495" s="16">
        <v>17.112391599999999</v>
      </c>
      <c r="M2495" s="16">
        <f t="shared" si="76"/>
        <v>2.5523112803491683</v>
      </c>
    </row>
    <row r="2496" spans="1:13" x14ac:dyDescent="0.25">
      <c r="A2496" s="2">
        <f t="shared" si="77"/>
        <v>2491</v>
      </c>
      <c r="B2496" s="2">
        <v>285451</v>
      </c>
      <c r="C2496" s="2" t="s">
        <v>5002</v>
      </c>
      <c r="D2496" s="14" t="s">
        <v>2485</v>
      </c>
      <c r="E2496" s="14">
        <v>0</v>
      </c>
      <c r="F2496" s="14">
        <v>0</v>
      </c>
      <c r="G2496" s="14">
        <v>0</v>
      </c>
      <c r="H2496" s="16">
        <v>0</v>
      </c>
      <c r="I2496" s="16">
        <v>0</v>
      </c>
      <c r="J2496" s="3" t="s">
        <v>5011</v>
      </c>
      <c r="K2496" s="16">
        <v>0</v>
      </c>
      <c r="L2496" s="16">
        <v>0</v>
      </c>
      <c r="M2496" s="16">
        <v>0</v>
      </c>
    </row>
    <row r="2497" spans="1:13" x14ac:dyDescent="0.25">
      <c r="A2497" s="2">
        <f t="shared" si="77"/>
        <v>2492</v>
      </c>
      <c r="B2497" s="2">
        <v>285569</v>
      </c>
      <c r="C2497" s="2" t="s">
        <v>5003</v>
      </c>
      <c r="D2497" s="14" t="s">
        <v>2486</v>
      </c>
      <c r="E2497" s="14">
        <v>4.8259000000000002E-3</v>
      </c>
      <c r="F2497" s="14">
        <v>0</v>
      </c>
      <c r="G2497" s="14">
        <v>4.8259000000000002E-3</v>
      </c>
      <c r="H2497" s="16">
        <v>607.91360369999995</v>
      </c>
      <c r="I2497" s="16">
        <v>601.27860369999996</v>
      </c>
      <c r="J2497" s="3" t="s">
        <v>5011</v>
      </c>
      <c r="K2497" s="16">
        <v>403.92560554850007</v>
      </c>
      <c r="L2497" s="16">
        <v>603.99473260000002</v>
      </c>
      <c r="M2497" s="16">
        <f t="shared" si="76"/>
        <v>0.99355357229029229</v>
      </c>
    </row>
    <row r="2498" spans="1:13" x14ac:dyDescent="0.25">
      <c r="A2498" s="2">
        <f t="shared" si="77"/>
        <v>2493</v>
      </c>
      <c r="B2498" s="2">
        <v>286847</v>
      </c>
      <c r="C2498" s="2" t="s">
        <v>5004</v>
      </c>
      <c r="D2498" s="14" t="s">
        <v>2487</v>
      </c>
      <c r="E2498" s="14">
        <v>0</v>
      </c>
      <c r="F2498" s="14">
        <v>0</v>
      </c>
      <c r="G2498" s="14">
        <v>0</v>
      </c>
      <c r="H2498" s="16">
        <v>0</v>
      </c>
      <c r="I2498" s="16">
        <v>0</v>
      </c>
      <c r="J2498" s="3" t="s">
        <v>5011</v>
      </c>
      <c r="K2498" s="16">
        <v>0</v>
      </c>
      <c r="L2498" s="16">
        <v>0</v>
      </c>
      <c r="M2498" s="16">
        <v>0</v>
      </c>
    </row>
    <row r="2499" spans="1:13" x14ac:dyDescent="0.25">
      <c r="A2499" s="2">
        <f t="shared" si="77"/>
        <v>2494</v>
      </c>
      <c r="B2499" s="2">
        <v>286886</v>
      </c>
      <c r="C2499" s="2" t="s">
        <v>5005</v>
      </c>
      <c r="D2499" s="14" t="s">
        <v>2488</v>
      </c>
      <c r="E2499" s="14">
        <v>0</v>
      </c>
      <c r="F2499" s="14">
        <v>0</v>
      </c>
      <c r="G2499" s="14">
        <v>0</v>
      </c>
      <c r="H2499" s="16">
        <v>1.3849312</v>
      </c>
      <c r="I2499" s="16">
        <v>1.3849312</v>
      </c>
      <c r="J2499" s="3" t="s">
        <v>5011</v>
      </c>
      <c r="K2499" s="16">
        <v>0.32720943250000001</v>
      </c>
      <c r="L2499" s="16">
        <v>1.4082182000000001</v>
      </c>
      <c r="M2499" s="16">
        <f t="shared" si="76"/>
        <v>1.0168145536760238</v>
      </c>
    </row>
    <row r="2500" spans="1:13" x14ac:dyDescent="0.25">
      <c r="A2500" s="2">
        <f t="shared" si="77"/>
        <v>2495</v>
      </c>
      <c r="B2500" s="2">
        <v>288042</v>
      </c>
      <c r="C2500" s="2" t="s">
        <v>5006</v>
      </c>
      <c r="D2500" s="14" t="s">
        <v>2489</v>
      </c>
      <c r="E2500" s="14">
        <v>0</v>
      </c>
      <c r="F2500" s="14">
        <v>0</v>
      </c>
      <c r="G2500" s="14">
        <v>0</v>
      </c>
      <c r="H2500" s="16">
        <v>8.0995950000000008</v>
      </c>
      <c r="I2500" s="16">
        <v>7.9195950000000002</v>
      </c>
      <c r="J2500" s="3" t="s">
        <v>5011</v>
      </c>
      <c r="K2500" s="16">
        <v>67.707061932999991</v>
      </c>
      <c r="L2500" s="16">
        <v>413.97836329999996</v>
      </c>
      <c r="M2500" s="16">
        <f t="shared" si="76"/>
        <v>51.110995463353404</v>
      </c>
    </row>
    <row r="2501" spans="1:13" x14ac:dyDescent="0.25">
      <c r="A2501" s="2">
        <f t="shared" si="77"/>
        <v>2496</v>
      </c>
      <c r="B2501" s="2" t="s">
        <v>2490</v>
      </c>
      <c r="C2501" s="2" t="s">
        <v>5007</v>
      </c>
      <c r="D2501" s="14" t="s">
        <v>2491</v>
      </c>
      <c r="E2501" s="14">
        <v>0.50081539999999991</v>
      </c>
      <c r="F2501" s="14">
        <v>0</v>
      </c>
      <c r="G2501" s="14">
        <v>0.50081539999999991</v>
      </c>
      <c r="H2501" s="16">
        <v>418.55139780000002</v>
      </c>
      <c r="I2501" s="16">
        <v>378.69566960000003</v>
      </c>
      <c r="J2501" s="3" t="s">
        <v>5011</v>
      </c>
      <c r="K2501" s="16">
        <v>2967.4884907618002</v>
      </c>
      <c r="L2501" s="16">
        <v>598.83867120000002</v>
      </c>
      <c r="M2501" s="16">
        <f t="shared" si="76"/>
        <v>1.4307410615461573</v>
      </c>
    </row>
    <row r="2502" spans="1:13" x14ac:dyDescent="0.25">
      <c r="A2502" s="2">
        <f t="shared" si="77"/>
        <v>2497</v>
      </c>
      <c r="B2502" s="2" t="s">
        <v>2492</v>
      </c>
      <c r="C2502" s="2" t="s">
        <v>5008</v>
      </c>
      <c r="D2502" s="14" t="s">
        <v>2493</v>
      </c>
      <c r="E2502" s="14">
        <v>0</v>
      </c>
      <c r="F2502" s="14">
        <v>0</v>
      </c>
      <c r="G2502" s="14">
        <v>0</v>
      </c>
      <c r="H2502" s="16">
        <v>0.77996100000000002</v>
      </c>
      <c r="I2502" s="16">
        <v>0.77996100000000002</v>
      </c>
      <c r="J2502" s="3" t="s">
        <v>5011</v>
      </c>
      <c r="K2502" s="16">
        <v>132.982172765</v>
      </c>
      <c r="L2502" s="16">
        <v>13.370765800000001</v>
      </c>
      <c r="M2502" s="16">
        <f t="shared" si="76"/>
        <v>17.142864579126392</v>
      </c>
    </row>
    <row r="2503" spans="1:13" x14ac:dyDescent="0.25">
      <c r="A2503" s="2">
        <f t="shared" si="77"/>
        <v>2498</v>
      </c>
      <c r="B2503" s="2" t="s">
        <v>2494</v>
      </c>
      <c r="C2503" s="2" t="s">
        <v>5009</v>
      </c>
      <c r="D2503" s="14" t="s">
        <v>2495</v>
      </c>
      <c r="E2503" s="14">
        <v>0</v>
      </c>
      <c r="F2503" s="14">
        <v>0</v>
      </c>
      <c r="G2503" s="14">
        <v>0</v>
      </c>
      <c r="H2503" s="16">
        <v>0.499975</v>
      </c>
      <c r="I2503" s="16">
        <v>0.499975</v>
      </c>
      <c r="J2503" s="3" t="s">
        <v>5011</v>
      </c>
      <c r="K2503" s="16">
        <v>21.2788640152</v>
      </c>
      <c r="L2503" s="16">
        <v>2.2738498000000003</v>
      </c>
      <c r="M2503" s="16">
        <f t="shared" ref="M2503:M2504" si="78">L2503/H2503</f>
        <v>4.5479269963498181</v>
      </c>
    </row>
    <row r="2504" spans="1:13" x14ac:dyDescent="0.25">
      <c r="A2504" s="2">
        <f t="shared" ref="A2504" si="79">A2503+1</f>
        <v>2499</v>
      </c>
      <c r="B2504" s="2" t="s">
        <v>2496</v>
      </c>
      <c r="C2504" s="2" t="s">
        <v>5010</v>
      </c>
      <c r="D2504" s="14" t="s">
        <v>2497</v>
      </c>
      <c r="E2504" s="14">
        <v>3.17971</v>
      </c>
      <c r="F2504" s="14">
        <v>0</v>
      </c>
      <c r="G2504" s="14">
        <v>3.17971</v>
      </c>
      <c r="H2504" s="16">
        <v>704.51780040000006</v>
      </c>
      <c r="I2504" s="16">
        <v>658.09306260000005</v>
      </c>
      <c r="J2504" s="3" t="s">
        <v>5011</v>
      </c>
      <c r="K2504" s="16">
        <v>3028.4566024966998</v>
      </c>
      <c r="L2504" s="16">
        <v>761.05037049999999</v>
      </c>
      <c r="M2504" s="16">
        <f t="shared" si="78"/>
        <v>1.0802429265348623</v>
      </c>
    </row>
    <row r="2505" spans="1:13" x14ac:dyDescent="0.25">
      <c r="A2505" s="11"/>
      <c r="B2505" s="12"/>
      <c r="C2505" s="12"/>
      <c r="D2505" s="15" t="s">
        <v>2511</v>
      </c>
      <c r="E2505" s="13">
        <v>16311.164450100019</v>
      </c>
      <c r="F2505" s="14">
        <v>0</v>
      </c>
      <c r="G2505" s="13">
        <v>16311.164450100019</v>
      </c>
      <c r="H2505" s="13">
        <f t="shared" ref="H2505:I2505" si="80">SUM(H6:H2504)</f>
        <v>1420656.7173122007</v>
      </c>
      <c r="I2505" s="13">
        <f t="shared" si="80"/>
        <v>906772.99001109891</v>
      </c>
      <c r="J2505" s="11"/>
      <c r="K2505" s="13">
        <f t="shared" ref="K2505:L2505" si="81">SUM(K6:K2504)</f>
        <v>15167534.466950573</v>
      </c>
      <c r="L2505" s="13">
        <f t="shared" si="81"/>
        <v>2104530.8098075986</v>
      </c>
    </row>
  </sheetData>
  <autoFilter ref="A4:M2505" xr:uid="{00000000-0001-0000-0000-000000000000}"/>
  <sortState xmlns:xlrd2="http://schemas.microsoft.com/office/spreadsheetml/2017/richdata2" ref="B6:C2500">
    <sortCondition ref="B6:B25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</dc:creator>
  <cp:lastModifiedBy>Compliance</cp:lastModifiedBy>
  <dcterms:created xsi:type="dcterms:W3CDTF">2024-07-07T18:04:07Z</dcterms:created>
  <dcterms:modified xsi:type="dcterms:W3CDTF">2026-03-16T06:41:41Z</dcterms:modified>
</cp:coreProperties>
</file>