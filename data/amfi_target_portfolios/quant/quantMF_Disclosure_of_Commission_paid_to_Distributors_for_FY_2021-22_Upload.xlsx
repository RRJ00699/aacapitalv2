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Sheet1!$A$5:$K$1549</definedName>
    <definedName name="_xlnm.Print_Titles" localSheetId="0">Sheet1!$4:$4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6" i="1"/>
  <c r="K1550" i="1" l="1"/>
  <c r="J1550" i="1"/>
  <c r="H1550" i="1"/>
  <c r="G1550" i="1"/>
  <c r="F1550" i="1"/>
  <c r="D1550" i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</calcChain>
</file>

<file path=xl/sharedStrings.xml><?xml version="1.0" encoding="utf-8"?>
<sst xmlns="http://schemas.openxmlformats.org/spreadsheetml/2006/main" count="5183" uniqueCount="1565">
  <si>
    <t>Sr. No.</t>
  </si>
  <si>
    <t>ARN</t>
  </si>
  <si>
    <t>JM Financial Services Limited</t>
  </si>
  <si>
    <t>HDFC Bank Limited</t>
  </si>
  <si>
    <t>SKP Securities Limited</t>
  </si>
  <si>
    <t>SPA Capital Services Limited</t>
  </si>
  <si>
    <t>Way2Wealth Securities Private Limited</t>
  </si>
  <si>
    <t>Bajaj Capital Ltd.</t>
  </si>
  <si>
    <t>SBICAP Securities Limited</t>
  </si>
  <si>
    <t>Stock Holding Corporation of India Limited</t>
  </si>
  <si>
    <t>Karvy Stock Broking Limited</t>
  </si>
  <si>
    <t>Axis Bank Limited</t>
  </si>
  <si>
    <t>ICICI Bank Limited</t>
  </si>
  <si>
    <t>Tata Securities Limited</t>
  </si>
  <si>
    <t>Hongkong &amp; Shanghai Banking Corporation Ltd.</t>
  </si>
  <si>
    <t>Eastern Financiers Ltd.</t>
  </si>
  <si>
    <t>RR Investors Capital Services Pvt Ltd.</t>
  </si>
  <si>
    <t>Bluechip Capital Services Private Limited</t>
  </si>
  <si>
    <t>Citibank N.A</t>
  </si>
  <si>
    <t>Sadashiv Arvind Phene</t>
  </si>
  <si>
    <t>Bees Network Limited</t>
  </si>
  <si>
    <t>Mata Securities India Pvt. Ltd</t>
  </si>
  <si>
    <t>Kotak Securities Ltd</t>
  </si>
  <si>
    <t>Zeenat S Jagani</t>
  </si>
  <si>
    <t>Bonanza Portfolio Ltd</t>
  </si>
  <si>
    <t>A.G. Financial Services</t>
  </si>
  <si>
    <t>Standard Chartered Securities (India) Limited</t>
  </si>
  <si>
    <t>PLC Securities Ltd</t>
  </si>
  <si>
    <t>Russell Credit Limited</t>
  </si>
  <si>
    <t>Indusind Bank Ltd</t>
  </si>
  <si>
    <t>Nayan Balmukund Saraiya</t>
  </si>
  <si>
    <t>ICICI Securities Limited</t>
  </si>
  <si>
    <t>Wealth Managers (India) Private Limited</t>
  </si>
  <si>
    <t>Oswal Dhan Private Limited</t>
  </si>
  <si>
    <t>J R Laddha Financial Services (P) Ltd.</t>
  </si>
  <si>
    <t>Batlivala &amp; Karani Securities India Pvt. Ltd.</t>
  </si>
  <si>
    <t>Dalal &amp; Broacha Stock Broking Pvt. Ltd.</t>
  </si>
  <si>
    <t>Ganesh Shridhar Shanbhag</t>
  </si>
  <si>
    <t>Rajbir Singh</t>
  </si>
  <si>
    <t>Wealth First Advisors Pvt Ltd</t>
  </si>
  <si>
    <t>Dipak Kumar Das</t>
  </si>
  <si>
    <t>Shivranjani Securities Company Pvt Ltd</t>
  </si>
  <si>
    <t>Standard Chartered Bank</t>
  </si>
  <si>
    <t>Gupta Capital Investment Centre</t>
  </si>
  <si>
    <t>Axiom Financial Services Pvt Ltd</t>
  </si>
  <si>
    <t>M D Saraf Securities Private Ltd.</t>
  </si>
  <si>
    <t>Almondz Global Securities Ltd</t>
  </si>
  <si>
    <t>Right Choice Securities Pvt Ltd</t>
  </si>
  <si>
    <t>Kotak Mahindra Bank Limited</t>
  </si>
  <si>
    <t>Poddar Financial Services</t>
  </si>
  <si>
    <t>Security Investments Limited</t>
  </si>
  <si>
    <t>Raviraj Investments Corporate (India) Pvt Ltd</t>
  </si>
  <si>
    <t>Emkay Global Financial Services Limited</t>
  </si>
  <si>
    <t>Safe Assets</t>
  </si>
  <si>
    <t>ECS Financial Services (India) Private Limited</t>
  </si>
  <si>
    <t>Mangsidhesh Investments Pvt Ltd</t>
  </si>
  <si>
    <t>Harley Securities Pvt Ltd</t>
  </si>
  <si>
    <t>Jennifer Maria Mendes</t>
  </si>
  <si>
    <t>Hari Ghanashyam Kamat</t>
  </si>
  <si>
    <t>Ashwin Rasiklal Vajani</t>
  </si>
  <si>
    <t>Purnima Securities Pvt Ltd</t>
  </si>
  <si>
    <t>Edge Corporate Services Pvt Ltd</t>
  </si>
  <si>
    <t>Rakesh Pasricha</t>
  </si>
  <si>
    <t>Prabhudas Lilladher Pvt Ltd</t>
  </si>
  <si>
    <t>Sundaram Finance Limited</t>
  </si>
  <si>
    <t>Disha Finance &amp; Investment Pvt Ltd</t>
  </si>
  <si>
    <t>JHAVERI SECURITIES LTD</t>
  </si>
  <si>
    <t>Power Pusher Financial Services LLP</t>
  </si>
  <si>
    <t>Deutsche Bank AG</t>
  </si>
  <si>
    <t>Hari Mohan Gupta</t>
  </si>
  <si>
    <t>Yogesh Jayant Shah</t>
  </si>
  <si>
    <t>Mukesh R Parikh</t>
  </si>
  <si>
    <t>Union Bank of India</t>
  </si>
  <si>
    <t>Bank of India</t>
  </si>
  <si>
    <t>UTI Infrastructure Technology And Services Ltd</t>
  </si>
  <si>
    <t>Blue Chip Investments</t>
  </si>
  <si>
    <t>Shagun Sandeep Sutaria</t>
  </si>
  <si>
    <t>Darashaw &amp; Co. Pvt Ltd</t>
  </si>
  <si>
    <t>Dipankar Das</t>
  </si>
  <si>
    <t>Mukesh Kumar.M</t>
  </si>
  <si>
    <t>Deepak</t>
  </si>
  <si>
    <t>Three Cheers</t>
  </si>
  <si>
    <t>Madhuvan Securities Private Limited</t>
  </si>
  <si>
    <t>Ravindra Rajendra Oberoi</t>
  </si>
  <si>
    <t>Brain Point Investment Centre Pvt Ltd</t>
  </si>
  <si>
    <t>Canara Bank</t>
  </si>
  <si>
    <t>Indus Capital</t>
  </si>
  <si>
    <t>Prudent Corporate Advisory Services Ltd</t>
  </si>
  <si>
    <t>Rushil Financial Services</t>
  </si>
  <si>
    <t>Kooran Varghese Polson</t>
  </si>
  <si>
    <t>Leader Care Finance</t>
  </si>
  <si>
    <t>Capital League</t>
  </si>
  <si>
    <t>State Bank of India</t>
  </si>
  <si>
    <t>Rashmi Thukral</t>
  </si>
  <si>
    <t>HDFC Securities Ltd</t>
  </si>
  <si>
    <t>Vcare Investment Services Pvt. Ltd.</t>
  </si>
  <si>
    <t>Sharekhan Limited</t>
  </si>
  <si>
    <t>Relacs Investment &amp; Financial Services Pvt Ltd</t>
  </si>
  <si>
    <t>Ventura Securities Ltd</t>
  </si>
  <si>
    <t>Iqbal Singh</t>
  </si>
  <si>
    <t>Yes Bank Limited</t>
  </si>
  <si>
    <t>Safe Investment &amp; Financial Services</t>
  </si>
  <si>
    <t>Gajendra Hiralal Jain</t>
  </si>
  <si>
    <t>Peakalpha Investment Services (P) Ltd.,</t>
  </si>
  <si>
    <t>Investor Shoppe Consultancy Private Limited</t>
  </si>
  <si>
    <t>SMC Global Securities Limited</t>
  </si>
  <si>
    <t>Pioneer Client Associates Private Limited</t>
  </si>
  <si>
    <t>Reliance Securities Limited</t>
  </si>
  <si>
    <t>Mahindra &amp; Mahindra Financial Services Limited</t>
  </si>
  <si>
    <t>International Money Matters Private Limited</t>
  </si>
  <si>
    <t>Abacus Corporation Private Limited</t>
  </si>
  <si>
    <t>S J Investment Services Pvt Ltd</t>
  </si>
  <si>
    <t>Harish S Kotian</t>
  </si>
  <si>
    <t>Director General Posts</t>
  </si>
  <si>
    <t>Kirti Tejas Merchant</t>
  </si>
  <si>
    <t>Veena Chandra</t>
  </si>
  <si>
    <t>IFAN FINSERV PRIVATE LIMITED</t>
  </si>
  <si>
    <t>Arihant Capital Markets Limited</t>
  </si>
  <si>
    <t>Kshitiz Agarwal</t>
  </si>
  <si>
    <t>Vision Ahead Services (Pvt) Ltd</t>
  </si>
  <si>
    <t>Ask Wealth Advisors Private Limited</t>
  </si>
  <si>
    <t>Cedrus Consultants Private Limited</t>
  </si>
  <si>
    <t>Salil B Kothari</t>
  </si>
  <si>
    <t>Assetz Premier Wealth Advisory Pvt Ltd</t>
  </si>
  <si>
    <t>Barclays Securities (India) Pvt Ltd</t>
  </si>
  <si>
    <t>Credit Suisse Securities India Pvt Ltd</t>
  </si>
  <si>
    <t>Invest &amp; Prosper Financial Services</t>
  </si>
  <si>
    <t>Ladderup Wealth Management Pvt Ltd</t>
  </si>
  <si>
    <t>Right Horizons Financial Services Pvt Ltd</t>
  </si>
  <si>
    <t>Deepanshu Singhal</t>
  </si>
  <si>
    <t>Sift Capital</t>
  </si>
  <si>
    <t>Asset Alliance Securities Private Limited</t>
  </si>
  <si>
    <t>Money Honey Financial Services Pvt Ltd</t>
  </si>
  <si>
    <t>Alpha Capital</t>
  </si>
  <si>
    <t>AUM Capital Market Pvt Ltd</t>
  </si>
  <si>
    <t>Axis Securities Limited</t>
  </si>
  <si>
    <t>Om Apex Investment Services Private Limited</t>
  </si>
  <si>
    <t>Wealth India Financial Services Pvt Ltd</t>
  </si>
  <si>
    <t>Edelweiss Broking Limited</t>
  </si>
  <si>
    <t>Sapient Wealth Advisors And Brokers Pvt Ltd</t>
  </si>
  <si>
    <t>Sajag Securities Private Limited</t>
  </si>
  <si>
    <t>Gaurav Ganpule</t>
  </si>
  <si>
    <t>Ghalla Bhansali Stock Brokers Pvt Ltd</t>
  </si>
  <si>
    <t>Chadha Investment Consultant Pvt Ltd</t>
  </si>
  <si>
    <t>Domingo John Rohan Rebello</t>
  </si>
  <si>
    <t>Tata Capital Financial Services Ltd.</t>
  </si>
  <si>
    <t>Shashank Agarwal</t>
  </si>
  <si>
    <t>Avendus Wealth Management Pvt Ltd</t>
  </si>
  <si>
    <t>Plan Ahead Wealth Advisors Pvt. Ltd.</t>
  </si>
  <si>
    <t>Nonie Kapoor</t>
  </si>
  <si>
    <t>Rajat Bhargava</t>
  </si>
  <si>
    <t>HM Mercantiles Pvt. Ltd</t>
  </si>
  <si>
    <t>EURASIA CAPITAL SERVICES</t>
  </si>
  <si>
    <t>OD3078</t>
  </si>
  <si>
    <t>Ramkumar H Barchha</t>
  </si>
  <si>
    <t>Hexagon Capital Advisors Private Limited</t>
  </si>
  <si>
    <t>Jayanta Ghosh</t>
  </si>
  <si>
    <t>Zen Securities Limited</t>
  </si>
  <si>
    <t>Naresh Popatrao Karpe</t>
  </si>
  <si>
    <t>B D Shroff Securities Private Limited</t>
  </si>
  <si>
    <t>Shree Sidvin Financial Services &amp; Invest. Pvt. Ltd.</t>
  </si>
  <si>
    <t>Kalyani Capital Services Pvt. Ltd.</t>
  </si>
  <si>
    <t>Money Options Services Pvt Ltd</t>
  </si>
  <si>
    <t>Asit Haresh Bhansali</t>
  </si>
  <si>
    <t>Right Returns</t>
  </si>
  <si>
    <t>Anil Khera</t>
  </si>
  <si>
    <t>Kanga Financial Services Pvt Ltd</t>
  </si>
  <si>
    <t>Tushar Jitendra Shah</t>
  </si>
  <si>
    <t>Varsha Investments</t>
  </si>
  <si>
    <t>InvestAscent Wealth Advisors Pvt Ltd</t>
  </si>
  <si>
    <t>Quadratic Financial Services Pvt Ltd</t>
  </si>
  <si>
    <t>Asit C. Mehta Investment Intermediates Ltd</t>
  </si>
  <si>
    <t>Savitri Agrawal</t>
  </si>
  <si>
    <t>Colaco &amp; Aranha</t>
  </si>
  <si>
    <t>Reliable Investments</t>
  </si>
  <si>
    <t>Arun Vishwanath Lagu</t>
  </si>
  <si>
    <t>Dhananjay Manohar Kale</t>
  </si>
  <si>
    <t>Sab Investments</t>
  </si>
  <si>
    <t>Jain Bros</t>
  </si>
  <si>
    <t>Punjab National Bank</t>
  </si>
  <si>
    <t>Akasa Securities &amp; Financial Services Pvt. Ltd</t>
  </si>
  <si>
    <t>The Federal Bank Ltd.</t>
  </si>
  <si>
    <t>GEPL CAPITAL PRIVATE LIMITED</t>
  </si>
  <si>
    <t>Diva Jyote Portfolios Private Limited</t>
  </si>
  <si>
    <t>Shriram Insight Share Brokers Ltd</t>
  </si>
  <si>
    <t>Manoj D Shankar</t>
  </si>
  <si>
    <t>Sweety Dhaval Desai</t>
  </si>
  <si>
    <t>Bank Of Baroda</t>
  </si>
  <si>
    <t>M/s V.R. INVESTMENTS</t>
  </si>
  <si>
    <t>Manjula S</t>
  </si>
  <si>
    <t>Ami Vishal Dalal</t>
  </si>
  <si>
    <t>Blue Ocean Financial Services Pvt Ltd</t>
  </si>
  <si>
    <t>Anjana Shah</t>
  </si>
  <si>
    <t>Rajesh Tuteja</t>
  </si>
  <si>
    <t>Rohit Anand Das</t>
  </si>
  <si>
    <t>Barrier Foils Private Limited</t>
  </si>
  <si>
    <t>Jiten Arjun Karnani</t>
  </si>
  <si>
    <t>Anurag Bagrodia</t>
  </si>
  <si>
    <t xml:space="preserve">Name of the ARN Holder </t>
  </si>
  <si>
    <t>Gross Inflows</t>
  </si>
  <si>
    <t>Net Inflows</t>
  </si>
  <si>
    <t>Whether the distributor is an associate or group compnay of the sponsors of the Mutual Fund</t>
  </si>
  <si>
    <t>All figures - Rs. in Lacs</t>
  </si>
  <si>
    <r>
      <t xml:space="preserve">          </t>
    </r>
    <r>
      <rPr>
        <b/>
        <sz val="11"/>
        <rFont val="Calibri"/>
        <family val="2"/>
        <scheme val="minor"/>
      </rPr>
      <t>B</t>
    </r>
  </si>
  <si>
    <r>
      <t xml:space="preserve">       </t>
    </r>
    <r>
      <rPr>
        <b/>
        <sz val="11"/>
        <rFont val="Calibri"/>
        <family val="2"/>
        <scheme val="minor"/>
      </rPr>
      <t>A+B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</si>
  <si>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>A</t>
    </r>
  </si>
  <si>
    <t>Shubhangi Gopal Pai</t>
  </si>
  <si>
    <t>Viral R Kothari</t>
  </si>
  <si>
    <t>Blue Circle Financial Services</t>
  </si>
  <si>
    <t>DCB Bank Limited</t>
  </si>
  <si>
    <t>Sangeeta Milind Chitnis</t>
  </si>
  <si>
    <t>Suvridhi Capital Markets Private Ltd</t>
  </si>
  <si>
    <t>Farr Lapp Investments</t>
  </si>
  <si>
    <t>Paterson Securities Pvt Ltd</t>
  </si>
  <si>
    <t>Sri Kotyark Investments</t>
  </si>
  <si>
    <t>Vinayak Dattatreya Joshi</t>
  </si>
  <si>
    <t>Darshan Services Private Limited</t>
  </si>
  <si>
    <t>Surendra Kumar Dugar &amp; Co</t>
  </si>
  <si>
    <t>Arvind Financial Services</t>
  </si>
  <si>
    <t>Samruddhi Investment</t>
  </si>
  <si>
    <t>Subras Investments</t>
  </si>
  <si>
    <t>LKP Securities Limited</t>
  </si>
  <si>
    <t>The Karnataka Bank Limited</t>
  </si>
  <si>
    <t>Sanat Kacker</t>
  </si>
  <si>
    <t>D Muthukrishnan</t>
  </si>
  <si>
    <t>Affluenz Financial Services India Private Limited</t>
  </si>
  <si>
    <t>Anandbir Singh</t>
  </si>
  <si>
    <t>Master Capital Services Ltd</t>
  </si>
  <si>
    <t>VR Wealth Advisors Pvt Ltd</t>
  </si>
  <si>
    <t>Ethix</t>
  </si>
  <si>
    <t>RBL Bank Limited</t>
  </si>
  <si>
    <t>FinEdge Advisory Pvt. Ltd.</t>
  </si>
  <si>
    <t>KRUSHNA FINSERV LLP</t>
  </si>
  <si>
    <t>Monetonic Financial Services Pvt. Ltd.</t>
  </si>
  <si>
    <t>GOYAMA FINANCIAL SERVICES</t>
  </si>
  <si>
    <t>MUTUALFUNDWALA</t>
  </si>
  <si>
    <t>Julius Baer Wealth Advisors (India) Private Limited</t>
  </si>
  <si>
    <t>BEYOND LIFE FINANCIAL SERVICES LLP</t>
  </si>
  <si>
    <t>KREDERE WEALTH PARTNER PVT LTD</t>
  </si>
  <si>
    <t>Blue Edge Associates LLP</t>
  </si>
  <si>
    <t>INFINITY CAPITAL</t>
  </si>
  <si>
    <t>Geojit Financial Services Ltd</t>
  </si>
  <si>
    <t>Jignesh V Shah</t>
  </si>
  <si>
    <t>Chandulal L Vasa</t>
  </si>
  <si>
    <t>Amitkumar D Mehta</t>
  </si>
  <si>
    <t>Ashutosh Financial Services Private Limited</t>
  </si>
  <si>
    <t>Premin Securities</t>
  </si>
  <si>
    <t>Chetan Manharlal Lapsiwala</t>
  </si>
  <si>
    <t>Bharat Soneja</t>
  </si>
  <si>
    <t>Hemant Satyavan Shah</t>
  </si>
  <si>
    <t>Basic Financial Services Pvt Ltd</t>
  </si>
  <si>
    <t>Akshaya Budhraja</t>
  </si>
  <si>
    <t>Dhanesh M. Shah</t>
  </si>
  <si>
    <t>Vatsal Pravin Shah</t>
  </si>
  <si>
    <t>Sandeep Shah</t>
  </si>
  <si>
    <t>Rajiv Suri</t>
  </si>
  <si>
    <t>Seema Ramesh Nainani</t>
  </si>
  <si>
    <t>Ramesh Valab Nainani (Huf)</t>
  </si>
  <si>
    <t>Prakash Mahendra Thakkar</t>
  </si>
  <si>
    <t>Dhairav Janak Shroff</t>
  </si>
  <si>
    <t>Durga Financial Services Pvt Ltd</t>
  </si>
  <si>
    <t>Jayesh Subhash Salvi</t>
  </si>
  <si>
    <t>Vinit Chandulal Vasa</t>
  </si>
  <si>
    <t>Millennium Finance Limited</t>
  </si>
  <si>
    <t>Shashank Jain</t>
  </si>
  <si>
    <t>Soba Infosec Pvt Ltd</t>
  </si>
  <si>
    <t>Anand Rathi Share And Stock Brokers Limited</t>
  </si>
  <si>
    <t>Mukul Pravin Kulkarni</t>
  </si>
  <si>
    <t>Kumud Ketan Dedhia</t>
  </si>
  <si>
    <t>Fortune Finsec Pvt Ltd</t>
  </si>
  <si>
    <t>Rikhav Suresh Desai</t>
  </si>
  <si>
    <t>Rohan Maurya</t>
  </si>
  <si>
    <t>Bimal Mansukhlal Panchamia</t>
  </si>
  <si>
    <t>Sanjay Mahendrakumar Nanavati</t>
  </si>
  <si>
    <t>Finance Doctor Pvt. Ltd</t>
  </si>
  <si>
    <t>Rajendra Pachare</t>
  </si>
  <si>
    <t>Aahlada Securities Pvt Ltd</t>
  </si>
  <si>
    <t>Jayshree A Shah</t>
  </si>
  <si>
    <t>Wealth First Port Folio Managers Ltd</t>
  </si>
  <si>
    <t>Yashwant Amarsingh Rathod</t>
  </si>
  <si>
    <t>Yogendra Dilipbhai Doshi</t>
  </si>
  <si>
    <t>Rohitashwa Kumbhkar</t>
  </si>
  <si>
    <t>Suman Kumar Thakur</t>
  </si>
  <si>
    <t>Prakash Hariram Lohana</t>
  </si>
  <si>
    <t>Palani Dhamodar</t>
  </si>
  <si>
    <t>Sachin Shashikant Parekh</t>
  </si>
  <si>
    <t>Infinity Finserv (P) Ltd</t>
  </si>
  <si>
    <t>BFC Capital P Ltd</t>
  </si>
  <si>
    <t>Laxmi Narayan Gupta</t>
  </si>
  <si>
    <t>Nimish Kantilal Unadkat</t>
  </si>
  <si>
    <t>Shri Ashutosh Securities Private Limited</t>
  </si>
  <si>
    <t>Mukund Seshadri</t>
  </si>
  <si>
    <t>Milind Khasnis</t>
  </si>
  <si>
    <t>LIFE PLUS</t>
  </si>
  <si>
    <t>Sinhasi Consultants Private Limited</t>
  </si>
  <si>
    <t>DSA Capital Services</t>
  </si>
  <si>
    <t>Dhanlaxmi Bank Limited</t>
  </si>
  <si>
    <t>Urjita Financial Services Private Limited</t>
  </si>
  <si>
    <t>Karan Agarwal</t>
  </si>
  <si>
    <t>Prasad R Sangam</t>
  </si>
  <si>
    <t>Niblick Capital Growth Private Limited</t>
  </si>
  <si>
    <t>Profit Mantra</t>
  </si>
  <si>
    <t>Invest 'N' Gain Financial Services</t>
  </si>
  <si>
    <t>Equations</t>
  </si>
  <si>
    <t>Unnati Capital Services Pvt Ltd</t>
  </si>
  <si>
    <t>Capital Builders</t>
  </si>
  <si>
    <t>Save &amp; Prosper Securities Pvt Ltd</t>
  </si>
  <si>
    <t>Aadinath Investment</t>
  </si>
  <si>
    <t>Saksham Securities Pvt Ltd</t>
  </si>
  <si>
    <t>Pentagraph Partners</t>
  </si>
  <si>
    <t>Dhanvriddhi Finvest Services Pvt Ltd</t>
  </si>
  <si>
    <t>Globe Capital Market Ltd</t>
  </si>
  <si>
    <t>Rajat Khanna</t>
  </si>
  <si>
    <t>Harjindarkaur Wadhawan</t>
  </si>
  <si>
    <t>Parimal Sadashivrao Ade</t>
  </si>
  <si>
    <t>Saibal Biswas</t>
  </si>
  <si>
    <t>Wealth Managers United India Private Limited</t>
  </si>
  <si>
    <t>OUTLOOK ASIA CAPITAL</t>
  </si>
  <si>
    <t>Deepesh Arora</t>
  </si>
  <si>
    <t>Suraj Prakash</t>
  </si>
  <si>
    <t>CLAIRFIN CAPITAL SERVICES</t>
  </si>
  <si>
    <t>WealthDirect Portfolio Pvt Ltd</t>
  </si>
  <si>
    <t>Ranjan Simanchal Panigrahi</t>
  </si>
  <si>
    <t>Blue Ocean Multi Client Family Office LLP</t>
  </si>
  <si>
    <t>OCEAN CAPITAL MARKET LTD</t>
  </si>
  <si>
    <t>S V FINANCIAL SERVICES</t>
  </si>
  <si>
    <t>MUTUAL CAFE</t>
  </si>
  <si>
    <t>Ankit Aggarwal</t>
  </si>
  <si>
    <t>FINBUCKS Financial Management</t>
  </si>
  <si>
    <t>Sykes &amp; Ray Equities (I) Ltd.</t>
  </si>
  <si>
    <t>Mahesh G Gattani</t>
  </si>
  <si>
    <t>Integrated Enterprises (India) Pvt Ltd</t>
  </si>
  <si>
    <t>Nandkishor Yeshwant Sinari</t>
  </si>
  <si>
    <t>Dilipkumar Shashikant Vayeda</t>
  </si>
  <si>
    <t>Priti Ajit Kucheria</t>
  </si>
  <si>
    <t>Kaajal Suresh Thadani</t>
  </si>
  <si>
    <t>Shekhar Madhusudan Mahore</t>
  </si>
  <si>
    <t>Devendra Yeshwant Mhatre</t>
  </si>
  <si>
    <t>S.R. Investments</t>
  </si>
  <si>
    <t>Manu Financial Services</t>
  </si>
  <si>
    <t>Shreeji Kosh Services</t>
  </si>
  <si>
    <t>Mahesh Sawaika</t>
  </si>
  <si>
    <t>Abhinav Mehta</t>
  </si>
  <si>
    <t>TIPS</t>
  </si>
  <si>
    <t>Rajeev Murarka</t>
  </si>
  <si>
    <t>Drumesh H.Pandya</t>
  </si>
  <si>
    <t>Anita Arun Lagu</t>
  </si>
  <si>
    <t>Varughese Mathai.K</t>
  </si>
  <si>
    <t>Prakash Investments</t>
  </si>
  <si>
    <t>Ketan Jayantilal Shah</t>
  </si>
  <si>
    <t>Gautam Rathore</t>
  </si>
  <si>
    <t>Shah Digpal Hemant</t>
  </si>
  <si>
    <t>Padmanaban B</t>
  </si>
  <si>
    <t>Subhas Chakraborty</t>
  </si>
  <si>
    <t>Frontline Securities Ltd</t>
  </si>
  <si>
    <t>Darshan Mahendra Parekh</t>
  </si>
  <si>
    <t>Gunisetty Gnana Prasunamba</t>
  </si>
  <si>
    <t>Deepak Kumar Bhardwaj</t>
  </si>
  <si>
    <t>Ashika Stock Broking Ltd.</t>
  </si>
  <si>
    <t>Thakker Nikhil Vasudev</t>
  </si>
  <si>
    <t>Bharat Tokershi Gosar</t>
  </si>
  <si>
    <t>Ashok Kumar Agarwal</t>
  </si>
  <si>
    <t>Kalariya Ravi Keshavlal</t>
  </si>
  <si>
    <t>Pihas Mukesh Parikh</t>
  </si>
  <si>
    <t>Sunder Gopal Roy</t>
  </si>
  <si>
    <t>Investor Point</t>
  </si>
  <si>
    <t>Ranna Amit Thakkar</t>
  </si>
  <si>
    <t>Yezdi Framroz Langrana</t>
  </si>
  <si>
    <t>Narendra Shrikisan Agrawal</t>
  </si>
  <si>
    <t>P K Martin</t>
  </si>
  <si>
    <t>Mukesh Dokania</t>
  </si>
  <si>
    <t>Gopal Chulani</t>
  </si>
  <si>
    <t>Sukanta Bhattacharjee</t>
  </si>
  <si>
    <t>R.L.P. Securities Pvt. Ltd.</t>
  </si>
  <si>
    <t>K Sarath Kumar</t>
  </si>
  <si>
    <t>Shagun Sutaria Stock Broking Private Limited</t>
  </si>
  <si>
    <t>Deepak Bakshi</t>
  </si>
  <si>
    <t>Arvinder Singh Bindra</t>
  </si>
  <si>
    <t>Hemant Suryakant Powale</t>
  </si>
  <si>
    <t>Vishal Bharat Modi</t>
  </si>
  <si>
    <t>Prokens Opesmetrics Pvt Ltd</t>
  </si>
  <si>
    <t>Net Brokers Private Limited</t>
  </si>
  <si>
    <t>Avanish K Shah</t>
  </si>
  <si>
    <t>Probin Agarwalla</t>
  </si>
  <si>
    <t>Nand Kishore Kothari</t>
  </si>
  <si>
    <t>Akta Associates</t>
  </si>
  <si>
    <t>Rahul Sethia</t>
  </si>
  <si>
    <t>Lotus Knowlwealth Private Limited</t>
  </si>
  <si>
    <t>Mohit Beriwala</t>
  </si>
  <si>
    <t>Cholamandalam Securities Ltd</t>
  </si>
  <si>
    <t>Chirag Stockbroker Pvt Ltd</t>
  </si>
  <si>
    <t>Mitul Pravinchandra Desai</t>
  </si>
  <si>
    <t>Sejal Avanish Shah</t>
  </si>
  <si>
    <t>M K Financials</t>
  </si>
  <si>
    <t>Gaindamull Hemraj Financial Services</t>
  </si>
  <si>
    <t>Muthoot Securities Ltd</t>
  </si>
  <si>
    <t>Abhishek Sunil Gupta</t>
  </si>
  <si>
    <t>Elite Portfolio Management</t>
  </si>
  <si>
    <t>Grow More Investment</t>
  </si>
  <si>
    <t>Imperial India Investment Company</t>
  </si>
  <si>
    <t>Sushil Financial Services Pvt Ltd</t>
  </si>
  <si>
    <t>Birendra Kumar</t>
  </si>
  <si>
    <t>VJB Financial Services Pvt Ltd</t>
  </si>
  <si>
    <t>AUM Insure And Secure Pvt Ltd</t>
  </si>
  <si>
    <t>JK Securities Pvt. Ltd.</t>
  </si>
  <si>
    <t>Sourendra Saha</t>
  </si>
  <si>
    <t>Kalyani Ketan Rachchha</t>
  </si>
  <si>
    <t>Pranjal Apoorva Wagh</t>
  </si>
  <si>
    <t>Scripbox.Com India Pvt Ltd</t>
  </si>
  <si>
    <t>OMEGA FINANCIAL</t>
  </si>
  <si>
    <t>RBM Investment Services</t>
  </si>
  <si>
    <t>Wealthcube Endeavours LLP</t>
  </si>
  <si>
    <t>BHARATHI SHARE BROKING PRIVATE LIMITED</t>
  </si>
  <si>
    <t>ARK PRIMARY ADVISORS PRIVATE LIMITED</t>
  </si>
  <si>
    <t>TBNG Capital Advisors Pvt Ltd</t>
  </si>
  <si>
    <t>Sunkersett Investment Intermediaries LLP</t>
  </si>
  <si>
    <t>SURAT COMMERCIAL PRIVATE LIMITED</t>
  </si>
  <si>
    <t>FINWIZARD TECHNOLOGY PVT LTD</t>
  </si>
  <si>
    <t>WISE FINSERV PVT. LTD</t>
  </si>
  <si>
    <t>Swan Investmentors Pvt Ltd</t>
  </si>
  <si>
    <t>Fortitude Securities Pvt.Ltd</t>
  </si>
  <si>
    <t>BANAYANTREE SERVICES LIMITED</t>
  </si>
  <si>
    <t>ACCORD FINANCIAL SERVICES LLP</t>
  </si>
  <si>
    <t>THEFINANCIALMALL PRIVATE LIMITED</t>
  </si>
  <si>
    <t>ZVEST FINANCIAL SERVICES LLP</t>
  </si>
  <si>
    <t>FUNDCHOICE FINANCIAL SERVICES PVT LTD</t>
  </si>
  <si>
    <t>TRANQUIL CAPITAL</t>
  </si>
  <si>
    <t>MONEYMATICS FINANCIAL SERVICES LLP</t>
  </si>
  <si>
    <t>SRIVIDYA ENTERPRISES LLP</t>
  </si>
  <si>
    <t>PROINVEST WEALTH MANAGERS PVT LTD</t>
  </si>
  <si>
    <t>OD106170</t>
  </si>
  <si>
    <t>NJ IndiaInvest Pvt Ltd</t>
  </si>
  <si>
    <t>CREST FINSERV LIMITED</t>
  </si>
  <si>
    <t>Rajinder Pal Singh Anand</t>
  </si>
  <si>
    <t>Om Enterprises</t>
  </si>
  <si>
    <t>Sach Investments</t>
  </si>
  <si>
    <t>Abm Investment</t>
  </si>
  <si>
    <t>Ipcon Associates</t>
  </si>
  <si>
    <t>ITI Securities Broking Limited</t>
  </si>
  <si>
    <t>The Saraswat Co-Operative Bank Ltd</t>
  </si>
  <si>
    <t>Porecha Global Securities Pvt Ltd</t>
  </si>
  <si>
    <t>Janak Dulari</t>
  </si>
  <si>
    <t>Ashish Golechha</t>
  </si>
  <si>
    <t>Kartik Amrish Gandhi HUF</t>
  </si>
  <si>
    <t>Abhenav Khettry</t>
  </si>
  <si>
    <t>Tumma Balraj</t>
  </si>
  <si>
    <t>NDA Securities Limited</t>
  </si>
  <si>
    <t>Rajesh Kadam</t>
  </si>
  <si>
    <t>IIFL SECURITIES LIMITED</t>
  </si>
  <si>
    <t>Girish Wani</t>
  </si>
  <si>
    <t>Jalan Financial Services</t>
  </si>
  <si>
    <t>Bhavik Girish Dand</t>
  </si>
  <si>
    <t>Devavrat Parvate</t>
  </si>
  <si>
    <t>Deepam Marketing Enterprises (P) Ltd</t>
  </si>
  <si>
    <t>Jignesh P.Shah</t>
  </si>
  <si>
    <t>Ramakrishna Kolluri</t>
  </si>
  <si>
    <t>SVC CO OPERATIVE BANK LTD</t>
  </si>
  <si>
    <t>Raedan Securities LLP</t>
  </si>
  <si>
    <t>Dolfin Investments</t>
  </si>
  <si>
    <t>Santushti Capital LLP</t>
  </si>
  <si>
    <t>Wealthpoint Financial Resources Pvt Ltd</t>
  </si>
  <si>
    <t>Systematix Shares And Stocks (India) Ltd</t>
  </si>
  <si>
    <t>Pathik Shah</t>
  </si>
  <si>
    <t>Ifast Financial India Pvt Ltd</t>
  </si>
  <si>
    <t>Genome Capital</t>
  </si>
  <si>
    <t>Jitendra Jaiswal</t>
  </si>
  <si>
    <t>Aditya Vinayak Joshi</t>
  </si>
  <si>
    <t>Keval Jaysinh Gemani</t>
  </si>
  <si>
    <t>SMARTVALUE EQUISEARCH PVT LTD</t>
  </si>
  <si>
    <t>RMS COLLECTIONS</t>
  </si>
  <si>
    <t>Rupam Mahapatra</t>
  </si>
  <si>
    <t>ACE FNSUPERMARKET PVT. LTD.</t>
  </si>
  <si>
    <t>Grow Rich Fintech LLP</t>
  </si>
  <si>
    <t>Artham Finometry Private Limited</t>
  </si>
  <si>
    <t>GUARDIAN CAPITAL INVESTMENT ADVISORS PRIVATE LIMITED</t>
  </si>
  <si>
    <t>Defmacro Software Pvt Ltd</t>
  </si>
  <si>
    <t>IDFC FIRST BANK LIMITED</t>
  </si>
  <si>
    <t>FLEXI CAPITAL LLP</t>
  </si>
  <si>
    <t>MIDAS FINSERVE PRIVATE LIMITED</t>
  </si>
  <si>
    <t>HEMANT FINSERVE LLP</t>
  </si>
  <si>
    <t>Greenback Capital LLP</t>
  </si>
  <si>
    <t>PAREKH INVESTMENT SERVICES</t>
  </si>
  <si>
    <t>Sheetal Sitaram Upadhyay</t>
  </si>
  <si>
    <t>NNP FUNDS</t>
  </si>
  <si>
    <t>TAPARIA PRIVATE LIMITED</t>
  </si>
  <si>
    <t>BANDHAN BANK LTD</t>
  </si>
  <si>
    <t>ADITYA &amp; SONS</t>
  </si>
  <si>
    <t>PUNISKA INDUSTRIES PVT LTD</t>
  </si>
  <si>
    <t>Raunak Ramuka</t>
  </si>
  <si>
    <t>SURVAM INVESTMENTS PRIVATE LIMITED</t>
  </si>
  <si>
    <t>Vogue Management Services Private Limited</t>
  </si>
  <si>
    <t>Quinstinct Advisory Pvt Ltd</t>
  </si>
  <si>
    <t>NARAIN FORTUNE INVESTMENT LLP</t>
  </si>
  <si>
    <t>ZUARI FINSERV LIMITED</t>
  </si>
  <si>
    <t>LA CREME DE LA CREME SERVICES LLP</t>
  </si>
  <si>
    <t>RELIGARE BROKING LIMITED</t>
  </si>
  <si>
    <t>AYUSHMANN CAPITAL</t>
  </si>
  <si>
    <t>MOTILAL OSWAL FINANCIAL SERVICES LIMITED</t>
  </si>
  <si>
    <t>MARWAHA HOLDINGS PRIVATE LIMITED</t>
  </si>
  <si>
    <t>EQUIRUS WEALTH PRIVATE LIMITED</t>
  </si>
  <si>
    <t>DBS BANK INDIA LIMITED</t>
  </si>
  <si>
    <t>INDUS CAPITAL</t>
  </si>
  <si>
    <t>FORTUNE FINSERVE LLP</t>
  </si>
  <si>
    <t>INVESTPRO FINANCIAL SERVICES PRIVATE LIMITED</t>
  </si>
  <si>
    <t>Bhadresh Madhusudan Gandhi</t>
  </si>
  <si>
    <t>Guruvayoorappan Investments</t>
  </si>
  <si>
    <t>Krishna Manohar Pandhare</t>
  </si>
  <si>
    <t>Prime Capital Services Private Ltd</t>
  </si>
  <si>
    <t>Tamanna Varma</t>
  </si>
  <si>
    <t>Shirish Shah</t>
  </si>
  <si>
    <t>K Amruthnath Krishna Rao</t>
  </si>
  <si>
    <t>Sujata Kabraji</t>
  </si>
  <si>
    <t>Shri Mahila Sewa Sahakari Bank Ltd.</t>
  </si>
  <si>
    <t>Ganesh S Zarkar</t>
  </si>
  <si>
    <t>RB Wealth Insight Pvt Ltd</t>
  </si>
  <si>
    <t>Eureka Stock And Share Broking Services Ltd</t>
  </si>
  <si>
    <t>Credence Family Office Private Limited</t>
  </si>
  <si>
    <t>Ritesh Tibrewal</t>
  </si>
  <si>
    <t>Sandeep Gupta</t>
  </si>
  <si>
    <t>LAKSHMIGAIN SECURITIES (P) LTD.</t>
  </si>
  <si>
    <t>Somvrat Agrawal</t>
  </si>
  <si>
    <t>Meghna Dhairav Shroff</t>
  </si>
  <si>
    <t>HORIZON INVESTMENTS</t>
  </si>
  <si>
    <t>NEAM CAPS PRIVATE LIMITED</t>
  </si>
  <si>
    <t>Abhimanyu Kantilal Sharma</t>
  </si>
  <si>
    <t>Aditya Birla Finance Limited</t>
  </si>
  <si>
    <t>N Vijayakumar</t>
  </si>
  <si>
    <t>SICOMORO ADVISORS PRIVATE LIMITED</t>
  </si>
  <si>
    <t>YES FINSERVE LLP</t>
  </si>
  <si>
    <t>KRITIKA INVESTMENT AND INSURANCE MARKETING PRIVATE LIMITED</t>
  </si>
  <si>
    <t>MARWAHA FINANCIAL SERVICES PVT LTD</t>
  </si>
  <si>
    <t>VISION LADDER LLP</t>
  </si>
  <si>
    <t>REGIS AND SAVOY CAPITAL</t>
  </si>
  <si>
    <t>Dhiraj Mohanlal Modi</t>
  </si>
  <si>
    <t>MALOO INVESTWISE PRIVATE LIMITED</t>
  </si>
  <si>
    <t>JRL CAPITAL PRIVATE LIMITED</t>
  </si>
  <si>
    <t>ATOMPRIVE FINANCIAL SERVICES PRIVATE LIMITED</t>
  </si>
  <si>
    <t>ABACUS MUTUAL</t>
  </si>
  <si>
    <t>M P MEHTA FINSERV LLP</t>
  </si>
  <si>
    <t>MANGAL DEEP FINANCIAL SERVICES      .</t>
  </si>
  <si>
    <t>DILZER CONSULTANTS PVT LTD</t>
  </si>
  <si>
    <t>AEVITAS CAPITAL PRIVATE LIMITED</t>
  </si>
  <si>
    <t>Bluechip Corporate Investment Centre Private limited</t>
  </si>
  <si>
    <t>Lakshminarayanan Kumaar</t>
  </si>
  <si>
    <t>Lalit Kumar</t>
  </si>
  <si>
    <t>IDBI Bank Ltd</t>
  </si>
  <si>
    <t>Devang Suryakant Desai</t>
  </si>
  <si>
    <t>ALLEGIANCE WORKMATE PRIVATE LIMITED</t>
  </si>
  <si>
    <t>Ritesh D Sheth</t>
  </si>
  <si>
    <t>Diwakar B Desai</t>
  </si>
  <si>
    <t>Vishvambhar C S Kenkare</t>
  </si>
  <si>
    <t>Rajesh R Mehta</t>
  </si>
  <si>
    <t>Sandeep J Shukla</t>
  </si>
  <si>
    <t>Anil B Parikh</t>
  </si>
  <si>
    <t>DMS INVESTMENT SERVICES PRIVATE LIMITED</t>
  </si>
  <si>
    <t>The Karur Vysya Bank Limited</t>
  </si>
  <si>
    <t>Chirag Kailaschandra Shah</t>
  </si>
  <si>
    <t>G K GLOBAS LLP</t>
  </si>
  <si>
    <t>Thousand Lights Investments Pvt. Ltd.</t>
  </si>
  <si>
    <t>Manju Kumari</t>
  </si>
  <si>
    <t>Francis Michael Clement D'Cruz</t>
  </si>
  <si>
    <t>Joseph Pearl Stanley</t>
  </si>
  <si>
    <t>Hemant Dattatraya Dighe</t>
  </si>
  <si>
    <t>Kedar Dattatraya Borgaonkar</t>
  </si>
  <si>
    <t>Quantum Information Services Private Limited</t>
  </si>
  <si>
    <t>VUK FINVEST PRIVATE LIMITED</t>
  </si>
  <si>
    <t>VGP Portfolio</t>
  </si>
  <si>
    <t>PhillipCapital (India) Pvt Ltd</t>
  </si>
  <si>
    <t>PRESCIENT FINANCIAL SERVICES</t>
  </si>
  <si>
    <t>SHENOY INVESTMENT SERVICES PRIVATE LIMITED</t>
  </si>
  <si>
    <t>Simpson &amp; General Finance Company Limited</t>
  </si>
  <si>
    <t>Rajesh Chandak</t>
  </si>
  <si>
    <t>Anita Investment Agencies</t>
  </si>
  <si>
    <t>SFIC Fiscal Services Pvt Ltd</t>
  </si>
  <si>
    <t>Janak Merchant Securities Pvt Ltd</t>
  </si>
  <si>
    <t>Krishan Murari Gupta</t>
  </si>
  <si>
    <t>CHAITANYA FINANCIAL SERVICES PRIVATE LIMITED</t>
  </si>
  <si>
    <t>Madhuri Sundararajan</t>
  </si>
  <si>
    <t>D Sundararajan</t>
  </si>
  <si>
    <t>Ruby Financial Services Pvt Ltd</t>
  </si>
  <si>
    <t>VIJAY INVESTEDGE PRIVATE LIMITED</t>
  </si>
  <si>
    <t>Right Choice Investment Shoppe</t>
  </si>
  <si>
    <t>U.R. MONEY</t>
  </si>
  <si>
    <t>Integra Securities Private Limited</t>
  </si>
  <si>
    <t>ANJALI INVESTMENTS</t>
  </si>
  <si>
    <t>Y. Sridhar</t>
  </si>
  <si>
    <t>Divyesh Jagdish Rach</t>
  </si>
  <si>
    <t>Shashi Shekhar Chilana</t>
  </si>
  <si>
    <t>Nityanand Shankar Bhandarkar</t>
  </si>
  <si>
    <t>Chaitanya Dinkar Murdeshwar</t>
  </si>
  <si>
    <t>Ruchi Anilkumar Agarwal</t>
  </si>
  <si>
    <t>Mitesh Suresh Chafadkar</t>
  </si>
  <si>
    <t>M B Srinivasa Murthy</t>
  </si>
  <si>
    <t>Consortium Securities Pvt Ltd</t>
  </si>
  <si>
    <t>CRVJ Investment Services Private Limited</t>
  </si>
  <si>
    <t>Michael Duarte</t>
  </si>
  <si>
    <t>Gaurang Investments</t>
  </si>
  <si>
    <t>Insoft Financial Services</t>
  </si>
  <si>
    <t>Sriram Suryanarayanan</t>
  </si>
  <si>
    <t>Prashant Murlidhar Bagad</t>
  </si>
  <si>
    <t>Vipul Bhagwandas Sarvaiya</t>
  </si>
  <si>
    <t>Swathi Investments</t>
  </si>
  <si>
    <t>Khambatta Securities Ltd</t>
  </si>
  <si>
    <t>Tarun Roy Chowdhury</t>
  </si>
  <si>
    <t>Arjun Gupta</t>
  </si>
  <si>
    <t>Rajesh Sarawgi</t>
  </si>
  <si>
    <t>The South Indian Bank Ltd</t>
  </si>
  <si>
    <t>PTIC CORPORATE SERVICES PRIVATE LIMITED</t>
  </si>
  <si>
    <t>Usha Investment &amp; Financial Services</t>
  </si>
  <si>
    <t>Umesh Kumar Gupta</t>
  </si>
  <si>
    <t>A.Makarand Govindrao</t>
  </si>
  <si>
    <t>A. Vinodkumar</t>
  </si>
  <si>
    <t>DEEP MFD PRIVATE LIMITED</t>
  </si>
  <si>
    <t>Jignesh Lalitbhai Kapadia</t>
  </si>
  <si>
    <t>Harshad Vinodrai Ashar</t>
  </si>
  <si>
    <t>MERCHANT FINVEST PRIVATE LIMITED</t>
  </si>
  <si>
    <t>AUTUS WEALTH PRIVATE LIMITED</t>
  </si>
  <si>
    <t>M.Ramachandran</t>
  </si>
  <si>
    <t>Shirish Baburao Dantkale</t>
  </si>
  <si>
    <t>Shashi Bhushan Verma</t>
  </si>
  <si>
    <t>Imperial International Pvt Ltd</t>
  </si>
  <si>
    <t>Sarathi Financial &amp; Management Services</t>
  </si>
  <si>
    <t>Ashok Thakwani</t>
  </si>
  <si>
    <t>Tejash P.Barfiwala</t>
  </si>
  <si>
    <t>Ajay Kumar Arora</t>
  </si>
  <si>
    <t>Aspandiar Nari Kanga</t>
  </si>
  <si>
    <t>Ajay Kantibhai Shah</t>
  </si>
  <si>
    <t>Balwan Singh Sambyal</t>
  </si>
  <si>
    <t>Monarch Networth Capital Limited</t>
  </si>
  <si>
    <t>Sunil Kumar</t>
  </si>
  <si>
    <t>SAMSANG FINANCIAL</t>
  </si>
  <si>
    <t>Daularam Kewalram Patel</t>
  </si>
  <si>
    <t>Jyoti Ranjan Mahapatra</t>
  </si>
  <si>
    <t>Nilesh N.Shah</t>
  </si>
  <si>
    <t>Bank of Bahrain &amp; Kuwait B.S.C.</t>
  </si>
  <si>
    <t>Javahar Kuttypady</t>
  </si>
  <si>
    <t>JASH FINANCIAL SERVICES</t>
  </si>
  <si>
    <t>Tejas Deepak Sheth</t>
  </si>
  <si>
    <t>Vijay Shriram Bhagwat</t>
  </si>
  <si>
    <t>Gaurav Mehrotra</t>
  </si>
  <si>
    <t>Manoj Darak</t>
  </si>
  <si>
    <t>Sushma Sanjay Patkar</t>
  </si>
  <si>
    <t>Mridula Chadda</t>
  </si>
  <si>
    <t>Nilkanth Bharatkumar Parekh</t>
  </si>
  <si>
    <t>Yogesh Chintaman Kulkarni</t>
  </si>
  <si>
    <t>Bajaj Securities</t>
  </si>
  <si>
    <t>Gajender Kumar Gupta</t>
  </si>
  <si>
    <t>Babubhai Hiralal &amp; Co</t>
  </si>
  <si>
    <t>Subha Brata Roy</t>
  </si>
  <si>
    <t>RACHIT FINANCIAL SERVICES</t>
  </si>
  <si>
    <t>Subhankar Bhowmick</t>
  </si>
  <si>
    <t>ELITE WEALTH LIMITED</t>
  </si>
  <si>
    <t>Prasad D N</t>
  </si>
  <si>
    <t>Bhavesh Indravadan Gandhi</t>
  </si>
  <si>
    <t>Praveen Mahabirprasad Dalmia</t>
  </si>
  <si>
    <t>BOHO FINSERV PRIVATE LIMITED</t>
  </si>
  <si>
    <t>Suman Gupta</t>
  </si>
  <si>
    <t>Abhay Arvindkumar Shah</t>
  </si>
  <si>
    <t>NM Financial Services</t>
  </si>
  <si>
    <t>Misal Investments</t>
  </si>
  <si>
    <t>KGMS Broking &amp; Research (P) Ltd</t>
  </si>
  <si>
    <t>Sumati Khare</t>
  </si>
  <si>
    <t>Ganesan Balasubramanian</t>
  </si>
  <si>
    <t>Mrigendra Kumar Mishra</t>
  </si>
  <si>
    <t>Panam Shares And Services</t>
  </si>
  <si>
    <t>Datta Prabhakar Kanbargi</t>
  </si>
  <si>
    <t>Venkatesh Share &amp; Stock Brokers Pvt. Ltd.</t>
  </si>
  <si>
    <t>New Vision Enterprises</t>
  </si>
  <si>
    <t>GADA &amp; HARIA PRIVATE LIMITED</t>
  </si>
  <si>
    <t>Dhiraj Sesmal Jain</t>
  </si>
  <si>
    <t>Bheruratan Onkardas Dammani</t>
  </si>
  <si>
    <t>Harshal Mukund Jadhav</t>
  </si>
  <si>
    <t>ABCHLOR INVESTMENTS PRIVATE LIMITED</t>
  </si>
  <si>
    <t>Mehul Hasmukhbhai Shah</t>
  </si>
  <si>
    <t>WISEINVEST PRIVATE LIMITED</t>
  </si>
  <si>
    <t>MIHIKA FINANCIAL SERVICES PRIVATE LIMITED</t>
  </si>
  <si>
    <t>Shashi Prabha Sharma</t>
  </si>
  <si>
    <t>Anil Manohar Kataria</t>
  </si>
  <si>
    <t>Poonam Gupta.</t>
  </si>
  <si>
    <t>Gopal Goenka</t>
  </si>
  <si>
    <t>MOKSH ASSOCIATES</t>
  </si>
  <si>
    <t>COOLBRAIN INVESTMART PRIVATE LIMITED</t>
  </si>
  <si>
    <t>Narendra S Baliga</t>
  </si>
  <si>
    <t>MILESTONE FINANCIAL SERVICES</t>
  </si>
  <si>
    <t>J K Pathak</t>
  </si>
  <si>
    <t>Wholelife Financial Services (Hyderabad) Pvt. Ltd.</t>
  </si>
  <si>
    <t>Kapil Amrutbhai Patel</t>
  </si>
  <si>
    <t>Parita Sandeep Gandhi</t>
  </si>
  <si>
    <t>SNAZZY WEALTH</t>
  </si>
  <si>
    <t>Madhusudhan P Gad</t>
  </si>
  <si>
    <t>Vision Financial Services</t>
  </si>
  <si>
    <t>SUVIDHA FINANCIAL SERVICES</t>
  </si>
  <si>
    <t>Nilesh Anant Karkare</t>
  </si>
  <si>
    <t>Satish Arora</t>
  </si>
  <si>
    <t>Indian Overseas Bank</t>
  </si>
  <si>
    <t>Amit Sitaram Luharuka</t>
  </si>
  <si>
    <t>VERDANT HORIZONS PRIVATE LIMITED</t>
  </si>
  <si>
    <t>Surdeep Pati Tripathi</t>
  </si>
  <si>
    <t>SAKSHAM WEALTH PRIVATE LIMITED</t>
  </si>
  <si>
    <t>Deepak Krishnamurthy Rao</t>
  </si>
  <si>
    <t>MAINSTREAM INVESTMENTS SERVICES PRIVATE LIMITED</t>
  </si>
  <si>
    <t>Durgesh D Babariya</t>
  </si>
  <si>
    <t>Zeus Distribution House</t>
  </si>
  <si>
    <t>SHRAMBAL DISTRIBUTORS PRIVATE LIMITED</t>
  </si>
  <si>
    <t>Sunil Bhanudas Kanade</t>
  </si>
  <si>
    <t>Suraj Prakash Shroff HUF</t>
  </si>
  <si>
    <t>Pradeep Mohite</t>
  </si>
  <si>
    <t>Thakker Megha Nikhil</t>
  </si>
  <si>
    <t>Nikul C Parmar</t>
  </si>
  <si>
    <t>WC ASSOCIATES</t>
  </si>
  <si>
    <t>Bhaskar Saha</t>
  </si>
  <si>
    <t>Ace Findistria India Private Limited</t>
  </si>
  <si>
    <t>Money Matters</t>
  </si>
  <si>
    <t>Jalpa Vinod Broker</t>
  </si>
  <si>
    <t>SM MUTUAL FUND DISTRIBUTORS PRIVATE LIMITED</t>
  </si>
  <si>
    <t>Religare Finvest Limited</t>
  </si>
  <si>
    <t>VISTA WEALTH PRIVATE LIMITED</t>
  </si>
  <si>
    <t>ARJA Investments Services Private Limited</t>
  </si>
  <si>
    <t>PRO-CATALYST FINANCIAL SERVICES</t>
  </si>
  <si>
    <t>COMSOL DISTRIBUTION SERVICES PRIVATE LIMITED</t>
  </si>
  <si>
    <t>Chennai Capital</t>
  </si>
  <si>
    <t>Ratnadeep Jayaprakash Patil</t>
  </si>
  <si>
    <t>Srivari Investments</t>
  </si>
  <si>
    <t>SNS MUTUAL FUND DISTRIBUTORS PRIVATE LIMITED</t>
  </si>
  <si>
    <t>MILESTONE GLOBAL MONEYMART PRIVATE LIMITED</t>
  </si>
  <si>
    <t>Tejal K Gandhi</t>
  </si>
  <si>
    <t>Ankit Jain</t>
  </si>
  <si>
    <t>Abhijit Shivanand Sawant</t>
  </si>
  <si>
    <t>NAKSHTRA VENTURES PRIVATE LIMITED</t>
  </si>
  <si>
    <t>Brijesh Gupta</t>
  </si>
  <si>
    <t>PRUDENT ASSET INDIA PRIVATE LIMITED</t>
  </si>
  <si>
    <t>Nikhil Shankar Girme</t>
  </si>
  <si>
    <t>Mukesh Kumar Vinodlal Shah</t>
  </si>
  <si>
    <t>Deepak D Pandit</t>
  </si>
  <si>
    <t>IMPERIAL PRIME CAPITAL PRIVATE LIMITED</t>
  </si>
  <si>
    <t>JAYASHA FINANCIAL SERVICES</t>
  </si>
  <si>
    <t>Pratap Chandra Sahoo</t>
  </si>
  <si>
    <t>Marwadi Shares And Finance Limited</t>
  </si>
  <si>
    <t>Shwetang Sanat Sheth</t>
  </si>
  <si>
    <t>Vashistha Capital</t>
  </si>
  <si>
    <t>Hardik Dineshbhai Doshi</t>
  </si>
  <si>
    <t>JURY INVESTMENT MALL PRIVATE LIMITED</t>
  </si>
  <si>
    <t>Shriram Fortune Solutions Ltd.</t>
  </si>
  <si>
    <t>Jayesh Nareshchandra Patwa</t>
  </si>
  <si>
    <t>Perfect Investments</t>
  </si>
  <si>
    <t>Shweta Poddar</t>
  </si>
  <si>
    <t>PRIME GOLD MUTUAL FUND DISTRIBUTORS PRIVATE LIMITED</t>
  </si>
  <si>
    <t>Anup Thirani</t>
  </si>
  <si>
    <t>VALUE ONE UP DISTRIBUTION PRIVATE LIMITED</t>
  </si>
  <si>
    <t>DAS CAPITAL PRIVATE LIMITED</t>
  </si>
  <si>
    <t>Sunil Hindocha</t>
  </si>
  <si>
    <t>PARAM INVESTMENT</t>
  </si>
  <si>
    <t>S S Investments</t>
  </si>
  <si>
    <t>PRAKALA WEALTH PRIVATE LIMITED</t>
  </si>
  <si>
    <t>Rajesh Falor</t>
  </si>
  <si>
    <t>Southern Capital</t>
  </si>
  <si>
    <t>PEGASUS FINSERV PRIVATE LIMITED</t>
  </si>
  <si>
    <t>Rajesh Bhardwaj</t>
  </si>
  <si>
    <t>PRIYARTH VENTURES PRIVATE LIMITED</t>
  </si>
  <si>
    <t>Andrew Lewis Cunha</t>
  </si>
  <si>
    <t>Gopi Kishan Agarwal</t>
  </si>
  <si>
    <t>Meenakshi Rajesh Sikchi</t>
  </si>
  <si>
    <t>The Cosmos Co-Operative Bank Ltd</t>
  </si>
  <si>
    <t>Artha Yantra Corporation Pvt Ltd</t>
  </si>
  <si>
    <t>DIVITAS CAPITAL PRIVATE LIMITED</t>
  </si>
  <si>
    <t>Arthbodh Shares &amp; Investments Pvt Ltd</t>
  </si>
  <si>
    <t>KPW FINSERV PRIVATE LIMITED</t>
  </si>
  <si>
    <t>Sunil Lala</t>
  </si>
  <si>
    <t>KNS MONEY PRIVATE LIMITED</t>
  </si>
  <si>
    <t>Avinash Dubey</t>
  </si>
  <si>
    <t>DAKSH FINQ PRIVATE LIMITED</t>
  </si>
  <si>
    <t>Ketan Rajesh Sheth</t>
  </si>
  <si>
    <t>DALMIA WEALTH PRIVATE LIMITED</t>
  </si>
  <si>
    <t>GROWFINN WEALTH PRIVATE LIMITED</t>
  </si>
  <si>
    <t>Pankaj Ladha</t>
  </si>
  <si>
    <t>Care Wealth Management Service</t>
  </si>
  <si>
    <t>Kajal Gopal Chulani</t>
  </si>
  <si>
    <t>Manasi Mahesh Soman</t>
  </si>
  <si>
    <t>S S FUND DISTRIBUTORS PRIVATE LIMITED</t>
  </si>
  <si>
    <t>Monika Abhishek Nayta</t>
  </si>
  <si>
    <t>Kapil Khurana</t>
  </si>
  <si>
    <t>Naveen Kumar Daiya</t>
  </si>
  <si>
    <t>Subir Jha</t>
  </si>
  <si>
    <t>SARSA INVESTMENTS SERVICES LIMITED</t>
  </si>
  <si>
    <t>Doogar and Associates Securities Private Limited</t>
  </si>
  <si>
    <t>Growmore Financial Services</t>
  </si>
  <si>
    <t>ARA FINANCIAL SERVICES PRIVATE LIMITED</t>
  </si>
  <si>
    <t>CAPSTONE FUTURE CAPITAL</t>
  </si>
  <si>
    <t>TG Financial Services</t>
  </si>
  <si>
    <t>KMP INVESTMART</t>
  </si>
  <si>
    <t>SKCL CAPITAL PRIVATE LIMITED</t>
  </si>
  <si>
    <t>Virendrakumar Rajnikant Modi</t>
  </si>
  <si>
    <t>Array Financial Services</t>
  </si>
  <si>
    <t>Vipul Mahendra Shah</t>
  </si>
  <si>
    <t>ETICA WEALTH PRIVATE LIMITED</t>
  </si>
  <si>
    <t>JAIN PRIVY CLIENT PRIVATE LIMITED</t>
  </si>
  <si>
    <t>Vintage Finvest Services Private Limited</t>
  </si>
  <si>
    <t>Ethical Financial Services</t>
  </si>
  <si>
    <t>Josveen J Menezes</t>
  </si>
  <si>
    <t>Sandeep Chhajer</t>
  </si>
  <si>
    <t>S&amp;A VENTURES</t>
  </si>
  <si>
    <t>Invest India Financial Services</t>
  </si>
  <si>
    <t>INSYNCH WEALTH LLP</t>
  </si>
  <si>
    <t>Edge Investment Services LLP</t>
  </si>
  <si>
    <t>ARTHASHASTRA INVESTMENTS PRIVATE LIMITED</t>
  </si>
  <si>
    <t>Sakthi Finance Financial Services Limited</t>
  </si>
  <si>
    <t>MENTOR FUNDS DISTRIBUTORS PRIVATE LIMITED</t>
  </si>
  <si>
    <t>CENTRUM WEALTH LIMITED</t>
  </si>
  <si>
    <t>RWC FINANCIAL SERVICES PRIVATE LIMITED</t>
  </si>
  <si>
    <t>CEREBRAL INVESTMENTS &amp; FIDUCIARY SERVICES</t>
  </si>
  <si>
    <t>Bodevision Investor Services Private Limited</t>
  </si>
  <si>
    <t>WMG WEALTH PRIVATE LIMITED</t>
  </si>
  <si>
    <t>VALUE ETHICS PRIVATE LIMITED</t>
  </si>
  <si>
    <t>MFA CAPITAL PRIVATE LIMITED</t>
  </si>
  <si>
    <t>UTKARSH MUTUAL FUND DISTRIBUTORS</t>
  </si>
  <si>
    <t>FUNDVALIZ LLP</t>
  </si>
  <si>
    <t>Tiruvaipati Kesava Prasad</t>
  </si>
  <si>
    <t>HEXAGON MUTUAL FUND DISTRIBUTORS</t>
  </si>
  <si>
    <t>Rashmi Rajendra Pachare</t>
  </si>
  <si>
    <t>ULTIMATE WEALTH PRIVATE LIMITED</t>
  </si>
  <si>
    <t>AU MUTUALS FINANCIAL SERVICES PRIVATE LIMITED</t>
  </si>
  <si>
    <t>Minesh R Dalal</t>
  </si>
  <si>
    <t>WEALTHAPP DISTRIBUTORS PRIVATE LIMITED</t>
  </si>
  <si>
    <t>TCM FINANCIAL SERVICES PRIVATE LIMITED</t>
  </si>
  <si>
    <t>AADI WEALTH MF SERVICES PRIVATE LIMITED</t>
  </si>
  <si>
    <t>BIG BULL CAPITAL SERVICES PRIVATE LIMITED</t>
  </si>
  <si>
    <t>AUREUS WEALTH LLP</t>
  </si>
  <si>
    <t>ENRICHWISE FINANCIAL SERVICES PRIVATE LIMITED</t>
  </si>
  <si>
    <t>SIMPLICITY INVESTING INDIA PRIVATE LIMITED</t>
  </si>
  <si>
    <t>R Ganesh</t>
  </si>
  <si>
    <t>Harishchandra Jayram Pandya</t>
  </si>
  <si>
    <t>IIFL Wealth Capital Markets Limited</t>
  </si>
  <si>
    <t>Mihirkumar Vijaybhai Kaji</t>
  </si>
  <si>
    <t>Sandeep Garg</t>
  </si>
  <si>
    <t>SWS FINANCIAL SOLUTIONS PVT LTD</t>
  </si>
  <si>
    <t>i2 Finserv</t>
  </si>
  <si>
    <t>LOTUSMINT WEALTH PRIVATE LIMITED</t>
  </si>
  <si>
    <t>Manishaben A Patel</t>
  </si>
  <si>
    <t>Jignesh Rajeshbhai Madhwani</t>
  </si>
  <si>
    <t>Ketki Jignesh Shah</t>
  </si>
  <si>
    <t>UNIVERSAL MF</t>
  </si>
  <si>
    <t>BANCONUS FINSERV PRIVATE LIMITED</t>
  </si>
  <si>
    <t>SQUIRREL ENTERPRISES PRIVATE LIMITED</t>
  </si>
  <si>
    <t>Niraj Bhimsi Nisar</t>
  </si>
  <si>
    <t>ORANGE RISE PRIVATE LTD</t>
  </si>
  <si>
    <t>OPULENCE WEALTH PRIVATE LIMITED</t>
  </si>
  <si>
    <t>INTEGRA WEALTH LLP</t>
  </si>
  <si>
    <t>6TH SENSE</t>
  </si>
  <si>
    <t>BELLWETHER ASSOCIATES LLP</t>
  </si>
  <si>
    <t>FINNOVATORS SERVICES PRIVATE LIMITED</t>
  </si>
  <si>
    <t>3I WEALTH LLP</t>
  </si>
  <si>
    <t>IMMENSUS WEALTH LLP</t>
  </si>
  <si>
    <t>IMPERIAL VALUE SERVICES PRIVATE LIMITED</t>
  </si>
  <si>
    <t>ACE MF Distributors</t>
  </si>
  <si>
    <t>Nutan Lancelot Dcunha</t>
  </si>
  <si>
    <t>CRYSTAL VISION INSIGHTS PRIVATE LIMITED</t>
  </si>
  <si>
    <t>MARFATIA ASSOCIATES</t>
  </si>
  <si>
    <t>PURPLEPOND FINANCIAL PRODUCTS DISTRIBUTORS PRIVATE LIMITED</t>
  </si>
  <si>
    <t>R Hariharan</t>
  </si>
  <si>
    <t>RVN MANAGEMENT</t>
  </si>
  <si>
    <t>SPECTRUM WEALTH</t>
  </si>
  <si>
    <t>Yatish Financial Services</t>
  </si>
  <si>
    <t>IMPERIAL WEALTH</t>
  </si>
  <si>
    <t>AR DIGITAL WEALTH PRIVATE LIMITED</t>
  </si>
  <si>
    <t>COMPASS</t>
  </si>
  <si>
    <t>PRAMESH WEALTH PRIVATE LIMITED</t>
  </si>
  <si>
    <t>Swati Kumari Sinha</t>
  </si>
  <si>
    <t>NAGDEV ASSOCIATES LLP</t>
  </si>
  <si>
    <t>PMPK WEALTH PRIVATE LIMITED</t>
  </si>
  <si>
    <t>PW FINANCIAL SERVICES PRIVATE LIMITED</t>
  </si>
  <si>
    <t>COMPLETE CIRCLE CAPITAL PRIVATE LIMITED</t>
  </si>
  <si>
    <t>VETE ASSOCIATES MFD PRIVATE LIMITED</t>
  </si>
  <si>
    <t>ACORN GENERAL PARTNERS PRIVATE LIMITED</t>
  </si>
  <si>
    <t>COUNTON ACE PRIVATE LIMITED</t>
  </si>
  <si>
    <t>NRP CAPITALS</t>
  </si>
  <si>
    <t>HUM FAUJI FINANCIAL SERVICES PRIVATE LIMITED</t>
  </si>
  <si>
    <t>ARMSTRONG CAPITAL AND FINANCIAL SERVICES PRIVATE LIMITED</t>
  </si>
  <si>
    <t>WINRICH PROFESSIONAL SERVICES PRIVATE LIMITED</t>
  </si>
  <si>
    <t>SHUBBAAN INVESTMENTS PRIVATE LIMITED</t>
  </si>
  <si>
    <t>PARAM INVESTMENTS MF SERVICES LLP</t>
  </si>
  <si>
    <t>GAINING GROUND INVESTMENT SERVICES PVT LTD</t>
  </si>
  <si>
    <t>MFA WEALTH PRIVATE LIMITED</t>
  </si>
  <si>
    <t>ALPHABET INVESTMENT</t>
  </si>
  <si>
    <t>CITRINE FINANCIAL SERVICES LLP</t>
  </si>
  <si>
    <t>PROFOUND FINANCIAL SERVICES</t>
  </si>
  <si>
    <t>Financial Mart</t>
  </si>
  <si>
    <t>THREE CUBE MUTUAL FUND DISTRIBUTORS LLP</t>
  </si>
  <si>
    <t>SHALIBHADRA MUTUAL FUND DISTRIBUTORS LLP</t>
  </si>
  <si>
    <t>PUROHIT ASSOCIATES LLP</t>
  </si>
  <si>
    <t>NVM CAPITAL PRIVATE LIMITED</t>
  </si>
  <si>
    <t>FINOWLISH PRIVATE LIMITED</t>
  </si>
  <si>
    <t>RM ASSET CART LLP</t>
  </si>
  <si>
    <t>VALUEX WEALTH CONNECT LLP</t>
  </si>
  <si>
    <t>Sonali Maheshwari</t>
  </si>
  <si>
    <t>SLA FINSERV PRIVATE LIMITED</t>
  </si>
  <si>
    <t>NIRMAL BANG NIVESHALAYA PRIVATE LIMITED</t>
  </si>
  <si>
    <t>ANAND RATHI WEALTH LIMITED</t>
  </si>
  <si>
    <t>3Q FINANCIAL SERVICES LLP</t>
  </si>
  <si>
    <t>OMNIWEALTH LLP</t>
  </si>
  <si>
    <t>CRESCAT FINSERV LLP</t>
  </si>
  <si>
    <t>VINTRUST FINPRO DISTRIBUTORS LLP</t>
  </si>
  <si>
    <t>Jerry John Kadampatt</t>
  </si>
  <si>
    <t>FINFIRST FINANCIAL SERVICES PRIVATE LIMITED</t>
  </si>
  <si>
    <t>QUANTUM LEAP INVESTMENTS</t>
  </si>
  <si>
    <t>RIJHWAANI ASSOCIATES LLP</t>
  </si>
  <si>
    <t>FINCART FINVEST PRIVATE LIMITED</t>
  </si>
  <si>
    <t>GERMINATE INVESTOR SERVICES LLP</t>
  </si>
  <si>
    <t>DSFS WEALTH LLP</t>
  </si>
  <si>
    <t>MONEYGAIN FINANCIAL SERVICES PRIVATE LIMITED</t>
  </si>
  <si>
    <t>VALUEPLUS TECHNOLOGIES PRIVATE LIMITED</t>
  </si>
  <si>
    <t>Pivotal Enterprises Private Limited</t>
  </si>
  <si>
    <t>PROVIDENTIAL PLATFORMS PRIVATE LIMITED</t>
  </si>
  <si>
    <t>TULSYAN BROTHERS VISION PRIVATE LIMITED</t>
  </si>
  <si>
    <t>EQUITAS SMALL FINANCE BANK LIMITED</t>
  </si>
  <si>
    <t>SARTH WEALTH PRIVATE LIMITED</t>
  </si>
  <si>
    <t>GANADEESHA SERVICES PRIVATE LIMITED</t>
  </si>
  <si>
    <t>NARENDRA UDYOG PRIVATE LIMITED</t>
  </si>
  <si>
    <t>SAMCO SECURITIES LIMITED</t>
  </si>
  <si>
    <t>PROAFFLUENCE ASSOCIATES PRIVATE LIMITED</t>
  </si>
  <si>
    <t>K P Venkatarama Krishnan</t>
  </si>
  <si>
    <t>Vishal Shyamsunder Goenka</t>
  </si>
  <si>
    <t>P H FINSERV PRIVATE LIMITED</t>
  </si>
  <si>
    <t>WALLET FINSERVE PRIVATE LIMITED</t>
  </si>
  <si>
    <t>SMART WEALTH FINANCIAL SERVICES LLP</t>
  </si>
  <si>
    <t>QWIK SUPPLY CHAIN PRIVATE LIMITED</t>
  </si>
  <si>
    <t>BLUEANT FINSERV PRIVATE LIMITED</t>
  </si>
  <si>
    <t>FINOMATIC FINTECH SERVICES PRIVATE LIMITED</t>
  </si>
  <si>
    <t>Sudha Venkatesh</t>
  </si>
  <si>
    <t>Aggregate Asset Associates</t>
  </si>
  <si>
    <t>OAKTREE CAPITAL LLP</t>
  </si>
  <si>
    <t>TRUFID SERVICES PRIVATE LIMITED</t>
  </si>
  <si>
    <t>FWCA LLP</t>
  </si>
  <si>
    <t>MONEYPLUS FINANCIAL AND INVESTMENT SERVICES LLP</t>
  </si>
  <si>
    <t>VALIDUS WEALTH PRIVATE LIMITED</t>
  </si>
  <si>
    <t>MARWAHA SERVICES PRIVATE LIMITED</t>
  </si>
  <si>
    <t>RPA CAPITAL PRIVATE LIMITED</t>
  </si>
  <si>
    <t>SSS DISTRIBUTORS PRIVATE LIMITED</t>
  </si>
  <si>
    <t>MUDRA ASSET SERVICES PRIVATE LIMITED</t>
  </si>
  <si>
    <t>SIRF INVESTMENT PRIVATE LIMITED</t>
  </si>
  <si>
    <t>LIVRICH FINMART</t>
  </si>
  <si>
    <t>FINFREEDOM33 LLP</t>
  </si>
  <si>
    <t>Y S CAPITAL</t>
  </si>
  <si>
    <t>KINNTEGRA WEALTH PRIVATE LIMITED</t>
  </si>
  <si>
    <t>Latika Dey</t>
  </si>
  <si>
    <t>SIXTH ELEMENT CAPITAL</t>
  </si>
  <si>
    <t>RKS WEALTH INDIA PRIVATE LIMITED</t>
  </si>
  <si>
    <t>GERA WEALTH PRIVATE LIMITED</t>
  </si>
  <si>
    <t>DHRUBTARA FINMART PRIVATE LIMITED</t>
  </si>
  <si>
    <t>UVA WEALTH PRIVATE LIMITED</t>
  </si>
  <si>
    <t>DEGREE 212 INVESTMENT SERVICES &amp; IMF PRIVATE LIMITED</t>
  </si>
  <si>
    <t>J2 WEALTH AND INVESTMENTS</t>
  </si>
  <si>
    <t>OM SPECTRUM FINANCIAL SERRVICES</t>
  </si>
  <si>
    <t>PXG WEALTH PRIVATE LIMITED</t>
  </si>
  <si>
    <t>TOP GEAR FINANCIAL SERVICES</t>
  </si>
  <si>
    <t>RELIANCE INDUSTRIES HOLDING PRIVATE LIMITED</t>
  </si>
  <si>
    <t>AMONA BEAUCOUP SERVICES LLP</t>
  </si>
  <si>
    <t>Hardev Singh Saini</t>
  </si>
  <si>
    <t>OCEAN FINVEST</t>
  </si>
  <si>
    <t>ZFUNDS DISTRIBUTION PRIVATE LIMITED</t>
  </si>
  <si>
    <t>SUJASH ASSOCIATES LLP</t>
  </si>
  <si>
    <t>KHP INVESTMENT</t>
  </si>
  <si>
    <t>PINE WEALTH PRIVATE LIMITED</t>
  </si>
  <si>
    <t>SETH CAPITAL</t>
  </si>
  <si>
    <t>CG ASSOCIATES LLP</t>
  </si>
  <si>
    <t>SYMPHONIA WEALTH PRIVATE LIMITED</t>
  </si>
  <si>
    <t>REDEFINE WEALTH FINANCIAL SERVICES LLP</t>
  </si>
  <si>
    <t>RENAISSANCE FINANCIAL SERVICES PRIVATE LIMITED</t>
  </si>
  <si>
    <t>R PATEL WEALTH</t>
  </si>
  <si>
    <t>JAI AMBE LOGISTICS PVT LTD</t>
  </si>
  <si>
    <t>INCRED WEALTH PRIVATE LIMITED</t>
  </si>
  <si>
    <t>Nita Rajesh Dhruva</t>
  </si>
  <si>
    <t>PRANITYA WEALTH LLP</t>
  </si>
  <si>
    <t>RAAS</t>
  </si>
  <si>
    <t>AMRITKAR SERVICES LLP</t>
  </si>
  <si>
    <t>PWS ENTERPRISE LLP</t>
  </si>
  <si>
    <t>Simran Kewalramani</t>
  </si>
  <si>
    <t>CRESCENT MUTUAL FUND DISTRIBUTORS PRIVATE LIMITED</t>
  </si>
  <si>
    <t>PRIVADO CAPITAL VENTURES LLP</t>
  </si>
  <si>
    <t>HAPPY INVESTOR FINSERV LLP</t>
  </si>
  <si>
    <t>OD91293</t>
  </si>
  <si>
    <t xml:space="preserve">Total Commission paid during 
FY 2021-22
</t>
  </si>
  <si>
    <t>Total Expenses paid during 
FY 2021-22</t>
  </si>
  <si>
    <t>Total Commission + Expenses paid during FY 2021-22</t>
  </si>
  <si>
    <t>Averge Assets under Management for FY 2021-22</t>
  </si>
  <si>
    <t>AUM as on 
31-Mar-2022</t>
  </si>
  <si>
    <t>Rayomand Kaikhushru Madan</t>
  </si>
  <si>
    <t>Amit Dinesh Shah</t>
  </si>
  <si>
    <t>Daulat A Phene</t>
  </si>
  <si>
    <t>Jayant Vrajlal Mehta</t>
  </si>
  <si>
    <t>Siddharam Gurusiddappa Kolkur</t>
  </si>
  <si>
    <t>Harji Arjan Madhaparia</t>
  </si>
  <si>
    <t>Aashwiin Rasiklal Shah</t>
  </si>
  <si>
    <t>Pawan Kumar Agrawal</t>
  </si>
  <si>
    <t>IDBI Capital Markets &amp; Securities Limited</t>
  </si>
  <si>
    <t>SS INDIA SAVINGS PRIVATE LIMITED</t>
  </si>
  <si>
    <t>Sanjay Siroliya</t>
  </si>
  <si>
    <t>CD Equisearch Private Limited</t>
  </si>
  <si>
    <t>Aravindakshan K M</t>
  </si>
  <si>
    <t>Sanjay Shantaram Nade</t>
  </si>
  <si>
    <t>Navdeep Singh Bakshi</t>
  </si>
  <si>
    <t>Goldstar Financial Services Private Limited</t>
  </si>
  <si>
    <t>Vinod Kumar Anand</t>
  </si>
  <si>
    <t>Kumaraswamy C.V</t>
  </si>
  <si>
    <t>Uddhav Krishnarao Tulshibagwale</t>
  </si>
  <si>
    <t>Chandravadan Pyarelal Shah</t>
  </si>
  <si>
    <t>Chanchal Jain</t>
  </si>
  <si>
    <t>Anurag Kumar Singhal</t>
  </si>
  <si>
    <t>Chirag Suresh Shah</t>
  </si>
  <si>
    <t>Ajay Malhotra</t>
  </si>
  <si>
    <t>Bharat Bhushan And Co</t>
  </si>
  <si>
    <t>KAJ FINCARE LLP</t>
  </si>
  <si>
    <t>Sunanda Shriram Naik</t>
  </si>
  <si>
    <t>Renu Gupta</t>
  </si>
  <si>
    <t>PRUDENT INVESTMENTS</t>
  </si>
  <si>
    <t>Vishal Kumar Narang</t>
  </si>
  <si>
    <t>Sonia Narang</t>
  </si>
  <si>
    <t>Vijay Kumar Jain</t>
  </si>
  <si>
    <t>Anita Sipani</t>
  </si>
  <si>
    <t>Sangam Investments</t>
  </si>
  <si>
    <t>Ashutosh Sood</t>
  </si>
  <si>
    <t>Priyanka Marwaha</t>
  </si>
  <si>
    <t>Common Wealth</t>
  </si>
  <si>
    <t>Plexus Management Services</t>
  </si>
  <si>
    <t>Ajay Kumar Sipani</t>
  </si>
  <si>
    <t>Vivek Kumar</t>
  </si>
  <si>
    <t>KFIC Securities Ltd</t>
  </si>
  <si>
    <t>NARNOLIA FINANCIAL SERVICES LIMITED</t>
  </si>
  <si>
    <t>Haresh Bhawan Chatwani</t>
  </si>
  <si>
    <t>THINK FINANCIAL INTERMEDIARY SERVICES PVT LTD</t>
  </si>
  <si>
    <t>Shilpa Associates</t>
  </si>
  <si>
    <t>Amit Jasani Financial Services Pvt Ltd</t>
  </si>
  <si>
    <t>Prime Gold Securities</t>
  </si>
  <si>
    <t>Dhaval Mahendra Desai</t>
  </si>
  <si>
    <t>Rajiv Bose</t>
  </si>
  <si>
    <t>Goverdhan Lal Jhanwar</t>
  </si>
  <si>
    <t>WC SECURITIES PRIVATE LIMITED</t>
  </si>
  <si>
    <t>Mittal Investment And Company</t>
  </si>
  <si>
    <t>Kashi Devi Singh</t>
  </si>
  <si>
    <t>Alagappan T</t>
  </si>
  <si>
    <t>Ram Chandra Prasad</t>
  </si>
  <si>
    <t>Ram M. Kasabe</t>
  </si>
  <si>
    <t>HOLISTIC FINANCIAL SERVICES PRIVATE LIMITED</t>
  </si>
  <si>
    <t>Sangeeta Satnalika</t>
  </si>
  <si>
    <t>Vikram S.Bagadthey</t>
  </si>
  <si>
    <t>Walter Cyril Pinto</t>
  </si>
  <si>
    <t>Nisha Jain</t>
  </si>
  <si>
    <t>Prasanna Kumar Routaray</t>
  </si>
  <si>
    <t>Renuka Jain</t>
  </si>
  <si>
    <t>Ashu Jain</t>
  </si>
  <si>
    <t>BOAL FINANCIAL PRIVATE LIMITED</t>
  </si>
  <si>
    <t>Sushil Kumar Dhanania</t>
  </si>
  <si>
    <t>Pattamadai V.Subramanyam</t>
  </si>
  <si>
    <t>Anish Gupta</t>
  </si>
  <si>
    <t>Sandeep Bhuteria</t>
  </si>
  <si>
    <t>Joseph Elias Menezes</t>
  </si>
  <si>
    <t>Deepa Manoj Adalja</t>
  </si>
  <si>
    <t>Prabal Biswas</t>
  </si>
  <si>
    <t>Silverstone Shares And Securities Pvt. Ltd</t>
  </si>
  <si>
    <t>Santosh H Gandhi</t>
  </si>
  <si>
    <t>Akshay Kumar Lala</t>
  </si>
  <si>
    <t>Pradeep Balkrishna Savant</t>
  </si>
  <si>
    <t>Kanhaiya Lal Dixit</t>
  </si>
  <si>
    <t>Mandar Padmakar Bhanage</t>
  </si>
  <si>
    <t>Shital Sharad Shah</t>
  </si>
  <si>
    <t>Navneet Kumar 1</t>
  </si>
  <si>
    <t>Nisreen Zoher Mamaji</t>
  </si>
  <si>
    <t>KUKKU CAPITAL PRIVATE LTD</t>
  </si>
  <si>
    <t>M.K.Sumithra</t>
  </si>
  <si>
    <t>Pradeep Balkrishna Landge</t>
  </si>
  <si>
    <t>Anil Kumar Jhanwar</t>
  </si>
  <si>
    <t>Santwana Nandi</t>
  </si>
  <si>
    <t>Zakirhusen M.Kapasi</t>
  </si>
  <si>
    <t>Prem Sukh Mundra</t>
  </si>
  <si>
    <t>Saroj Singh</t>
  </si>
  <si>
    <t>Anju Pahwa</t>
  </si>
  <si>
    <t>Pankaj Sidana</t>
  </si>
  <si>
    <t>Archana Santosh Gandhi</t>
  </si>
  <si>
    <t>Satyam Investments</t>
  </si>
  <si>
    <t>S Babu Arunachalam</t>
  </si>
  <si>
    <t>Sandeep S K Ghanekar</t>
  </si>
  <si>
    <t>Vasundhara Mercantiles Pvt. Ltd.</t>
  </si>
  <si>
    <t>Monica Chadda</t>
  </si>
  <si>
    <t>ARYA CHANAKYA INVESTMENT SERVICES PRIVATE LIMITED</t>
  </si>
  <si>
    <t>Chintan Champak Joshi</t>
  </si>
  <si>
    <t>Riyaz Chaturali Wadiwala</t>
  </si>
  <si>
    <t>Keshavi S. Velani</t>
  </si>
  <si>
    <t>Ganesan Muralidharan</t>
  </si>
  <si>
    <t>Ramesh Chander Anand</t>
  </si>
  <si>
    <t>RAINBOW ASSOCIATES</t>
  </si>
  <si>
    <t>Subham Capital</t>
  </si>
  <si>
    <t>K Chandramouli</t>
  </si>
  <si>
    <t>AD Investments</t>
  </si>
  <si>
    <t>Biplab Kumar Ghosh</t>
  </si>
  <si>
    <t>Ram Kishore Jha</t>
  </si>
  <si>
    <t>Sharad Gupta</t>
  </si>
  <si>
    <t>Amit Kumar Goyal</t>
  </si>
  <si>
    <t>ALLEGRO SECURITIES PRIVATE LIMITED</t>
  </si>
  <si>
    <t>Pranay Girish Vakil</t>
  </si>
  <si>
    <t>Mithun Mahesh Desai</t>
  </si>
  <si>
    <t>Jaya Bhatia</t>
  </si>
  <si>
    <t>Ajay Singhania</t>
  </si>
  <si>
    <t>Neeraj Anil Wagh</t>
  </si>
  <si>
    <t>Amit Bhupendra Thakker</t>
  </si>
  <si>
    <t>Invest Search</t>
  </si>
  <si>
    <t>Dhanalakshmi Securities</t>
  </si>
  <si>
    <t>MEGHMALHAR FINANCIAL SERVICES PVT LTD</t>
  </si>
  <si>
    <t>Indian Bank</t>
  </si>
  <si>
    <t>Alok Agrawal</t>
  </si>
  <si>
    <t>Sanjay Jagdish Relekar</t>
  </si>
  <si>
    <t>RAVINDRAN ENTERPRISES LLP</t>
  </si>
  <si>
    <t>TRANSCEND CAPITAL (INDIA) PRIVATE LIMITED</t>
  </si>
  <si>
    <t>Vinayak Shrirang Kulkarni</t>
  </si>
  <si>
    <t>Rachit S Parikh</t>
  </si>
  <si>
    <t>Amit C Sheth</t>
  </si>
  <si>
    <t>VP Exim Ltd</t>
  </si>
  <si>
    <t>Suresh Rathi Securities Pvt. Ltd.</t>
  </si>
  <si>
    <t>Santosh Suresh Bumb</t>
  </si>
  <si>
    <t>Sanjay Gupta</t>
  </si>
  <si>
    <t>Ajit Kumar</t>
  </si>
  <si>
    <t>SIP Financial Services</t>
  </si>
  <si>
    <t>Jubin Anilbhai Shah</t>
  </si>
  <si>
    <t>Rajesh Ramgopal Chitlange</t>
  </si>
  <si>
    <t>CAPITAL FINANCIAL DISTRIBUTORS</t>
  </si>
  <si>
    <t>ARTHASHASTRA FINSEC PROVIDERS PRIVATE LIMITED</t>
  </si>
  <si>
    <t>Kavita</t>
  </si>
  <si>
    <t>Trade Net Wealth Broking Pvt Ltd</t>
  </si>
  <si>
    <t>Rajiv Kumar Gupta..</t>
  </si>
  <si>
    <t>Ajay Shashikant Kale</t>
  </si>
  <si>
    <t>Pooja Aggarwal</t>
  </si>
  <si>
    <t>Nilesh Ranjan</t>
  </si>
  <si>
    <t>Nilesh Kashinath Mahajan</t>
  </si>
  <si>
    <t>Vivek Raghunath Mulay</t>
  </si>
  <si>
    <t>Biswarup Roy</t>
  </si>
  <si>
    <t>Roongta Securities Pvt. Ltd.</t>
  </si>
  <si>
    <t>Manan Mankad</t>
  </si>
  <si>
    <t>Direct Investments</t>
  </si>
  <si>
    <t>Bhavadasan V K</t>
  </si>
  <si>
    <t>Shishir A Doshi</t>
  </si>
  <si>
    <t>V Manohar Lall</t>
  </si>
  <si>
    <t>Ashwani Tiwari</t>
  </si>
  <si>
    <t>R H Kothari</t>
  </si>
  <si>
    <t>Hira Motwani</t>
  </si>
  <si>
    <t>Anita Datta Kanbargi</t>
  </si>
  <si>
    <t>Viral Jigish Mehta</t>
  </si>
  <si>
    <t>Raghunandan Ashok Beharay</t>
  </si>
  <si>
    <t>Atul Rameshwar Rathi</t>
  </si>
  <si>
    <t>Manjunatha K N</t>
  </si>
  <si>
    <t>Next Portfolio</t>
  </si>
  <si>
    <t>Amal Kumar Giri</t>
  </si>
  <si>
    <t>Mayank Shah</t>
  </si>
  <si>
    <t>Jimson David C</t>
  </si>
  <si>
    <t>Amit Narendra Chandak</t>
  </si>
  <si>
    <t>My Investments</t>
  </si>
  <si>
    <t>Pratik Arvindbhai Shah</t>
  </si>
  <si>
    <t>Ramesh Murgeppa Barli</t>
  </si>
  <si>
    <t>Tarun Kumar</t>
  </si>
  <si>
    <t>Raghupathi Venkatasubbaiah Kikre</t>
  </si>
  <si>
    <t>Rekha M Gabhawala</t>
  </si>
  <si>
    <t>CRESCORE FINANCIAL SERVICES PRIVATE LTD</t>
  </si>
  <si>
    <t>Ashish N Shah</t>
  </si>
  <si>
    <t>Chetan Bharat Upadhyay</t>
  </si>
  <si>
    <t>Alpesh F Patel</t>
  </si>
  <si>
    <t>Arun Purushottam Patel</t>
  </si>
  <si>
    <t>R Kannan</t>
  </si>
  <si>
    <t>Vriksha Investments Private Limited</t>
  </si>
  <si>
    <t>Continuum Financial Services Private Limited</t>
  </si>
  <si>
    <t>IMPETUS ARTHASUTRA PRIVATE LIMITED</t>
  </si>
  <si>
    <t>LEMON FUNDZ LLP</t>
  </si>
  <si>
    <t>Geetanjali Jain</t>
  </si>
  <si>
    <t>Utpal Maulik</t>
  </si>
  <si>
    <t>S Govinda Raju</t>
  </si>
  <si>
    <t>Divakar Joshi</t>
  </si>
  <si>
    <t>Shreeprakash</t>
  </si>
  <si>
    <t>Sandeep S Borse</t>
  </si>
  <si>
    <t>Sangeeta Malhotra</t>
  </si>
  <si>
    <t>Rajeev Bharti</t>
  </si>
  <si>
    <t>Vr Aiyappan</t>
  </si>
  <si>
    <t>Nalini Kanta Dhar</t>
  </si>
  <si>
    <t>Rupesh Kamalkumar Jain</t>
  </si>
  <si>
    <t>Sushil Moondra</t>
  </si>
  <si>
    <t>Vivek Mahajan 1</t>
  </si>
  <si>
    <t>Harsh Mahajan</t>
  </si>
  <si>
    <t>Sanjay Sampatlal Gandhi</t>
  </si>
  <si>
    <t>Avdhesh Garg</t>
  </si>
  <si>
    <t>Golkunda Commercial Private Limited</t>
  </si>
  <si>
    <t>HDFC Sales Private Limited</t>
  </si>
  <si>
    <t>Vipul Gupta</t>
  </si>
  <si>
    <t>Jainam Broking Limited</t>
  </si>
  <si>
    <t>Aleshi</t>
  </si>
  <si>
    <t>Batra Jasmeet Kirpalsingh</t>
  </si>
  <si>
    <t>Ashish Mittal.</t>
  </si>
  <si>
    <t>N Pundari Kakshudu</t>
  </si>
  <si>
    <t>Vijay Rajaram Dinkar</t>
  </si>
  <si>
    <t>Rajasekhara Prasad Jyothish</t>
  </si>
  <si>
    <t>Raja Ram Sahu</t>
  </si>
  <si>
    <t>Maya Gupta</t>
  </si>
  <si>
    <t>Vinay Kumar Goel</t>
  </si>
  <si>
    <t>Om Sanchay Insurance Agency</t>
  </si>
  <si>
    <t>Harsha Nandlal Parekh</t>
  </si>
  <si>
    <t>Swaraj Shares &amp; Securities Private Limited</t>
  </si>
  <si>
    <t>Bhushan Dinkar Mahajan</t>
  </si>
  <si>
    <t>C Ravikumar</t>
  </si>
  <si>
    <t>Padam Fininv Services Private Limited</t>
  </si>
  <si>
    <t>SAPTHAGIRI FINXSOFTWARE PRIVATE LTD</t>
  </si>
  <si>
    <t>Viral Arvindbhai Shah</t>
  </si>
  <si>
    <t>WAY TO GAIN PRIVATE LIMITED</t>
  </si>
  <si>
    <t>Mohanlal Jangir</t>
  </si>
  <si>
    <t>7 To 7 Insta Services Center Private Limited</t>
  </si>
  <si>
    <t>V Serve Management Private Limited</t>
  </si>
  <si>
    <t>Ajmera Investor</t>
  </si>
  <si>
    <t>Nikhil Jain</t>
  </si>
  <si>
    <t>MEGRIAR ASSOCIATES PRIVATE LIMITED</t>
  </si>
  <si>
    <t>Calibre Investments</t>
  </si>
  <si>
    <t>Harshvardhan B Sekhsaria</t>
  </si>
  <si>
    <t>Sandeep Shanbhag</t>
  </si>
  <si>
    <t>Pradeep Financial Services</t>
  </si>
  <si>
    <t>MILESTONE FINANCIAL DISTRIBUTION PRIVATE LIMITED</t>
  </si>
  <si>
    <t>SHILPI FINANCIAL SERVICEZ</t>
  </si>
  <si>
    <t>Arvind Mahale</t>
  </si>
  <si>
    <t>Pinakini Share &amp; Stock Brokers Ltd</t>
  </si>
  <si>
    <t>TOTAL SERVICES SHRI KALINDI</t>
  </si>
  <si>
    <t>Sweta Singhania</t>
  </si>
  <si>
    <t>'MY OWN' ARMFD</t>
  </si>
  <si>
    <t>KVC Financial Services Pvt Ltd</t>
  </si>
  <si>
    <t>Deepti Sethi</t>
  </si>
  <si>
    <t>Sujit Nag</t>
  </si>
  <si>
    <t>Foresight Inad</t>
  </si>
  <si>
    <t>Bhakti Mehta Vakil</t>
  </si>
  <si>
    <t>INVESTWISE</t>
  </si>
  <si>
    <t>Rakesh Garg</t>
  </si>
  <si>
    <t>Ankur Bhargava</t>
  </si>
  <si>
    <t>Vijay Kapil</t>
  </si>
  <si>
    <t>Parul Agarwal</t>
  </si>
  <si>
    <t>Invest Partners</t>
  </si>
  <si>
    <t>Rajnish Kumar Gupta</t>
  </si>
  <si>
    <t>Tapas Kumar Dey</t>
  </si>
  <si>
    <t>Vijay Kumar Garg</t>
  </si>
  <si>
    <t>Suba Shares</t>
  </si>
  <si>
    <t>Dhaval S Shah</t>
  </si>
  <si>
    <t>NSN Financial Services Pvt Ltd</t>
  </si>
  <si>
    <t>KAPIL KHURANA FINANCIAL VENTURES PRIVATE LIMITED</t>
  </si>
  <si>
    <t>Neela Mehul Adalja</t>
  </si>
  <si>
    <t>VITHADWAITHA FINANCIAL SERVICES PRIVATE LIMITED</t>
  </si>
  <si>
    <t>Md Jarzis Hossain</t>
  </si>
  <si>
    <t>Deepak Goyal</t>
  </si>
  <si>
    <t>NKGSB Co-op Bank Ltd</t>
  </si>
  <si>
    <t>Jimit Ajit Shah</t>
  </si>
  <si>
    <t>Gautam Singhania</t>
  </si>
  <si>
    <t>Ashish Srivastava</t>
  </si>
  <si>
    <t>MF BAZAAR</t>
  </si>
  <si>
    <t>TJSB Sahakari Bank Ltd</t>
  </si>
  <si>
    <t>Nirav Panchmatia</t>
  </si>
  <si>
    <t>Maurya Securities Pvt Ltd</t>
  </si>
  <si>
    <t>Rajesh Kumar</t>
  </si>
  <si>
    <t>T Mahender Reddy</t>
  </si>
  <si>
    <t>Ashis Podder</t>
  </si>
  <si>
    <t>Bihag I Parikh</t>
  </si>
  <si>
    <t>Ashish Agarwal 1</t>
  </si>
  <si>
    <t>Kaushal Kumar Patel</t>
  </si>
  <si>
    <t>Tapash Kumar Gupta</t>
  </si>
  <si>
    <t>Dara Maneksha Mistry</t>
  </si>
  <si>
    <t>Tejas Bharatkumar Shah</t>
  </si>
  <si>
    <t>WELT FINSERV PRIVATE LIMITED</t>
  </si>
  <si>
    <t>Mars Millennium Financial Services Private Limited</t>
  </si>
  <si>
    <t>SHREE SAIRAM INVESTMART PRIVATE LIMITED</t>
  </si>
  <si>
    <t>Saroj Kumar</t>
  </si>
  <si>
    <t>Hemant Murlidhar Kanbhat</t>
  </si>
  <si>
    <t>A D NAIK WEALTH PRIVATE LIMITED</t>
  </si>
  <si>
    <t>Yogesh Motilal Jaiswal</t>
  </si>
  <si>
    <t>Ascend Financial INC</t>
  </si>
  <si>
    <t>Capricorne Mindframe</t>
  </si>
  <si>
    <t>Chhattisgarh Rajya Gramin Bank</t>
  </si>
  <si>
    <t>Clifford L Dsouza</t>
  </si>
  <si>
    <t>Aarti Haren Mehta</t>
  </si>
  <si>
    <t>Chetan Mohanlal Mutha</t>
  </si>
  <si>
    <t>RAM FINANCIAL WELLNESS PRIVATE LIMITED</t>
  </si>
  <si>
    <t>Rohin Gupta</t>
  </si>
  <si>
    <t>ANGEL ONE LIMITED</t>
  </si>
  <si>
    <t>Way2wealth Brokers Pvt Ltd</t>
  </si>
  <si>
    <t>BLACKPEARL MONEY</t>
  </si>
  <si>
    <t>V B Associates</t>
  </si>
  <si>
    <t>ELDERBERRY FINSERVE PRIVATE LIMITED</t>
  </si>
  <si>
    <t>CHOICE WEALTH PRIVATE LIMITED</t>
  </si>
  <si>
    <t>MITTAL SECURITIES</t>
  </si>
  <si>
    <t>Rishi Gupta</t>
  </si>
  <si>
    <t>Vinay Gupta</t>
  </si>
  <si>
    <t>TRANSCEND INVESTMENT SERVICES PRIVATE LIMITED</t>
  </si>
  <si>
    <t>Bhavin Modi</t>
  </si>
  <si>
    <t>AJ WISE INVESTMENT PRIVATE LIMITED</t>
  </si>
  <si>
    <t>Dheeraj Gupta</t>
  </si>
  <si>
    <t>TrustPlutus Wealth (India) Pvt Ltd</t>
  </si>
  <si>
    <t>Mani Matters</t>
  </si>
  <si>
    <t>VALUERAJ ASSOCIATES PRIVATE LIMITED</t>
  </si>
  <si>
    <t>Kannan Karthik</t>
  </si>
  <si>
    <t>THIRUKOCHI FINANCIAL SERVICES PRIVATE LIMITED</t>
  </si>
  <si>
    <t>Shashank Jain (HUF)</t>
  </si>
  <si>
    <t>Dhammadeep Shaligram Gajbe</t>
  </si>
  <si>
    <t>Sandesh Shenoy</t>
  </si>
  <si>
    <t>SARVODAYA MFD SERVICES PRIVATE LIMITED</t>
  </si>
  <si>
    <t>R&amp;D CAPITAL PRIVATE LTD</t>
  </si>
  <si>
    <t>Manthan Shah</t>
  </si>
  <si>
    <t>Sangeeta Thakurdas Manuja</t>
  </si>
  <si>
    <t>FERMAT PRIME ENTERPRISES PRIVATE LIMITED</t>
  </si>
  <si>
    <t>Pramanand Tiwari</t>
  </si>
  <si>
    <t>VINSAN FINANCIAL SERVICES PRIVATE LIMITED</t>
  </si>
  <si>
    <t>Vasanti Ramkrishna Gaikwad</t>
  </si>
  <si>
    <t>Veena Gupta</t>
  </si>
  <si>
    <t>Prajakt Dilip Bhandare</t>
  </si>
  <si>
    <t>Tarun Capital And Investor Services</t>
  </si>
  <si>
    <t>Percy Manchersha Mogal</t>
  </si>
  <si>
    <t>CEBR Financial Planners Pvt. Ltd.</t>
  </si>
  <si>
    <t>I CAN FINANCIAL PRIVATE LIMITED</t>
  </si>
  <si>
    <t>Shraddha Harshit Shah</t>
  </si>
  <si>
    <t>KINJAL INVESTMENT SERVICES</t>
  </si>
  <si>
    <t>IDEAL FINANCIAL DISTRIBUTION CO</t>
  </si>
  <si>
    <t>P Someswararao</t>
  </si>
  <si>
    <t>Clients First</t>
  </si>
  <si>
    <t>Sreekanth Narasimhan</t>
  </si>
  <si>
    <t>Prasad Ananatayya Karant</t>
  </si>
  <si>
    <t>BlueOcean Capital Services</t>
  </si>
  <si>
    <t>SHRI BALAJI CAPITAL</t>
  </si>
  <si>
    <t>Nilesh M Rokadia</t>
  </si>
  <si>
    <t>Kaushal Bhansali</t>
  </si>
  <si>
    <t>BLUECHIP ASSET PVT. LTD.</t>
  </si>
  <si>
    <t>Shital Shukla</t>
  </si>
  <si>
    <t>Rajan Nagpal</t>
  </si>
  <si>
    <t>MOTILAL OSWAL WEALTH LIMITED</t>
  </si>
  <si>
    <t>Mahalakshmi Enterprises</t>
  </si>
  <si>
    <t>RELIABULL FINANCIAL SERVICES PRIVATE LIMITED</t>
  </si>
  <si>
    <t>Sudha Kapoor</t>
  </si>
  <si>
    <t>FINNEETI</t>
  </si>
  <si>
    <t>R Subramanian</t>
  </si>
  <si>
    <t>ARETE CAPITAL SERVICE PRIVATE LIMITED</t>
  </si>
  <si>
    <t>Bhanumati Dhirajlal Mehta</t>
  </si>
  <si>
    <t>LEARNNGROW DISTRIBUTORS PRIVATE LIMITED</t>
  </si>
  <si>
    <t>S V Subbhuraman</t>
  </si>
  <si>
    <t>Japna Sharma</t>
  </si>
  <si>
    <t>V2U FINANCIALS</t>
  </si>
  <si>
    <t>Konfyans Private Wealth LLP</t>
  </si>
  <si>
    <t>Savin S</t>
  </si>
  <si>
    <t>Lawrence Praveen Lobo</t>
  </si>
  <si>
    <t>POLO WEALTH</t>
  </si>
  <si>
    <t>Manju Anoop</t>
  </si>
  <si>
    <t>Manjulaben Nagindas Hajariwala</t>
  </si>
  <si>
    <t>Bode Financial Services</t>
  </si>
  <si>
    <t>MONEYFROG FINANCIAL SERVICES PRIVATE LIMITED</t>
  </si>
  <si>
    <t>Patel Nimishaben M</t>
  </si>
  <si>
    <t>MUTUAL FUND EXP</t>
  </si>
  <si>
    <t>IWS FINSERV</t>
  </si>
  <si>
    <t>Sukanya Das</t>
  </si>
  <si>
    <t>Ashima Munjal</t>
  </si>
  <si>
    <t>UNIWEALTH INVESTMENT SERVICES PRIVATE LIMITED</t>
  </si>
  <si>
    <t>DAKSHIN CAPITAL PVT LTD</t>
  </si>
  <si>
    <t>NESTEGG WEALTH LLP</t>
  </si>
  <si>
    <t>LOKKURR FINVESTT PRIVATE LIMITED</t>
  </si>
  <si>
    <t>VSRK CAPITAL PRIVATE LIMITED</t>
  </si>
  <si>
    <t>Neville Mehli Poncha</t>
  </si>
  <si>
    <t>WOODPECKER FINVEST</t>
  </si>
  <si>
    <t>MONEY PLANT FINMART PVT LTD</t>
  </si>
  <si>
    <t>MANIFEST FINSERVE</t>
  </si>
  <si>
    <t>GATEWAY CAPITAL</t>
  </si>
  <si>
    <t>MAVERICK CAPITAL INVESTMENTS PRIVATE LIMITED</t>
  </si>
  <si>
    <t>ICOACH ENTERPRISES PRIVATE LIMITED</t>
  </si>
  <si>
    <t>Mani Sharma</t>
  </si>
  <si>
    <t>WNU MUTUAL FUND DISTRIBUTION SERVICES PRIVATE LIMITED</t>
  </si>
  <si>
    <t>FUTURE WEALTH</t>
  </si>
  <si>
    <t>Balkar Singh</t>
  </si>
  <si>
    <t>Jayesh Atmaram Redij</t>
  </si>
  <si>
    <t>Capital Care Investments</t>
  </si>
  <si>
    <t>MEPHEZALEA ASSET SERVICES LLP</t>
  </si>
  <si>
    <t>POSITIVE VIBES</t>
  </si>
  <si>
    <t>BNT Money</t>
  </si>
  <si>
    <t>ARNAV FINVEST</t>
  </si>
  <si>
    <t>ALMONDZ WEALTH LIMITED</t>
  </si>
  <si>
    <t>AM UNICORN PROFESSIONAL PRIVATE LIMITED</t>
  </si>
  <si>
    <t>PACE FINANCIAL INVESTMENT SERVICES LLP</t>
  </si>
  <si>
    <t>RISK AND ASSET</t>
  </si>
  <si>
    <t>SILVERLINE SERVICES</t>
  </si>
  <si>
    <t>VERITY FINSERVE PRIVATE LIMITED</t>
  </si>
  <si>
    <t>Meri Punji Imf Private Limited</t>
  </si>
  <si>
    <t>ARTHFIN</t>
  </si>
  <si>
    <t>Staywealthy Investment Services</t>
  </si>
  <si>
    <t>GLOBE SYNDICATE</t>
  </si>
  <si>
    <t>RENASCENT BIZWISE INDIA PRIVATE LIMITED</t>
  </si>
  <si>
    <t>SRI KRISHNA CAPITAL .</t>
  </si>
  <si>
    <t>DHULJI FINANCIAL SERVICES IMF PRIVATE LIMITED</t>
  </si>
  <si>
    <t>Vijay Ravindranath Javalgekar</t>
  </si>
  <si>
    <t>5Paisa Capital Limited</t>
  </si>
  <si>
    <t>TRINITAS FINANCIAL SERVICES LLP</t>
  </si>
  <si>
    <t>Rohit Singh</t>
  </si>
  <si>
    <t>SIDA SERVICES</t>
  </si>
  <si>
    <t>SANCTUM WEALTH PRIVATE LIMITED</t>
  </si>
  <si>
    <t>AUM WEALTH PVT LTD</t>
  </si>
  <si>
    <t>GROWIDE FINSERVE PRIVATE LIMITED</t>
  </si>
  <si>
    <t>AS INVESTCON</t>
  </si>
  <si>
    <t>Smita Investment Services Pvt. Ltd.</t>
  </si>
  <si>
    <t>Ankeet Jitendra Deliwala</t>
  </si>
  <si>
    <t>Sailesh Tulshan</t>
  </si>
  <si>
    <t>Pukhraj Lunkar</t>
  </si>
  <si>
    <t>AARVI DATA ANALYTICS SERVICES PRIVATE LIMITED</t>
  </si>
  <si>
    <t>Sathis Kannan P</t>
  </si>
  <si>
    <t>WealthyIN Customer Services Pvt. Ltd.</t>
  </si>
  <si>
    <t>COGNUS TECHNOLOGY</t>
  </si>
  <si>
    <t>Echo Wealth</t>
  </si>
  <si>
    <t>AUGMENT CAPITAL SERVICES LLP</t>
  </si>
  <si>
    <t>DIAZ INVEST</t>
  </si>
  <si>
    <t>OXYZENFIN PRIVATE LIMITED</t>
  </si>
  <si>
    <t>ALLEGIANCE FINMAVENS PVT LTD</t>
  </si>
  <si>
    <t>WW FINANCIAL DISTRIBUTION PRIVATE LIMITED</t>
  </si>
  <si>
    <t>INTEGRISS FINSERV LLP</t>
  </si>
  <si>
    <t>Anilkumar Naurangrai Agarwal</t>
  </si>
  <si>
    <t>TANDON AND MAHINDRA FINANCIAL SERVICES</t>
  </si>
  <si>
    <t>FORTUNA PLUTUS SERVICES LLP</t>
  </si>
  <si>
    <t>Vinod Pandit Chaudhari</t>
  </si>
  <si>
    <t>AKSHAR INVEST</t>
  </si>
  <si>
    <t>TRELLIS INVESTMENTS</t>
  </si>
  <si>
    <t>kaveesha Investment Services Pvt.Ltd.</t>
  </si>
  <si>
    <t>MONEYBOLISM FINANCIAL SERVICES PRIVATE LIMITED</t>
  </si>
  <si>
    <t>Rujuta Biren Chhatrapati</t>
  </si>
  <si>
    <t>MONEY TREE SERVICES</t>
  </si>
  <si>
    <t>INVEST AT EASE CONSULTANTS INDIA PRIVATE LIMITED</t>
  </si>
  <si>
    <t>VENTURA SUCEDER PRIVATE LIMITED</t>
  </si>
  <si>
    <t>AAYUSHMAN MONEY MALL</t>
  </si>
  <si>
    <t>Sivaramakrishnan R</t>
  </si>
  <si>
    <t>CITADEL WEALTH AND INVESTMENT SERVICES PRIVATE LIMITED</t>
  </si>
  <si>
    <t>MAHIDHAR AND ASSOCIATES</t>
  </si>
  <si>
    <t>WEALTHSPRING PRIVATE LIMITED</t>
  </si>
  <si>
    <t>ASCENT FINANCIAL SOLUTIONS PRIVATE LIMITED</t>
  </si>
  <si>
    <t>MSM WEALTH</t>
  </si>
  <si>
    <t>ESGL CLIENT ALLEY MONEY SERVICES PRIVATE LIMITED</t>
  </si>
  <si>
    <t>GOALCHI CAPITAL SERVICES LLP</t>
  </si>
  <si>
    <t>Jugal Kishore Sharma</t>
  </si>
  <si>
    <t>ANMOL SHARE BROKING PRIVATE LIMITED</t>
  </si>
  <si>
    <t>WEALTH ONE FINANCIALS</t>
  </si>
  <si>
    <t>CREDEL CAPITAL FINANCIAL SERVICES LLP</t>
  </si>
  <si>
    <t>MONEY MIND WORLD CREATION</t>
  </si>
  <si>
    <t>MP Mutual Funds Distribution Services</t>
  </si>
  <si>
    <t>SHRI MASUN FINANCIAL SERVICES</t>
  </si>
  <si>
    <t>EMERGING FINACARE SERVICES PRIVATE LIMITED</t>
  </si>
  <si>
    <t>FORTHRIGHT ASSETS PRIVATE LIMITED</t>
  </si>
  <si>
    <t>GUIDE AND GUARDIAN LLP</t>
  </si>
  <si>
    <t>VARDHANA FINANCIAL DISTRIBUTORS PRIVATE LIMITED</t>
  </si>
  <si>
    <t>LADCO CREST WEALTH LLP</t>
  </si>
  <si>
    <t>SEARING BULLS FINANCIAL SERVICES</t>
  </si>
  <si>
    <t>TRUST CAPITAL</t>
  </si>
  <si>
    <t>FINANCIAL ORCHARD</t>
  </si>
  <si>
    <t>Kannan Padma</t>
  </si>
  <si>
    <t>VED FORTUNE VISION PRIVATE LIMITED</t>
  </si>
  <si>
    <t>VRISHANK FINANCIAL SERVICES PRIVATE LIMITED</t>
  </si>
  <si>
    <t>AU SMALL FINANCE BANK LIMITED</t>
  </si>
  <si>
    <t>Kritika Malani</t>
  </si>
  <si>
    <t>Nuti Amit Thakkar</t>
  </si>
  <si>
    <t>ASCENT FINANCIALS</t>
  </si>
  <si>
    <t>INVESTWAYS FINSERV PRIVATE LIMITED</t>
  </si>
  <si>
    <t>Payal Bhavesh Thakkar</t>
  </si>
  <si>
    <t>JNV FINANCIAL SERVICES LLP</t>
  </si>
  <si>
    <t>SANT MUTUAL FUND DISTRIBUTION LLP</t>
  </si>
  <si>
    <t>WELFIN DISTRIBUTION LLP</t>
  </si>
  <si>
    <t>Pradip Kumar Medda</t>
  </si>
  <si>
    <t>Sneha Mohan Bhoj</t>
  </si>
  <si>
    <t>ANGEL CAPITAL</t>
  </si>
  <si>
    <t>PRITHVI MONEY IMF PRIVATE LIMITED</t>
  </si>
  <si>
    <t>BLISS CAPITAL SERVICES PRIVATE LIMITED</t>
  </si>
  <si>
    <t>Preethy Agarwal</t>
  </si>
  <si>
    <t>Raj Tapan</t>
  </si>
  <si>
    <t>KONFIDO SYNDICATE PRIVATE LIMITED</t>
  </si>
  <si>
    <t>MULTI INVESTMENTS</t>
  </si>
  <si>
    <t>NUEDGE CORPORATE PRIVATE LIMITED</t>
  </si>
  <si>
    <t>BATLIVALA &amp; KARANI WEALTH PRIVATE LIMITED</t>
  </si>
  <si>
    <t>SAFFOLLYA O SAMRIDDHI LLP</t>
  </si>
  <si>
    <t>AKSHAYA MONEY MART</t>
  </si>
  <si>
    <t>SHREE INVESTMENTS</t>
  </si>
  <si>
    <t>VALTRUST CAPITAL PRIVATE LIMITED</t>
  </si>
  <si>
    <t>APV FINANCIAL</t>
  </si>
  <si>
    <t>MCKINLEY GLOBAL CAPITAL LLP</t>
  </si>
  <si>
    <t>Akshay Finserve Management LLP</t>
  </si>
  <si>
    <t>FUNDKARTS INVESTMENT</t>
  </si>
  <si>
    <t>ISOLN</t>
  </si>
  <si>
    <t>ALPHA FINCARE</t>
  </si>
  <si>
    <t>VEEKAY FINSERVE LLP</t>
  </si>
  <si>
    <t>CYAN CAPITAL</t>
  </si>
  <si>
    <t>INEST DISTRIBUTOR</t>
  </si>
  <si>
    <t>GNS WEALTH</t>
  </si>
  <si>
    <t>WEALTH IMPRESSION LLP</t>
  </si>
  <si>
    <t>NITYA NISHRA FINANCIAL SERVICES</t>
  </si>
  <si>
    <t>ALLSTAGES FINANCIAL SERVICES PRIVATE LIMITED</t>
  </si>
  <si>
    <t>Sridhaba Mahapatro</t>
  </si>
  <si>
    <t>SP GOLDWORTH PRIVATE LIMITED</t>
  </si>
  <si>
    <t>BEE KAY TAXATION AND INVESTMENT LLP</t>
  </si>
  <si>
    <t>PHONEPE WEALTH PRIVATE LIMITED</t>
  </si>
  <si>
    <t>Jay Paresh Shah</t>
  </si>
  <si>
    <t>INVEONS PRIVATE LIMITED</t>
  </si>
  <si>
    <t>Sudhir Pandu Poojari</t>
  </si>
  <si>
    <t>SATCO WEALTH PRIVATE LIMITED</t>
  </si>
  <si>
    <t>KAMALDHOOT INVESTMENTS PRIVATE LIMITED</t>
  </si>
  <si>
    <t>TURTLEMINT MUTUAL FUNDS DISTRIBUTORS PRIVATE LIMITED</t>
  </si>
  <si>
    <t>3 I FINSERV LLP</t>
  </si>
  <si>
    <t>NANDA ENTERPRISES</t>
  </si>
  <si>
    <t>V K FINTECH CORPORATION</t>
  </si>
  <si>
    <t>MMW FINANCIAL SERVICES LLP</t>
  </si>
  <si>
    <t>SAMYAK FINSERVE</t>
  </si>
  <si>
    <t>PSQUARE MONEY PRIVATE LIMITED</t>
  </si>
  <si>
    <t>CANDURA PARTNERS</t>
  </si>
  <si>
    <t>KHASNIS PRIME WEALTH PRIVATE LIMITED</t>
  </si>
  <si>
    <t>I VENTURES SECURITIES PRIVATE LIMITED</t>
  </si>
  <si>
    <t>INFINITE FINANCIAL SERVICES</t>
  </si>
  <si>
    <t>MANU FINANCIAL SERVICES</t>
  </si>
  <si>
    <t>ADDING WELL</t>
  </si>
  <si>
    <t>NIYAMA MANAGEMENT &amp; BROKING SERVICES LLP</t>
  </si>
  <si>
    <t>CAPCRE SERVICES PRIVATE LIMITED</t>
  </si>
  <si>
    <t>NIVESH MITRA FINVEST PRIVATE LIMITED</t>
  </si>
  <si>
    <t>GREENEDGE CAPITAL ADVISORS PRIVATE LIMITED</t>
  </si>
  <si>
    <t>AMBIT WEALTH PRIVATE LIMITED</t>
  </si>
  <si>
    <t>IIFL WEALTH PRIME LIMITED</t>
  </si>
  <si>
    <t>WEALTH INSIGHT CAPITAL SERVICES PRIVATE LIMITED</t>
  </si>
  <si>
    <t>STARLIGHT WEALTH LLP</t>
  </si>
  <si>
    <t>ASHVVY INVESTMENT PRIVATE LIMITED</t>
  </si>
  <si>
    <t>NK KOTHARI FINSERVE PRIVATE LIMITED</t>
  </si>
  <si>
    <t>DELIGHTSTAR FINSERV LLP</t>
  </si>
  <si>
    <t>Debarshi Shaha</t>
  </si>
  <si>
    <t>WALLET WEALTH LLP</t>
  </si>
  <si>
    <t>BIBHAB CAPITAL</t>
  </si>
  <si>
    <t>PROSPERTIVE ASSOCIATES LLP</t>
  </si>
  <si>
    <t>SHREE MUTUAL FUND SERVICES PRIVATE LIMITED</t>
  </si>
  <si>
    <t>CRYSTAL VISION MONEY ART</t>
  </si>
  <si>
    <t>INTYGRITTY MONEYTREE PRIVATE LIMITED</t>
  </si>
  <si>
    <t>BAHUBALIMSHAH FINANCIALS PRIVATE LIMITED</t>
  </si>
  <si>
    <t>MONASH FINSERVE AND TECH PRIVATE LIMITED</t>
  </si>
  <si>
    <t>SODHANI CAPITAL PRIVATE LIMITED</t>
  </si>
  <si>
    <t>AM INVESTMENT ADVISORS AND ASSOCIATES</t>
  </si>
  <si>
    <t>GROWREAL INVESTMENT SERVICES LLP</t>
  </si>
  <si>
    <t>INDIRA J UDANI FINSERVE LLP</t>
  </si>
  <si>
    <t>WEALTH WISDOM INVESTECH PVT LTD</t>
  </si>
  <si>
    <t>MONEYJOURNEY LLP</t>
  </si>
  <si>
    <t>RAUNAK ROONGTA FINANCIAL SERVICES LLP</t>
  </si>
  <si>
    <t>Eesha Gupta</t>
  </si>
  <si>
    <t>AMBITION FINSERVE PVT LTD</t>
  </si>
  <si>
    <t>INVESTMART SECURITIES PRIVATE LIMITED</t>
  </si>
  <si>
    <t>SAYALI SUNIL MALGAVE</t>
  </si>
  <si>
    <t>GUPTA INVESTMENTS FINANCIAL SERVICES PRIVATE LIMITED</t>
  </si>
  <si>
    <t>DHANVARDHAN WEEALTH PRIVATE LIMITED</t>
  </si>
  <si>
    <t>AALPS WEALTH INDIA PRIVATE LIMITED</t>
  </si>
  <si>
    <t>BIGBUCKS FINANCIAL SERVICES PVT LTD</t>
  </si>
  <si>
    <t>ASSETMINE CAPITAL PRIVATE LIMITED</t>
  </si>
  <si>
    <t>MARINA WEALTH</t>
  </si>
  <si>
    <t>FISSION WEALTH PRIVATE LIMITED</t>
  </si>
  <si>
    <t>PEOPLE CONNECT DISTRIBUTION SERVICES LLP</t>
  </si>
  <si>
    <t>Chitra</t>
  </si>
  <si>
    <t>SEEMAN FIINTOUCH LLP</t>
  </si>
  <si>
    <t>ROYS VENTURES LLP</t>
  </si>
  <si>
    <t>FINSHERPA INVESTMENTS PRIVATE LIMITED</t>
  </si>
  <si>
    <t>PHONEPE WEALTH BROKING PRIVATE LIMITED</t>
  </si>
  <si>
    <t>SUKHADA ASSOCIATES LLP</t>
  </si>
  <si>
    <t>MONEY LANCER INVESTMENTS PVT LTD</t>
  </si>
  <si>
    <t>PRIME CAPITAL MF DISTRIBUTORS</t>
  </si>
  <si>
    <t>TRANQUITY WEALTH PRIVATE LIMITED</t>
  </si>
  <si>
    <t>-</t>
  </si>
  <si>
    <t>INVESTMENT STUDIO</t>
  </si>
  <si>
    <t>Barjeel Geojit Financial Services LLC</t>
  </si>
  <si>
    <t>QURUM BUSINESS GROUP GEOJIT SECURITIES LLC</t>
  </si>
  <si>
    <t>Ajay Khurana</t>
  </si>
  <si>
    <t>N</t>
  </si>
  <si>
    <t>Name of the AMC : QUANT MONEY MANAGERS LIMITED</t>
  </si>
  <si>
    <t>Total</t>
  </si>
  <si>
    <t xml:space="preserve">Ratio of AUM to
Gross Inflows as
on 31-Mar-22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</si>
</sst>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8" fillId="0" borderId="0" applyFont="0" applyFill="0" applyBorder="0" applyAlignment="0" applyProtection="0"/>
  </cellStyleXfs>
  <cellXfs count="25">
    <xf numFmtId="0" fontId="0" fillId="0" borderId="0" xfId="0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1" applyFont="1" applyFill="1" applyBorder="1" applyAlignment="1">
      <alignment horizontal="center" vertical="top" wrapText="1"/>
    </xf>
    <xf numFmtId="0" fontId="2" fillId="0" borderId="1" xfId="1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0" fillId="0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3" fontId="0" fillId="0" borderId="1" xfId="2" applyFont="1" applyFill="1" applyBorder="1" applyAlignment="1">
      <alignment vertical="top"/>
    </xf>
    <xf numFmtId="43" fontId="0" fillId="0" borderId="1" xfId="2" applyFont="1" applyFill="1" applyBorder="1" applyAlignment="1">
      <alignment horizontal="right" vertical="top"/>
    </xf>
    <xf numFmtId="4" fontId="0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vertical="top"/>
    </xf>
    <xf numFmtId="164" fontId="0" fillId="0" borderId="1" xfId="2" applyNumberFormat="1" applyFont="1" applyBorder="1" applyAlignment="1">
      <alignment vertical="top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50"/>
  <sheetViews>
    <sheetView tabSelected="1" workbookViewId="0">
      <selection activeCell="L5" sqref="L5"/>
    </sheetView>
  </sheetViews>
  <sheetFormatPr defaultRowHeight="15" x14ac:dyDescent="0.25"/>
  <cols>
    <col min="1" max="1" width="5" style="10" customWidth="1"/>
    <col min="2" max="2" width="9.7109375" style="10" customWidth="1"/>
    <col min="3" max="3" width="63" style="9" customWidth="1"/>
    <col min="4" max="4" width="15.7109375" style="9" customWidth="1"/>
    <col min="5" max="5" width="18.85546875" style="9" customWidth="1"/>
    <col min="6" max="6" width="13.140625" style="9" customWidth="1"/>
    <col min="7" max="7" width="12" style="9" customWidth="1"/>
    <col min="8" max="8" width="17.28515625" style="9" customWidth="1"/>
    <col min="9" max="9" width="15.85546875" style="9" customWidth="1"/>
    <col min="10" max="10" width="16.7109375" style="9" customWidth="1"/>
    <col min="11" max="11" width="11.5703125" style="9" bestFit="1" customWidth="1"/>
    <col min="12" max="16384" width="9.140625" style="9"/>
  </cols>
  <sheetData>
    <row r="1" spans="1:12" x14ac:dyDescent="0.25">
      <c r="A1" s="8" t="s">
        <v>1562</v>
      </c>
    </row>
    <row r="2" spans="1:12" x14ac:dyDescent="0.25">
      <c r="A2" s="8"/>
    </row>
    <row r="3" spans="1:12" x14ac:dyDescent="0.25">
      <c r="D3" s="11"/>
      <c r="E3" s="11"/>
      <c r="F3" s="11"/>
      <c r="G3" s="11"/>
      <c r="H3" s="11"/>
      <c r="I3" s="11"/>
      <c r="J3" s="8" t="s">
        <v>202</v>
      </c>
    </row>
    <row r="4" spans="1:12" ht="120" x14ac:dyDescent="0.25">
      <c r="A4" s="6" t="s">
        <v>0</v>
      </c>
      <c r="B4" s="6" t="s">
        <v>1</v>
      </c>
      <c r="C4" s="7" t="s">
        <v>198</v>
      </c>
      <c r="D4" s="1" t="s">
        <v>980</v>
      </c>
      <c r="E4" s="2" t="s">
        <v>981</v>
      </c>
      <c r="F4" s="2" t="s">
        <v>982</v>
      </c>
      <c r="G4" s="1" t="s">
        <v>199</v>
      </c>
      <c r="H4" s="1" t="s">
        <v>200</v>
      </c>
      <c r="I4" s="3" t="s">
        <v>201</v>
      </c>
      <c r="J4" s="3" t="s">
        <v>983</v>
      </c>
      <c r="K4" s="3" t="s">
        <v>984</v>
      </c>
      <c r="L4" s="1" t="s">
        <v>1564</v>
      </c>
    </row>
    <row r="5" spans="1:12" x14ac:dyDescent="0.25">
      <c r="A5" s="12"/>
      <c r="B5" s="14"/>
      <c r="C5" s="12"/>
      <c r="D5" s="4" t="s">
        <v>205</v>
      </c>
      <c r="E5" s="5" t="s">
        <v>203</v>
      </c>
      <c r="F5" s="5" t="s">
        <v>204</v>
      </c>
      <c r="G5" s="4"/>
      <c r="H5" s="4"/>
      <c r="I5" s="13"/>
      <c r="J5" s="13"/>
      <c r="K5" s="13"/>
      <c r="L5" s="12"/>
    </row>
    <row r="6" spans="1:12" x14ac:dyDescent="0.25">
      <c r="A6" s="15">
        <v>1</v>
      </c>
      <c r="B6" s="17">
        <v>2</v>
      </c>
      <c r="C6" s="18" t="s">
        <v>2</v>
      </c>
      <c r="D6" s="20">
        <v>4.6902371</v>
      </c>
      <c r="E6" s="19">
        <v>0</v>
      </c>
      <c r="F6" s="20">
        <v>4.6902371</v>
      </c>
      <c r="G6" s="21">
        <v>809.81079870000008</v>
      </c>
      <c r="H6" s="21">
        <v>697.17781760000003</v>
      </c>
      <c r="I6" s="14" t="s">
        <v>1561</v>
      </c>
      <c r="J6" s="21">
        <v>397.46343339854064</v>
      </c>
      <c r="K6" s="21">
        <v>901.87864030000003</v>
      </c>
      <c r="L6" s="24">
        <f>+IFERROR(K6/G6,0)</f>
        <v>1.1136905580263905</v>
      </c>
    </row>
    <row r="7" spans="1:12" x14ac:dyDescent="0.25">
      <c r="A7" s="15">
        <f>A6+1</f>
        <v>2</v>
      </c>
      <c r="B7" s="17">
        <v>5</v>
      </c>
      <c r="C7" s="18" t="s">
        <v>3</v>
      </c>
      <c r="D7" s="20" t="s">
        <v>1556</v>
      </c>
      <c r="E7" s="19">
        <v>0</v>
      </c>
      <c r="F7" s="20" t="s">
        <v>1556</v>
      </c>
      <c r="G7" s="21">
        <v>7.6496182999999993</v>
      </c>
      <c r="H7" s="21">
        <v>7.6496182999999993</v>
      </c>
      <c r="I7" s="14" t="s">
        <v>1561</v>
      </c>
      <c r="J7" s="21">
        <v>2.2836982372885304</v>
      </c>
      <c r="K7" s="21">
        <v>8.8635628000000004</v>
      </c>
      <c r="L7" s="24">
        <f t="shared" ref="L7:L70" si="0">+IFERROR(K7/G7,0)</f>
        <v>1.1586934736338415</v>
      </c>
    </row>
    <row r="8" spans="1:12" x14ac:dyDescent="0.25">
      <c r="A8" s="15">
        <f t="shared" ref="A8:A71" si="1">A7+1</f>
        <v>3</v>
      </c>
      <c r="B8" s="17">
        <v>6</v>
      </c>
      <c r="C8" s="18" t="s">
        <v>4</v>
      </c>
      <c r="D8" s="20">
        <v>0.53110420000000003</v>
      </c>
      <c r="E8" s="19">
        <v>0</v>
      </c>
      <c r="F8" s="20">
        <v>0.53110420000000003</v>
      </c>
      <c r="G8" s="21">
        <v>93.43782800000001</v>
      </c>
      <c r="H8" s="21">
        <v>91.879380400000016</v>
      </c>
      <c r="I8" s="14" t="s">
        <v>1561</v>
      </c>
      <c r="J8" s="21">
        <v>47.350029059950607</v>
      </c>
      <c r="K8" s="21">
        <v>113.37256480000001</v>
      </c>
      <c r="L8" s="24">
        <f t="shared" si="0"/>
        <v>1.2133476047837926</v>
      </c>
    </row>
    <row r="9" spans="1:12" x14ac:dyDescent="0.25">
      <c r="A9" s="15">
        <f t="shared" si="1"/>
        <v>4</v>
      </c>
      <c r="B9" s="17">
        <v>7</v>
      </c>
      <c r="C9" s="18" t="s">
        <v>5</v>
      </c>
      <c r="D9" s="20">
        <v>0.21096330000000002</v>
      </c>
      <c r="E9" s="19">
        <v>0</v>
      </c>
      <c r="F9" s="20">
        <v>0.21096330000000002</v>
      </c>
      <c r="G9" s="21">
        <v>7.8996072000000002</v>
      </c>
      <c r="H9" s="21">
        <v>7.8996072000000002</v>
      </c>
      <c r="I9" s="14" t="s">
        <v>1561</v>
      </c>
      <c r="J9" s="21">
        <v>17.059561241834846</v>
      </c>
      <c r="K9" s="21">
        <v>21.549212099999998</v>
      </c>
      <c r="L9" s="24">
        <f t="shared" si="0"/>
        <v>2.7278840016247892</v>
      </c>
    </row>
    <row r="10" spans="1:12" x14ac:dyDescent="0.25">
      <c r="A10" s="15">
        <f t="shared" si="1"/>
        <v>5</v>
      </c>
      <c r="B10" s="17">
        <v>9</v>
      </c>
      <c r="C10" s="18" t="s">
        <v>6</v>
      </c>
      <c r="D10" s="20">
        <v>24.649610899999999</v>
      </c>
      <c r="E10" s="19">
        <v>0</v>
      </c>
      <c r="F10" s="20">
        <v>24.649610899999999</v>
      </c>
      <c r="G10" s="21">
        <v>1777.9529062000001</v>
      </c>
      <c r="H10" s="21">
        <v>960.36129430000005</v>
      </c>
      <c r="I10" s="14" t="s">
        <v>1561</v>
      </c>
      <c r="J10" s="21">
        <v>1570.76526537011</v>
      </c>
      <c r="K10" s="21">
        <v>2152.5606057</v>
      </c>
      <c r="L10" s="24">
        <f t="shared" si="0"/>
        <v>1.2106960753536746</v>
      </c>
    </row>
    <row r="11" spans="1:12" x14ac:dyDescent="0.25">
      <c r="A11" s="15">
        <f t="shared" si="1"/>
        <v>6</v>
      </c>
      <c r="B11" s="17">
        <v>10</v>
      </c>
      <c r="C11" s="18" t="s">
        <v>7</v>
      </c>
      <c r="D11" s="20">
        <v>19.306213200000002</v>
      </c>
      <c r="E11" s="19">
        <v>0</v>
      </c>
      <c r="F11" s="20">
        <v>19.306213200000002</v>
      </c>
      <c r="G11" s="21">
        <v>3270.8116291000001</v>
      </c>
      <c r="H11" s="21">
        <v>2568.7688966000001</v>
      </c>
      <c r="I11" s="14" t="s">
        <v>1561</v>
      </c>
      <c r="J11" s="21">
        <v>1485.0182420722069</v>
      </c>
      <c r="K11" s="21">
        <v>3107.9129595999998</v>
      </c>
      <c r="L11" s="24">
        <f t="shared" si="0"/>
        <v>0.95019625463884516</v>
      </c>
    </row>
    <row r="12" spans="1:12" x14ac:dyDescent="0.25">
      <c r="A12" s="15">
        <f t="shared" si="1"/>
        <v>7</v>
      </c>
      <c r="B12" s="17">
        <v>11</v>
      </c>
      <c r="C12" s="18" t="s">
        <v>8</v>
      </c>
      <c r="D12" s="20">
        <v>1.0047000000000001E-3</v>
      </c>
      <c r="E12" s="19">
        <v>0</v>
      </c>
      <c r="F12" s="20">
        <v>1.0047000000000001E-3</v>
      </c>
      <c r="G12" s="21">
        <v>0</v>
      </c>
      <c r="H12" s="21">
        <v>0</v>
      </c>
      <c r="I12" s="14" t="s">
        <v>1561</v>
      </c>
      <c r="J12" s="21">
        <v>6.6873395115681009E-2</v>
      </c>
      <c r="K12" s="21">
        <v>6.8148199999999992E-2</v>
      </c>
      <c r="L12" s="24">
        <f t="shared" si="0"/>
        <v>0</v>
      </c>
    </row>
    <row r="13" spans="1:12" x14ac:dyDescent="0.25">
      <c r="A13" s="15">
        <f t="shared" si="1"/>
        <v>8</v>
      </c>
      <c r="B13" s="17">
        <v>14</v>
      </c>
      <c r="C13" s="18" t="s">
        <v>206</v>
      </c>
      <c r="D13" s="20" t="s">
        <v>1556</v>
      </c>
      <c r="E13" s="19">
        <v>0</v>
      </c>
      <c r="F13" s="20" t="s">
        <v>1556</v>
      </c>
      <c r="G13" s="21">
        <v>0</v>
      </c>
      <c r="H13" s="21">
        <v>0</v>
      </c>
      <c r="I13" s="14" t="s">
        <v>1561</v>
      </c>
      <c r="J13" s="21">
        <v>0</v>
      </c>
      <c r="K13" s="21">
        <v>0</v>
      </c>
      <c r="L13" s="24">
        <f t="shared" si="0"/>
        <v>0</v>
      </c>
    </row>
    <row r="14" spans="1:12" x14ac:dyDescent="0.25">
      <c r="A14" s="15">
        <f t="shared" si="1"/>
        <v>9</v>
      </c>
      <c r="B14" s="17">
        <v>16</v>
      </c>
      <c r="C14" s="18" t="s">
        <v>542</v>
      </c>
      <c r="D14" s="20">
        <v>2.517658</v>
      </c>
      <c r="E14" s="19">
        <v>0</v>
      </c>
      <c r="F14" s="20">
        <v>2.517658</v>
      </c>
      <c r="G14" s="21">
        <v>354.62614490000004</v>
      </c>
      <c r="H14" s="21">
        <v>271.62864880000001</v>
      </c>
      <c r="I14" s="14" t="s">
        <v>1561</v>
      </c>
      <c r="J14" s="21">
        <v>192.90259957294415</v>
      </c>
      <c r="K14" s="21">
        <v>390.19698110000002</v>
      </c>
      <c r="L14" s="24">
        <f t="shared" si="0"/>
        <v>1.1003051712671397</v>
      </c>
    </row>
    <row r="15" spans="1:12" x14ac:dyDescent="0.25">
      <c r="A15" s="15">
        <f t="shared" si="1"/>
        <v>10</v>
      </c>
      <c r="B15" s="17">
        <v>17</v>
      </c>
      <c r="C15" s="18" t="s">
        <v>9</v>
      </c>
      <c r="D15" s="20">
        <v>0.5405951</v>
      </c>
      <c r="E15" s="19">
        <v>0</v>
      </c>
      <c r="F15" s="20">
        <v>0.5405951</v>
      </c>
      <c r="G15" s="21">
        <v>43.739815999999998</v>
      </c>
      <c r="H15" s="21">
        <v>42.758189799999997</v>
      </c>
      <c r="I15" s="14" t="s">
        <v>1561</v>
      </c>
      <c r="J15" s="21">
        <v>36.27989568753388</v>
      </c>
      <c r="K15" s="21">
        <v>69.494588499999992</v>
      </c>
      <c r="L15" s="24">
        <f t="shared" si="0"/>
        <v>1.5888175775590825</v>
      </c>
    </row>
    <row r="16" spans="1:12" x14ac:dyDescent="0.25">
      <c r="A16" s="15">
        <f t="shared" si="1"/>
        <v>11</v>
      </c>
      <c r="B16" s="17">
        <v>18</v>
      </c>
      <c r="C16" s="18" t="s">
        <v>10</v>
      </c>
      <c r="D16" s="20">
        <v>0.49642730000000002</v>
      </c>
      <c r="E16" s="19">
        <v>0</v>
      </c>
      <c r="F16" s="20">
        <v>0.49642730000000002</v>
      </c>
      <c r="G16" s="21">
        <v>0</v>
      </c>
      <c r="H16" s="21">
        <v>0</v>
      </c>
      <c r="I16" s="14" t="s">
        <v>1561</v>
      </c>
      <c r="J16" s="21">
        <v>83.707770383136193</v>
      </c>
      <c r="K16" s="21">
        <v>0</v>
      </c>
      <c r="L16" s="24">
        <f t="shared" si="0"/>
        <v>0</v>
      </c>
    </row>
    <row r="17" spans="1:12" x14ac:dyDescent="0.25">
      <c r="A17" s="15">
        <f t="shared" si="1"/>
        <v>12</v>
      </c>
      <c r="B17" s="17">
        <v>19</v>
      </c>
      <c r="C17" s="18" t="s">
        <v>11</v>
      </c>
      <c r="D17" s="20" t="s">
        <v>1556</v>
      </c>
      <c r="E17" s="19">
        <v>0</v>
      </c>
      <c r="F17" s="20" t="s">
        <v>1556</v>
      </c>
      <c r="G17" s="21">
        <v>16.047197700000002</v>
      </c>
      <c r="H17" s="21">
        <v>16.047197700000002</v>
      </c>
      <c r="I17" s="14" t="s">
        <v>1561</v>
      </c>
      <c r="J17" s="21">
        <v>15.786501260844434</v>
      </c>
      <c r="K17" s="21">
        <v>33.092031599999999</v>
      </c>
      <c r="L17" s="24">
        <f t="shared" si="0"/>
        <v>2.0621688732606565</v>
      </c>
    </row>
    <row r="18" spans="1:12" x14ac:dyDescent="0.25">
      <c r="A18" s="15">
        <f t="shared" si="1"/>
        <v>13</v>
      </c>
      <c r="B18" s="17">
        <v>20</v>
      </c>
      <c r="C18" s="18" t="s">
        <v>12</v>
      </c>
      <c r="D18" s="20">
        <v>4.2421476</v>
      </c>
      <c r="E18" s="19">
        <v>0</v>
      </c>
      <c r="F18" s="20">
        <v>4.2421476</v>
      </c>
      <c r="G18" s="21">
        <v>103.3298336</v>
      </c>
      <c r="H18" s="21">
        <v>72.360424499999993</v>
      </c>
      <c r="I18" s="14" t="s">
        <v>1561</v>
      </c>
      <c r="J18" s="21">
        <v>248.72626125980634</v>
      </c>
      <c r="K18" s="21">
        <v>150.9484425</v>
      </c>
      <c r="L18" s="24">
        <f t="shared" si="0"/>
        <v>1.4608408553558341</v>
      </c>
    </row>
    <row r="19" spans="1:12" x14ac:dyDescent="0.25">
      <c r="A19" s="15">
        <f t="shared" si="1"/>
        <v>14</v>
      </c>
      <c r="B19" s="17">
        <v>21</v>
      </c>
      <c r="C19" s="18" t="s">
        <v>13</v>
      </c>
      <c r="D19" s="20">
        <v>0.3512207</v>
      </c>
      <c r="E19" s="19">
        <v>0</v>
      </c>
      <c r="F19" s="20">
        <v>0.3512207</v>
      </c>
      <c r="G19" s="21">
        <v>31.247832999999996</v>
      </c>
      <c r="H19" s="21">
        <v>27.557406399999998</v>
      </c>
      <c r="I19" s="14" t="s">
        <v>1561</v>
      </c>
      <c r="J19" s="21">
        <v>23.174365598878396</v>
      </c>
      <c r="K19" s="21">
        <v>39.706057000000001</v>
      </c>
      <c r="L19" s="24">
        <f t="shared" si="0"/>
        <v>1.2706819381683205</v>
      </c>
    </row>
    <row r="20" spans="1:12" x14ac:dyDescent="0.25">
      <c r="A20" s="15">
        <f t="shared" si="1"/>
        <v>15</v>
      </c>
      <c r="B20" s="17">
        <v>22</v>
      </c>
      <c r="C20" s="18" t="s">
        <v>14</v>
      </c>
      <c r="D20" s="20" t="s">
        <v>1556</v>
      </c>
      <c r="E20" s="19">
        <v>0</v>
      </c>
      <c r="F20" s="20" t="s">
        <v>1556</v>
      </c>
      <c r="G20" s="21">
        <v>4.99975E-2</v>
      </c>
      <c r="H20" s="21">
        <v>4.99975E-2</v>
      </c>
      <c r="I20" s="14" t="s">
        <v>1561</v>
      </c>
      <c r="J20" s="21">
        <v>6.9984566166666658E-3</v>
      </c>
      <c r="K20" s="21">
        <v>5.0803599999999997E-2</v>
      </c>
      <c r="L20" s="24">
        <f t="shared" si="0"/>
        <v>1.0161228061403069</v>
      </c>
    </row>
    <row r="21" spans="1:12" x14ac:dyDescent="0.25">
      <c r="A21" s="15">
        <f t="shared" si="1"/>
        <v>16</v>
      </c>
      <c r="B21" s="17">
        <v>30</v>
      </c>
      <c r="C21" s="18" t="s">
        <v>15</v>
      </c>
      <c r="D21" s="20">
        <v>2.0724219000000002</v>
      </c>
      <c r="E21" s="19">
        <v>0</v>
      </c>
      <c r="F21" s="20">
        <v>2.0724219000000002</v>
      </c>
      <c r="G21" s="21">
        <v>378.30961829999995</v>
      </c>
      <c r="H21" s="21">
        <v>282.81174199999998</v>
      </c>
      <c r="I21" s="14" t="s">
        <v>1561</v>
      </c>
      <c r="J21" s="21">
        <v>158.41968953822769</v>
      </c>
      <c r="K21" s="21">
        <v>329.96880640000001</v>
      </c>
      <c r="L21" s="24">
        <f t="shared" si="0"/>
        <v>0.87221891920901251</v>
      </c>
    </row>
    <row r="22" spans="1:12" x14ac:dyDescent="0.25">
      <c r="A22" s="15">
        <f t="shared" si="1"/>
        <v>17</v>
      </c>
      <c r="B22" s="17">
        <v>32</v>
      </c>
      <c r="C22" s="18" t="s">
        <v>16</v>
      </c>
      <c r="D22" s="20">
        <v>0.88457669999999999</v>
      </c>
      <c r="E22" s="19">
        <v>0</v>
      </c>
      <c r="F22" s="20">
        <v>0.88457669999999999</v>
      </c>
      <c r="G22" s="21">
        <v>45.164260400000003</v>
      </c>
      <c r="H22" s="21">
        <v>42.730624599999999</v>
      </c>
      <c r="I22" s="14" t="s">
        <v>1561</v>
      </c>
      <c r="J22" s="21">
        <v>67.109883045795584</v>
      </c>
      <c r="K22" s="21">
        <v>108.00782169999999</v>
      </c>
      <c r="L22" s="24">
        <f t="shared" si="0"/>
        <v>2.3914444904759247</v>
      </c>
    </row>
    <row r="23" spans="1:12" x14ac:dyDescent="0.25">
      <c r="A23" s="15">
        <f t="shared" si="1"/>
        <v>18</v>
      </c>
      <c r="B23" s="17">
        <v>37</v>
      </c>
      <c r="C23" s="18" t="s">
        <v>543</v>
      </c>
      <c r="D23" s="20">
        <v>3.92244E-2</v>
      </c>
      <c r="E23" s="19">
        <v>0</v>
      </c>
      <c r="F23" s="20">
        <v>3.92244E-2</v>
      </c>
      <c r="G23" s="21">
        <v>19.879006100000002</v>
      </c>
      <c r="H23" s="21">
        <v>17.569006099999999</v>
      </c>
      <c r="I23" s="14" t="s">
        <v>1561</v>
      </c>
      <c r="J23" s="21">
        <v>6.3966765030361108</v>
      </c>
      <c r="K23" s="21">
        <v>18.732610900000001</v>
      </c>
      <c r="L23" s="24">
        <f t="shared" si="0"/>
        <v>0.9423313623310372</v>
      </c>
    </row>
    <row r="24" spans="1:12" x14ac:dyDescent="0.25">
      <c r="A24" s="15">
        <f t="shared" si="1"/>
        <v>19</v>
      </c>
      <c r="B24" s="17">
        <v>39</v>
      </c>
      <c r="C24" s="18" t="s">
        <v>17</v>
      </c>
      <c r="D24" s="20" t="s">
        <v>1556</v>
      </c>
      <c r="E24" s="19">
        <v>0</v>
      </c>
      <c r="F24" s="20" t="s">
        <v>1556</v>
      </c>
      <c r="G24" s="21">
        <v>0</v>
      </c>
      <c r="H24" s="21">
        <v>0</v>
      </c>
      <c r="I24" s="14" t="s">
        <v>1561</v>
      </c>
      <c r="J24" s="21">
        <v>0</v>
      </c>
      <c r="K24" s="21">
        <v>0</v>
      </c>
      <c r="L24" s="24">
        <f t="shared" si="0"/>
        <v>0</v>
      </c>
    </row>
    <row r="25" spans="1:12" x14ac:dyDescent="0.25">
      <c r="A25" s="15">
        <f t="shared" si="1"/>
        <v>20</v>
      </c>
      <c r="B25" s="17">
        <v>52</v>
      </c>
      <c r="C25" s="18" t="s">
        <v>985</v>
      </c>
      <c r="D25" s="20" t="s">
        <v>1556</v>
      </c>
      <c r="E25" s="19">
        <v>0</v>
      </c>
      <c r="F25" s="20" t="s">
        <v>1556</v>
      </c>
      <c r="G25" s="21">
        <v>1.7499125</v>
      </c>
      <c r="H25" s="21">
        <v>1.7499125</v>
      </c>
      <c r="I25" s="14" t="s">
        <v>1561</v>
      </c>
      <c r="J25" s="21">
        <v>0.59344674474274195</v>
      </c>
      <c r="K25" s="21">
        <v>1.8930207000000001</v>
      </c>
      <c r="L25" s="24">
        <f t="shared" si="0"/>
        <v>1.0817802032958792</v>
      </c>
    </row>
    <row r="26" spans="1:12" x14ac:dyDescent="0.25">
      <c r="A26" s="15">
        <f t="shared" si="1"/>
        <v>21</v>
      </c>
      <c r="B26" s="17">
        <v>55</v>
      </c>
      <c r="C26" s="18" t="s">
        <v>18</v>
      </c>
      <c r="D26" s="20" t="s">
        <v>1556</v>
      </c>
      <c r="E26" s="19">
        <v>0</v>
      </c>
      <c r="F26" s="20" t="s">
        <v>1556</v>
      </c>
      <c r="G26" s="21">
        <v>0</v>
      </c>
      <c r="H26" s="21">
        <v>0</v>
      </c>
      <c r="I26" s="14" t="s">
        <v>1561</v>
      </c>
      <c r="J26" s="21">
        <v>0</v>
      </c>
      <c r="K26" s="21">
        <v>0</v>
      </c>
      <c r="L26" s="24">
        <f t="shared" si="0"/>
        <v>0</v>
      </c>
    </row>
    <row r="27" spans="1:12" x14ac:dyDescent="0.25">
      <c r="A27" s="15">
        <f t="shared" si="1"/>
        <v>22</v>
      </c>
      <c r="B27" s="17">
        <v>57</v>
      </c>
      <c r="C27" s="18" t="s">
        <v>544</v>
      </c>
      <c r="D27" s="20" t="s">
        <v>1556</v>
      </c>
      <c r="E27" s="19">
        <v>0</v>
      </c>
      <c r="F27" s="20" t="s">
        <v>1556</v>
      </c>
      <c r="G27" s="21">
        <v>0.64996750000000003</v>
      </c>
      <c r="H27" s="21">
        <v>0.64996750000000003</v>
      </c>
      <c r="I27" s="14" t="s">
        <v>1561</v>
      </c>
      <c r="J27" s="21">
        <v>2.2933581433333333E-2</v>
      </c>
      <c r="K27" s="21">
        <v>0.68013219999999996</v>
      </c>
      <c r="L27" s="24">
        <f t="shared" si="0"/>
        <v>1.046409551246793</v>
      </c>
    </row>
    <row r="28" spans="1:12" x14ac:dyDescent="0.25">
      <c r="A28" s="15">
        <f t="shared" si="1"/>
        <v>23</v>
      </c>
      <c r="B28" s="17">
        <v>58</v>
      </c>
      <c r="C28" s="18" t="s">
        <v>545</v>
      </c>
      <c r="D28" s="20">
        <v>0.10624459999999999</v>
      </c>
      <c r="E28" s="19">
        <v>0</v>
      </c>
      <c r="F28" s="20">
        <v>0.10624459999999999</v>
      </c>
      <c r="G28" s="21">
        <v>27.318633999999999</v>
      </c>
      <c r="H28" s="21">
        <v>26.074547799999998</v>
      </c>
      <c r="I28" s="14" t="s">
        <v>1561</v>
      </c>
      <c r="J28" s="21">
        <v>8.4145627164489269</v>
      </c>
      <c r="K28" s="21">
        <v>28.365069700000003</v>
      </c>
      <c r="L28" s="24">
        <f t="shared" si="0"/>
        <v>1.0383048325183464</v>
      </c>
    </row>
    <row r="29" spans="1:12" x14ac:dyDescent="0.25">
      <c r="A29" s="15">
        <f t="shared" si="1"/>
        <v>24</v>
      </c>
      <c r="B29" s="17">
        <v>60</v>
      </c>
      <c r="C29" s="18" t="s">
        <v>240</v>
      </c>
      <c r="D29" s="20" t="s">
        <v>1556</v>
      </c>
      <c r="E29" s="19">
        <v>0</v>
      </c>
      <c r="F29" s="20" t="s">
        <v>1556</v>
      </c>
      <c r="G29" s="21">
        <v>0</v>
      </c>
      <c r="H29" s="21">
        <v>0</v>
      </c>
      <c r="I29" s="14" t="s">
        <v>1561</v>
      </c>
      <c r="J29" s="21">
        <v>0</v>
      </c>
      <c r="K29" s="21">
        <v>0</v>
      </c>
      <c r="L29" s="24">
        <f t="shared" si="0"/>
        <v>0</v>
      </c>
    </row>
    <row r="30" spans="1:12" x14ac:dyDescent="0.25">
      <c r="A30" s="15">
        <f t="shared" si="1"/>
        <v>25</v>
      </c>
      <c r="B30" s="17">
        <v>88</v>
      </c>
      <c r="C30" s="18" t="s">
        <v>19</v>
      </c>
      <c r="D30" s="20" t="s">
        <v>1556</v>
      </c>
      <c r="E30" s="19">
        <v>0</v>
      </c>
      <c r="F30" s="20" t="s">
        <v>1556</v>
      </c>
      <c r="G30" s="21">
        <v>0</v>
      </c>
      <c r="H30" s="21">
        <v>0</v>
      </c>
      <c r="I30" s="14" t="s">
        <v>1561</v>
      </c>
      <c r="J30" s="21">
        <v>0</v>
      </c>
      <c r="K30" s="21">
        <v>0</v>
      </c>
      <c r="L30" s="24">
        <f t="shared" si="0"/>
        <v>0</v>
      </c>
    </row>
    <row r="31" spans="1:12" x14ac:dyDescent="0.25">
      <c r="A31" s="15">
        <f t="shared" si="1"/>
        <v>26</v>
      </c>
      <c r="B31" s="17">
        <v>98</v>
      </c>
      <c r="C31" s="18" t="s">
        <v>241</v>
      </c>
      <c r="D31" s="20">
        <v>1.5079321999999999</v>
      </c>
      <c r="E31" s="19">
        <v>0</v>
      </c>
      <c r="F31" s="20">
        <v>1.5079321999999999</v>
      </c>
      <c r="G31" s="21">
        <v>355.84203869999999</v>
      </c>
      <c r="H31" s="21">
        <v>347.49582859999998</v>
      </c>
      <c r="I31" s="14" t="s">
        <v>1561</v>
      </c>
      <c r="J31" s="21">
        <v>101.49709781447174</v>
      </c>
      <c r="K31" s="21">
        <v>372.12653069999999</v>
      </c>
      <c r="L31" s="24">
        <f t="shared" si="0"/>
        <v>1.0457632607420198</v>
      </c>
    </row>
    <row r="32" spans="1:12" x14ac:dyDescent="0.25">
      <c r="A32" s="15">
        <f t="shared" si="1"/>
        <v>27</v>
      </c>
      <c r="B32" s="17">
        <v>132</v>
      </c>
      <c r="C32" s="18" t="s">
        <v>546</v>
      </c>
      <c r="D32" s="20" t="s">
        <v>1556</v>
      </c>
      <c r="E32" s="19">
        <v>0</v>
      </c>
      <c r="F32" s="20" t="s">
        <v>1556</v>
      </c>
      <c r="G32" s="21">
        <v>0</v>
      </c>
      <c r="H32" s="21">
        <v>0</v>
      </c>
      <c r="I32" s="14" t="s">
        <v>1561</v>
      </c>
      <c r="J32" s="21">
        <v>0</v>
      </c>
      <c r="K32" s="21">
        <v>0</v>
      </c>
      <c r="L32" s="24">
        <f t="shared" si="0"/>
        <v>0</v>
      </c>
    </row>
    <row r="33" spans="1:12" x14ac:dyDescent="0.25">
      <c r="A33" s="15">
        <f t="shared" si="1"/>
        <v>28</v>
      </c>
      <c r="B33" s="17">
        <v>133</v>
      </c>
      <c r="C33" s="18" t="s">
        <v>207</v>
      </c>
      <c r="D33" s="20" t="s">
        <v>1556</v>
      </c>
      <c r="E33" s="19">
        <v>0</v>
      </c>
      <c r="F33" s="20" t="s">
        <v>1556</v>
      </c>
      <c r="G33" s="21">
        <v>0</v>
      </c>
      <c r="H33" s="21">
        <v>0</v>
      </c>
      <c r="I33" s="14" t="s">
        <v>1561</v>
      </c>
      <c r="J33" s="21">
        <v>0</v>
      </c>
      <c r="K33" s="21">
        <v>0</v>
      </c>
      <c r="L33" s="24">
        <f t="shared" si="0"/>
        <v>0</v>
      </c>
    </row>
    <row r="34" spans="1:12" x14ac:dyDescent="0.25">
      <c r="A34" s="15">
        <f t="shared" si="1"/>
        <v>29</v>
      </c>
      <c r="B34" s="17">
        <v>135</v>
      </c>
      <c r="C34" s="18" t="s">
        <v>20</v>
      </c>
      <c r="D34" s="20">
        <v>3.0140996000000002</v>
      </c>
      <c r="E34" s="19">
        <v>0</v>
      </c>
      <c r="F34" s="20">
        <v>3.0140996000000002</v>
      </c>
      <c r="G34" s="21">
        <v>588.90959750000002</v>
      </c>
      <c r="H34" s="21">
        <v>544.81252019999999</v>
      </c>
      <c r="I34" s="14" t="s">
        <v>1561</v>
      </c>
      <c r="J34" s="21">
        <v>245.75597282298892</v>
      </c>
      <c r="K34" s="21">
        <v>577.15927950000003</v>
      </c>
      <c r="L34" s="24">
        <f t="shared" si="0"/>
        <v>0.980047331458204</v>
      </c>
    </row>
    <row r="35" spans="1:12" x14ac:dyDescent="0.25">
      <c r="A35" s="15">
        <f t="shared" si="1"/>
        <v>30</v>
      </c>
      <c r="B35" s="17">
        <v>139</v>
      </c>
      <c r="C35" s="18" t="s">
        <v>986</v>
      </c>
      <c r="D35" s="20" t="s">
        <v>1556</v>
      </c>
      <c r="E35" s="19">
        <v>0</v>
      </c>
      <c r="F35" s="20" t="s">
        <v>1556</v>
      </c>
      <c r="G35" s="21">
        <v>0</v>
      </c>
      <c r="H35" s="21">
        <v>0</v>
      </c>
      <c r="I35" s="14" t="s">
        <v>1561</v>
      </c>
      <c r="J35" s="21">
        <v>0</v>
      </c>
      <c r="K35" s="21">
        <v>0</v>
      </c>
      <c r="L35" s="24">
        <f t="shared" si="0"/>
        <v>0</v>
      </c>
    </row>
    <row r="36" spans="1:12" x14ac:dyDescent="0.25">
      <c r="A36" s="15">
        <f t="shared" si="1"/>
        <v>31</v>
      </c>
      <c r="B36" s="17">
        <v>155</v>
      </c>
      <c r="C36" s="18" t="s">
        <v>431</v>
      </c>
      <c r="D36" s="20">
        <v>168.91473360000001</v>
      </c>
      <c r="E36" s="19">
        <v>0</v>
      </c>
      <c r="F36" s="20">
        <v>168.91473360000001</v>
      </c>
      <c r="G36" s="21">
        <v>21848.465679499997</v>
      </c>
      <c r="H36" s="21">
        <v>17598.104497999997</v>
      </c>
      <c r="I36" s="14" t="s">
        <v>1561</v>
      </c>
      <c r="J36" s="21">
        <v>12107.466657348445</v>
      </c>
      <c r="K36" s="21">
        <v>22533.486171100001</v>
      </c>
      <c r="L36" s="24">
        <f t="shared" si="0"/>
        <v>1.0313532538919996</v>
      </c>
    </row>
    <row r="37" spans="1:12" x14ac:dyDescent="0.25">
      <c r="A37" s="15">
        <f t="shared" si="1"/>
        <v>32</v>
      </c>
      <c r="B37" s="17">
        <v>158</v>
      </c>
      <c r="C37" s="18" t="s">
        <v>21</v>
      </c>
      <c r="D37" s="20">
        <v>3.6664999999999996E-3</v>
      </c>
      <c r="E37" s="19">
        <v>0</v>
      </c>
      <c r="F37" s="20">
        <v>3.6664999999999996E-3</v>
      </c>
      <c r="G37" s="21">
        <v>0.23998799999999998</v>
      </c>
      <c r="H37" s="21">
        <v>0.23998799999999998</v>
      </c>
      <c r="I37" s="14" t="s">
        <v>1561</v>
      </c>
      <c r="J37" s="21">
        <v>0.28307710131460573</v>
      </c>
      <c r="K37" s="21">
        <v>0.43032089999999995</v>
      </c>
      <c r="L37" s="24">
        <f t="shared" si="0"/>
        <v>1.7930934046702334</v>
      </c>
    </row>
    <row r="38" spans="1:12" x14ac:dyDescent="0.25">
      <c r="A38" s="15">
        <f t="shared" si="1"/>
        <v>33</v>
      </c>
      <c r="B38" s="17">
        <v>162</v>
      </c>
      <c r="C38" s="18" t="s">
        <v>242</v>
      </c>
      <c r="D38" s="20" t="s">
        <v>1556</v>
      </c>
      <c r="E38" s="19">
        <v>0</v>
      </c>
      <c r="F38" s="20" t="s">
        <v>1556</v>
      </c>
      <c r="G38" s="21">
        <v>0</v>
      </c>
      <c r="H38" s="21">
        <v>0</v>
      </c>
      <c r="I38" s="14" t="s">
        <v>1561</v>
      </c>
      <c r="J38" s="21">
        <v>0</v>
      </c>
      <c r="K38" s="21">
        <v>0</v>
      </c>
      <c r="L38" s="24">
        <f t="shared" si="0"/>
        <v>0</v>
      </c>
    </row>
    <row r="39" spans="1:12" x14ac:dyDescent="0.25">
      <c r="A39" s="15">
        <f t="shared" si="1"/>
        <v>34</v>
      </c>
      <c r="B39" s="17">
        <v>163</v>
      </c>
      <c r="C39" s="18" t="s">
        <v>154</v>
      </c>
      <c r="D39" s="20">
        <v>0.12637090000000001</v>
      </c>
      <c r="E39" s="19">
        <v>0</v>
      </c>
      <c r="F39" s="20">
        <v>0.12637090000000001</v>
      </c>
      <c r="G39" s="21">
        <v>47.817609000000004</v>
      </c>
      <c r="H39" s="21">
        <v>46.417609000000006</v>
      </c>
      <c r="I39" s="14" t="s">
        <v>1561</v>
      </c>
      <c r="J39" s="21">
        <v>14.07124062462276</v>
      </c>
      <c r="K39" s="21">
        <v>48.449924600000003</v>
      </c>
      <c r="L39" s="24">
        <f t="shared" si="0"/>
        <v>1.0132234884433473</v>
      </c>
    </row>
    <row r="40" spans="1:12" x14ac:dyDescent="0.25">
      <c r="A40" s="15">
        <f t="shared" si="1"/>
        <v>35</v>
      </c>
      <c r="B40" s="17">
        <v>164</v>
      </c>
      <c r="C40" s="18" t="s">
        <v>22</v>
      </c>
      <c r="D40" s="20" t="s">
        <v>1556</v>
      </c>
      <c r="E40" s="19">
        <v>0</v>
      </c>
      <c r="F40" s="20" t="s">
        <v>1556</v>
      </c>
      <c r="G40" s="21">
        <v>36.7998373</v>
      </c>
      <c r="H40" s="21">
        <v>33.979801999999999</v>
      </c>
      <c r="I40" s="14" t="s">
        <v>1561</v>
      </c>
      <c r="J40" s="21">
        <v>6.5536830046771479</v>
      </c>
      <c r="K40" s="21">
        <v>34.946425300000001</v>
      </c>
      <c r="L40" s="24">
        <f t="shared" si="0"/>
        <v>0.9496353208061602</v>
      </c>
    </row>
    <row r="41" spans="1:12" x14ac:dyDescent="0.25">
      <c r="A41" s="15">
        <f t="shared" si="1"/>
        <v>36</v>
      </c>
      <c r="B41" s="17">
        <v>165</v>
      </c>
      <c r="C41" s="18" t="s">
        <v>23</v>
      </c>
      <c r="D41" s="20" t="s">
        <v>1556</v>
      </c>
      <c r="E41" s="19">
        <v>0</v>
      </c>
      <c r="F41" s="20" t="s">
        <v>1556</v>
      </c>
      <c r="G41" s="21">
        <v>0.17999099999999998</v>
      </c>
      <c r="H41" s="21">
        <v>0.17999099999999998</v>
      </c>
      <c r="I41" s="14" t="s">
        <v>1561</v>
      </c>
      <c r="J41" s="21">
        <v>2.9046707452419353E-2</v>
      </c>
      <c r="K41" s="21">
        <v>0.1874895</v>
      </c>
      <c r="L41" s="24">
        <f t="shared" si="0"/>
        <v>1.0416604163541512</v>
      </c>
    </row>
    <row r="42" spans="1:12" x14ac:dyDescent="0.25">
      <c r="A42" s="15">
        <f t="shared" si="1"/>
        <v>37</v>
      </c>
      <c r="B42" s="17">
        <v>166</v>
      </c>
      <c r="C42" s="18" t="s">
        <v>155</v>
      </c>
      <c r="D42" s="20" t="s">
        <v>1556</v>
      </c>
      <c r="E42" s="19">
        <v>0</v>
      </c>
      <c r="F42" s="20" t="s">
        <v>1556</v>
      </c>
      <c r="G42" s="21">
        <v>0</v>
      </c>
      <c r="H42" s="21">
        <v>0</v>
      </c>
      <c r="I42" s="14" t="s">
        <v>1561</v>
      </c>
      <c r="J42" s="21">
        <v>0</v>
      </c>
      <c r="K42" s="21">
        <v>0</v>
      </c>
      <c r="L42" s="24">
        <f t="shared" si="0"/>
        <v>0</v>
      </c>
    </row>
    <row r="43" spans="1:12" x14ac:dyDescent="0.25">
      <c r="A43" s="15">
        <f t="shared" si="1"/>
        <v>38</v>
      </c>
      <c r="B43" s="17">
        <v>167</v>
      </c>
      <c r="C43" s="18" t="s">
        <v>243</v>
      </c>
      <c r="D43" s="20" t="s">
        <v>1556</v>
      </c>
      <c r="E43" s="19">
        <v>0</v>
      </c>
      <c r="F43" s="20" t="s">
        <v>1556</v>
      </c>
      <c r="G43" s="21">
        <v>0</v>
      </c>
      <c r="H43" s="21">
        <v>0</v>
      </c>
      <c r="I43" s="14" t="s">
        <v>1561</v>
      </c>
      <c r="J43" s="21">
        <v>0</v>
      </c>
      <c r="K43" s="21">
        <v>0</v>
      </c>
      <c r="L43" s="24">
        <f t="shared" si="0"/>
        <v>0</v>
      </c>
    </row>
    <row r="44" spans="1:12" x14ac:dyDescent="0.25">
      <c r="A44" s="15">
        <f t="shared" si="1"/>
        <v>39</v>
      </c>
      <c r="B44" s="17">
        <v>172</v>
      </c>
      <c r="C44" s="18" t="s">
        <v>547</v>
      </c>
      <c r="D44" s="20" t="s">
        <v>1556</v>
      </c>
      <c r="E44" s="19">
        <v>0</v>
      </c>
      <c r="F44" s="20" t="s">
        <v>1556</v>
      </c>
      <c r="G44" s="21">
        <v>0</v>
      </c>
      <c r="H44" s="21">
        <v>0</v>
      </c>
      <c r="I44" s="14" t="s">
        <v>1561</v>
      </c>
      <c r="J44" s="21">
        <v>0</v>
      </c>
      <c r="K44" s="21">
        <v>0</v>
      </c>
      <c r="L44" s="24">
        <f t="shared" si="0"/>
        <v>0</v>
      </c>
    </row>
    <row r="45" spans="1:12" x14ac:dyDescent="0.25">
      <c r="A45" s="15">
        <f t="shared" si="1"/>
        <v>40</v>
      </c>
      <c r="B45" s="17">
        <v>183</v>
      </c>
      <c r="C45" s="18" t="s">
        <v>244</v>
      </c>
      <c r="D45" s="20" t="s">
        <v>1556</v>
      </c>
      <c r="E45" s="19">
        <v>0</v>
      </c>
      <c r="F45" s="20" t="s">
        <v>1556</v>
      </c>
      <c r="G45" s="21">
        <v>0</v>
      </c>
      <c r="H45" s="21">
        <v>0</v>
      </c>
      <c r="I45" s="14" t="s">
        <v>1561</v>
      </c>
      <c r="J45" s="21">
        <v>0</v>
      </c>
      <c r="K45" s="21">
        <v>0</v>
      </c>
      <c r="L45" s="24">
        <f t="shared" si="0"/>
        <v>0</v>
      </c>
    </row>
    <row r="46" spans="1:12" x14ac:dyDescent="0.25">
      <c r="A46" s="15">
        <f t="shared" si="1"/>
        <v>41</v>
      </c>
      <c r="B46" s="17">
        <v>186</v>
      </c>
      <c r="C46" s="18" t="s">
        <v>24</v>
      </c>
      <c r="D46" s="20">
        <v>0.5833528</v>
      </c>
      <c r="E46" s="19">
        <v>0</v>
      </c>
      <c r="F46" s="20">
        <v>0.5833528</v>
      </c>
      <c r="G46" s="21">
        <v>87.520972599999993</v>
      </c>
      <c r="H46" s="21">
        <v>82.522157100000001</v>
      </c>
      <c r="I46" s="14" t="s">
        <v>1561</v>
      </c>
      <c r="J46" s="21">
        <v>43.991469666696162</v>
      </c>
      <c r="K46" s="21">
        <v>99.027366099999995</v>
      </c>
      <c r="L46" s="24">
        <f t="shared" si="0"/>
        <v>1.1314701283381305</v>
      </c>
    </row>
    <row r="47" spans="1:12" x14ac:dyDescent="0.25">
      <c r="A47" s="15">
        <f t="shared" si="1"/>
        <v>42</v>
      </c>
      <c r="B47" s="17">
        <v>189</v>
      </c>
      <c r="C47" s="18" t="s">
        <v>245</v>
      </c>
      <c r="D47" s="20" t="s">
        <v>1556</v>
      </c>
      <c r="E47" s="19">
        <v>0</v>
      </c>
      <c r="F47" s="20" t="s">
        <v>1556</v>
      </c>
      <c r="G47" s="21">
        <v>0</v>
      </c>
      <c r="H47" s="21">
        <v>0</v>
      </c>
      <c r="I47" s="14" t="s">
        <v>1561</v>
      </c>
      <c r="J47" s="21">
        <v>0</v>
      </c>
      <c r="K47" s="21">
        <v>0</v>
      </c>
      <c r="L47" s="24">
        <f t="shared" si="0"/>
        <v>0</v>
      </c>
    </row>
    <row r="48" spans="1:12" x14ac:dyDescent="0.25">
      <c r="A48" s="15">
        <f t="shared" si="1"/>
        <v>43</v>
      </c>
      <c r="B48" s="17">
        <v>203</v>
      </c>
      <c r="C48" s="18" t="s">
        <v>156</v>
      </c>
      <c r="D48" s="20" t="s">
        <v>1556</v>
      </c>
      <c r="E48" s="19">
        <v>0</v>
      </c>
      <c r="F48" s="20" t="s">
        <v>1556</v>
      </c>
      <c r="G48" s="21">
        <v>0</v>
      </c>
      <c r="H48" s="21">
        <v>0</v>
      </c>
      <c r="I48" s="14" t="s">
        <v>1561</v>
      </c>
      <c r="J48" s="21">
        <v>0</v>
      </c>
      <c r="K48" s="21">
        <v>0</v>
      </c>
      <c r="L48" s="24">
        <f t="shared" si="0"/>
        <v>0</v>
      </c>
    </row>
    <row r="49" spans="1:12" x14ac:dyDescent="0.25">
      <c r="A49" s="15">
        <f t="shared" si="1"/>
        <v>44</v>
      </c>
      <c r="B49" s="17">
        <v>206</v>
      </c>
      <c r="C49" s="18" t="s">
        <v>27</v>
      </c>
      <c r="D49" s="20" t="s">
        <v>1556</v>
      </c>
      <c r="E49" s="19">
        <v>0</v>
      </c>
      <c r="F49" s="20" t="s">
        <v>1556</v>
      </c>
      <c r="G49" s="21">
        <v>0</v>
      </c>
      <c r="H49" s="21">
        <v>0</v>
      </c>
      <c r="I49" s="14" t="s">
        <v>1561</v>
      </c>
      <c r="J49" s="21">
        <v>0</v>
      </c>
      <c r="K49" s="21">
        <v>0</v>
      </c>
      <c r="L49" s="24">
        <f t="shared" si="0"/>
        <v>0</v>
      </c>
    </row>
    <row r="50" spans="1:12" x14ac:dyDescent="0.25">
      <c r="A50" s="15">
        <f t="shared" si="1"/>
        <v>45</v>
      </c>
      <c r="B50" s="17">
        <v>209</v>
      </c>
      <c r="C50" s="18" t="s">
        <v>548</v>
      </c>
      <c r="D50" s="20">
        <v>2.0792100000000001E-2</v>
      </c>
      <c r="E50" s="19">
        <v>0</v>
      </c>
      <c r="F50" s="20">
        <v>2.0792100000000001E-2</v>
      </c>
      <c r="G50" s="21">
        <v>62.3118847</v>
      </c>
      <c r="H50" s="21">
        <v>62.3118847</v>
      </c>
      <c r="I50" s="14" t="s">
        <v>1561</v>
      </c>
      <c r="J50" s="21">
        <v>3.9150215675999998</v>
      </c>
      <c r="K50" s="21">
        <v>64.351262800000001</v>
      </c>
      <c r="L50" s="24">
        <f t="shared" si="0"/>
        <v>1.0327285574785383</v>
      </c>
    </row>
    <row r="51" spans="1:12" x14ac:dyDescent="0.25">
      <c r="A51" s="15">
        <f t="shared" si="1"/>
        <v>46</v>
      </c>
      <c r="B51" s="17">
        <v>230</v>
      </c>
      <c r="C51" s="18" t="s">
        <v>987</v>
      </c>
      <c r="D51" s="20" t="s">
        <v>1556</v>
      </c>
      <c r="E51" s="19">
        <v>0</v>
      </c>
      <c r="F51" s="20" t="s">
        <v>1556</v>
      </c>
      <c r="G51" s="21">
        <v>0</v>
      </c>
      <c r="H51" s="21">
        <v>0</v>
      </c>
      <c r="I51" s="14" t="s">
        <v>1561</v>
      </c>
      <c r="J51" s="21">
        <v>0</v>
      </c>
      <c r="K51" s="21">
        <v>0</v>
      </c>
      <c r="L51" s="24">
        <f t="shared" si="0"/>
        <v>0</v>
      </c>
    </row>
    <row r="52" spans="1:12" x14ac:dyDescent="0.25">
      <c r="A52" s="15">
        <f t="shared" si="1"/>
        <v>47</v>
      </c>
      <c r="B52" s="17">
        <v>234</v>
      </c>
      <c r="C52" s="18" t="s">
        <v>549</v>
      </c>
      <c r="D52" s="20" t="s">
        <v>1556</v>
      </c>
      <c r="E52" s="19">
        <v>0</v>
      </c>
      <c r="F52" s="20" t="s">
        <v>1556</v>
      </c>
      <c r="G52" s="21">
        <v>0</v>
      </c>
      <c r="H52" s="21">
        <v>0</v>
      </c>
      <c r="I52" s="14" t="s">
        <v>1561</v>
      </c>
      <c r="J52" s="21">
        <v>0</v>
      </c>
      <c r="K52" s="21">
        <v>0</v>
      </c>
      <c r="L52" s="24">
        <f t="shared" si="0"/>
        <v>0</v>
      </c>
    </row>
    <row r="53" spans="1:12" x14ac:dyDescent="0.25">
      <c r="A53" s="15">
        <f t="shared" si="1"/>
        <v>48</v>
      </c>
      <c r="B53" s="17">
        <v>244</v>
      </c>
      <c r="C53" s="18" t="s">
        <v>550</v>
      </c>
      <c r="D53" s="20" t="s">
        <v>1556</v>
      </c>
      <c r="E53" s="19">
        <v>0</v>
      </c>
      <c r="F53" s="20" t="s">
        <v>1556</v>
      </c>
      <c r="G53" s="21">
        <v>0</v>
      </c>
      <c r="H53" s="21">
        <v>0</v>
      </c>
      <c r="I53" s="14" t="s">
        <v>1561</v>
      </c>
      <c r="J53" s="21">
        <v>0</v>
      </c>
      <c r="K53" s="21">
        <v>0</v>
      </c>
      <c r="L53" s="24">
        <f t="shared" si="0"/>
        <v>0</v>
      </c>
    </row>
    <row r="54" spans="1:12" x14ac:dyDescent="0.25">
      <c r="A54" s="15">
        <f t="shared" si="1"/>
        <v>49</v>
      </c>
      <c r="B54" s="17">
        <v>262</v>
      </c>
      <c r="C54" s="18" t="s">
        <v>25</v>
      </c>
      <c r="D54" s="20">
        <v>3.1653178000000004</v>
      </c>
      <c r="E54" s="19">
        <v>0</v>
      </c>
      <c r="F54" s="20">
        <v>3.1653178000000004</v>
      </c>
      <c r="G54" s="21">
        <v>450.84257079999998</v>
      </c>
      <c r="H54" s="21">
        <v>357.22273680000001</v>
      </c>
      <c r="I54" s="14" t="s">
        <v>1561</v>
      </c>
      <c r="J54" s="21">
        <v>235.85099454682515</v>
      </c>
      <c r="K54" s="21">
        <v>446.75439259999996</v>
      </c>
      <c r="L54" s="24">
        <f t="shared" si="0"/>
        <v>0.99093213803491154</v>
      </c>
    </row>
    <row r="55" spans="1:12" x14ac:dyDescent="0.25">
      <c r="A55" s="15">
        <f t="shared" si="1"/>
        <v>50</v>
      </c>
      <c r="B55" s="17">
        <v>307</v>
      </c>
      <c r="C55" s="18" t="s">
        <v>28</v>
      </c>
      <c r="D55" s="20" t="s">
        <v>1556</v>
      </c>
      <c r="E55" s="19">
        <v>0</v>
      </c>
      <c r="F55" s="20" t="s">
        <v>1556</v>
      </c>
      <c r="G55" s="21">
        <v>0</v>
      </c>
      <c r="H55" s="21">
        <v>0</v>
      </c>
      <c r="I55" s="14" t="s">
        <v>1561</v>
      </c>
      <c r="J55" s="21">
        <v>0</v>
      </c>
      <c r="K55" s="21">
        <v>0</v>
      </c>
      <c r="L55" s="24">
        <f t="shared" si="0"/>
        <v>0</v>
      </c>
    </row>
    <row r="56" spans="1:12" x14ac:dyDescent="0.25">
      <c r="A56" s="15">
        <f t="shared" si="1"/>
        <v>51</v>
      </c>
      <c r="B56" s="17">
        <v>309</v>
      </c>
      <c r="C56" s="18" t="s">
        <v>208</v>
      </c>
      <c r="D56" s="20" t="s">
        <v>1556</v>
      </c>
      <c r="E56" s="19">
        <v>0</v>
      </c>
      <c r="F56" s="20" t="s">
        <v>1556</v>
      </c>
      <c r="G56" s="21">
        <v>0</v>
      </c>
      <c r="H56" s="21">
        <v>0</v>
      </c>
      <c r="I56" s="14" t="s">
        <v>1561</v>
      </c>
      <c r="J56" s="21">
        <v>0</v>
      </c>
      <c r="K56" s="21">
        <v>0</v>
      </c>
      <c r="L56" s="24">
        <f t="shared" si="0"/>
        <v>0</v>
      </c>
    </row>
    <row r="57" spans="1:12" x14ac:dyDescent="0.25">
      <c r="A57" s="15">
        <f t="shared" si="1"/>
        <v>52</v>
      </c>
      <c r="B57" s="17">
        <v>323</v>
      </c>
      <c r="C57" s="18" t="s">
        <v>432</v>
      </c>
      <c r="D57" s="20" t="s">
        <v>1556</v>
      </c>
      <c r="E57" s="19">
        <v>0</v>
      </c>
      <c r="F57" s="20" t="s">
        <v>1556</v>
      </c>
      <c r="G57" s="21">
        <v>0</v>
      </c>
      <c r="H57" s="21">
        <v>0</v>
      </c>
      <c r="I57" s="14" t="s">
        <v>1561</v>
      </c>
      <c r="J57" s="21">
        <v>17.635562166775902</v>
      </c>
      <c r="K57" s="21">
        <v>19.765106200000002</v>
      </c>
      <c r="L57" s="24">
        <f t="shared" si="0"/>
        <v>0</v>
      </c>
    </row>
    <row r="58" spans="1:12" x14ac:dyDescent="0.25">
      <c r="A58" s="15">
        <f t="shared" si="1"/>
        <v>53</v>
      </c>
      <c r="B58" s="17">
        <v>337</v>
      </c>
      <c r="C58" s="18" t="s">
        <v>551</v>
      </c>
      <c r="D58" s="20" t="s">
        <v>1556</v>
      </c>
      <c r="E58" s="19">
        <v>0</v>
      </c>
      <c r="F58" s="20" t="s">
        <v>1556</v>
      </c>
      <c r="G58" s="21">
        <v>0</v>
      </c>
      <c r="H58" s="21">
        <v>0</v>
      </c>
      <c r="I58" s="14" t="s">
        <v>1561</v>
      </c>
      <c r="J58" s="21">
        <v>0</v>
      </c>
      <c r="K58" s="21">
        <v>0</v>
      </c>
      <c r="L58" s="24">
        <f t="shared" si="0"/>
        <v>0</v>
      </c>
    </row>
    <row r="59" spans="1:12" x14ac:dyDescent="0.25">
      <c r="A59" s="15">
        <f t="shared" si="1"/>
        <v>54</v>
      </c>
      <c r="B59" s="17">
        <v>342</v>
      </c>
      <c r="C59" s="18" t="s">
        <v>329</v>
      </c>
      <c r="D59" s="20" t="s">
        <v>1556</v>
      </c>
      <c r="E59" s="19">
        <v>0</v>
      </c>
      <c r="F59" s="20" t="s">
        <v>1556</v>
      </c>
      <c r="G59" s="21">
        <v>0.59997</v>
      </c>
      <c r="H59" s="21">
        <v>0.59997</v>
      </c>
      <c r="I59" s="14" t="s">
        <v>1561</v>
      </c>
      <c r="J59" s="21">
        <v>3.2308282333333334E-3</v>
      </c>
      <c r="K59" s="21">
        <v>0.60189809999999999</v>
      </c>
      <c r="L59" s="24">
        <f t="shared" si="0"/>
        <v>1.0032136606830342</v>
      </c>
    </row>
    <row r="60" spans="1:12" x14ac:dyDescent="0.25">
      <c r="A60" s="15">
        <f t="shared" si="1"/>
        <v>55</v>
      </c>
      <c r="B60" s="17">
        <v>353</v>
      </c>
      <c r="C60" s="18" t="s">
        <v>209</v>
      </c>
      <c r="D60" s="20" t="s">
        <v>1556</v>
      </c>
      <c r="E60" s="19">
        <v>0</v>
      </c>
      <c r="F60" s="20" t="s">
        <v>1556</v>
      </c>
      <c r="G60" s="21">
        <v>0</v>
      </c>
      <c r="H60" s="21">
        <v>-32.000320000000002</v>
      </c>
      <c r="I60" s="14" t="s">
        <v>1561</v>
      </c>
      <c r="J60" s="21">
        <v>14.010665894092563</v>
      </c>
      <c r="K60" s="21">
        <v>2.4857451999999998</v>
      </c>
      <c r="L60" s="24">
        <f t="shared" si="0"/>
        <v>0</v>
      </c>
    </row>
    <row r="61" spans="1:12" x14ac:dyDescent="0.25">
      <c r="A61" s="15">
        <f t="shared" si="1"/>
        <v>56</v>
      </c>
      <c r="B61" s="17">
        <v>354</v>
      </c>
      <c r="C61" s="18" t="s">
        <v>26</v>
      </c>
      <c r="D61" s="20">
        <v>2.3128200000000002E-2</v>
      </c>
      <c r="E61" s="19">
        <v>0</v>
      </c>
      <c r="F61" s="20">
        <v>2.3128200000000002E-2</v>
      </c>
      <c r="G61" s="21">
        <v>0</v>
      </c>
      <c r="H61" s="21">
        <v>-0.14904799999999999</v>
      </c>
      <c r="I61" s="14" t="s">
        <v>1561</v>
      </c>
      <c r="J61" s="21">
        <v>7.0836065470549281</v>
      </c>
      <c r="K61" s="21">
        <v>8.0209218999999994</v>
      </c>
      <c r="L61" s="24">
        <f t="shared" si="0"/>
        <v>0</v>
      </c>
    </row>
    <row r="62" spans="1:12" x14ac:dyDescent="0.25">
      <c r="A62" s="15">
        <f t="shared" si="1"/>
        <v>57</v>
      </c>
      <c r="B62" s="17">
        <v>418</v>
      </c>
      <c r="C62" s="18" t="s">
        <v>552</v>
      </c>
      <c r="D62" s="20" t="s">
        <v>1556</v>
      </c>
      <c r="E62" s="19">
        <v>0</v>
      </c>
      <c r="F62" s="20" t="s">
        <v>1556</v>
      </c>
      <c r="G62" s="21">
        <v>0</v>
      </c>
      <c r="H62" s="21">
        <v>0</v>
      </c>
      <c r="I62" s="14" t="s">
        <v>1561</v>
      </c>
      <c r="J62" s="21">
        <v>0</v>
      </c>
      <c r="K62" s="21">
        <v>0</v>
      </c>
      <c r="L62" s="24">
        <f t="shared" si="0"/>
        <v>0</v>
      </c>
    </row>
    <row r="63" spans="1:12" x14ac:dyDescent="0.25">
      <c r="A63" s="15">
        <f t="shared" si="1"/>
        <v>58</v>
      </c>
      <c r="B63" s="17">
        <v>492</v>
      </c>
      <c r="C63" s="18" t="s">
        <v>553</v>
      </c>
      <c r="D63" s="20">
        <v>0.55357290000000003</v>
      </c>
      <c r="E63" s="19">
        <v>0</v>
      </c>
      <c r="F63" s="20">
        <v>0.55357290000000003</v>
      </c>
      <c r="G63" s="21">
        <v>37.966830399999999</v>
      </c>
      <c r="H63" s="21">
        <v>35.524225600000001</v>
      </c>
      <c r="I63" s="14" t="s">
        <v>1561</v>
      </c>
      <c r="J63" s="21">
        <v>40.199730701803858</v>
      </c>
      <c r="K63" s="21">
        <v>67.929557799999998</v>
      </c>
      <c r="L63" s="24">
        <f t="shared" si="0"/>
        <v>1.7891816905527094</v>
      </c>
    </row>
    <row r="64" spans="1:12" x14ac:dyDescent="0.25">
      <c r="A64" s="15">
        <f t="shared" si="1"/>
        <v>59</v>
      </c>
      <c r="B64" s="17">
        <v>493</v>
      </c>
      <c r="C64" s="18" t="s">
        <v>330</v>
      </c>
      <c r="D64" s="20">
        <v>7.0638999999999997E-3</v>
      </c>
      <c r="E64" s="19">
        <v>0</v>
      </c>
      <c r="F64" s="20">
        <v>7.0638999999999997E-3</v>
      </c>
      <c r="G64" s="21">
        <v>0.80995949999999994</v>
      </c>
      <c r="H64" s="21">
        <v>0.80995949999999994</v>
      </c>
      <c r="I64" s="14" t="s">
        <v>1561</v>
      </c>
      <c r="J64" s="21">
        <v>0.30232081440905018</v>
      </c>
      <c r="K64" s="21">
        <v>0.80266360000000003</v>
      </c>
      <c r="L64" s="24">
        <f t="shared" si="0"/>
        <v>0.99099226566266596</v>
      </c>
    </row>
    <row r="65" spans="1:12" x14ac:dyDescent="0.25">
      <c r="A65" s="15">
        <f t="shared" si="1"/>
        <v>60</v>
      </c>
      <c r="B65" s="17">
        <v>507</v>
      </c>
      <c r="C65" s="18" t="s">
        <v>157</v>
      </c>
      <c r="D65" s="20">
        <v>0.64786109999999997</v>
      </c>
      <c r="E65" s="19">
        <v>0</v>
      </c>
      <c r="F65" s="20">
        <v>0.64786109999999997</v>
      </c>
      <c r="G65" s="21">
        <v>84.209374100000005</v>
      </c>
      <c r="H65" s="21">
        <v>68.312129299999995</v>
      </c>
      <c r="I65" s="14" t="s">
        <v>1561</v>
      </c>
      <c r="J65" s="21">
        <v>52.11204556126124</v>
      </c>
      <c r="K65" s="21">
        <v>97.952935600000004</v>
      </c>
      <c r="L65" s="24">
        <f t="shared" si="0"/>
        <v>1.1632070259028324</v>
      </c>
    </row>
    <row r="66" spans="1:12" x14ac:dyDescent="0.25">
      <c r="A66" s="15">
        <f t="shared" si="1"/>
        <v>61</v>
      </c>
      <c r="B66" s="17">
        <v>601</v>
      </c>
      <c r="C66" s="18" t="s">
        <v>988</v>
      </c>
      <c r="D66" s="20" t="s">
        <v>1556</v>
      </c>
      <c r="E66" s="19">
        <v>0</v>
      </c>
      <c r="F66" s="20" t="s">
        <v>1556</v>
      </c>
      <c r="G66" s="21">
        <v>0</v>
      </c>
      <c r="H66" s="21">
        <v>0</v>
      </c>
      <c r="I66" s="14" t="s">
        <v>1561</v>
      </c>
      <c r="J66" s="21">
        <v>0</v>
      </c>
      <c r="K66" s="21">
        <v>0</v>
      </c>
      <c r="L66" s="24">
        <f t="shared" si="0"/>
        <v>0</v>
      </c>
    </row>
    <row r="67" spans="1:12" x14ac:dyDescent="0.25">
      <c r="A67" s="15">
        <f t="shared" si="1"/>
        <v>62</v>
      </c>
      <c r="B67" s="17">
        <v>633</v>
      </c>
      <c r="C67" s="18" t="s">
        <v>29</v>
      </c>
      <c r="D67" s="20">
        <v>2.2059200000000001E-2</v>
      </c>
      <c r="E67" s="19">
        <v>0</v>
      </c>
      <c r="F67" s="20">
        <v>2.2059200000000001E-2</v>
      </c>
      <c r="G67" s="21">
        <v>2.1198939999999999</v>
      </c>
      <c r="H67" s="21">
        <v>1.5892092999999998</v>
      </c>
      <c r="I67" s="14" t="s">
        <v>1561</v>
      </c>
      <c r="J67" s="21">
        <v>1.4992391855186382</v>
      </c>
      <c r="K67" s="21">
        <v>3.1892638</v>
      </c>
      <c r="L67" s="24">
        <f t="shared" si="0"/>
        <v>1.5044449392280934</v>
      </c>
    </row>
    <row r="68" spans="1:12" x14ac:dyDescent="0.25">
      <c r="A68" s="15">
        <f t="shared" si="1"/>
        <v>63</v>
      </c>
      <c r="B68" s="17">
        <v>654</v>
      </c>
      <c r="C68" s="18" t="s">
        <v>34</v>
      </c>
      <c r="D68" s="20" t="s">
        <v>1556</v>
      </c>
      <c r="E68" s="19">
        <v>0</v>
      </c>
      <c r="F68" s="20" t="s">
        <v>1556</v>
      </c>
      <c r="G68" s="21">
        <v>0</v>
      </c>
      <c r="H68" s="21">
        <v>0</v>
      </c>
      <c r="I68" s="14" t="s">
        <v>1561</v>
      </c>
      <c r="J68" s="21">
        <v>0</v>
      </c>
      <c r="K68" s="21">
        <v>0</v>
      </c>
      <c r="L68" s="24">
        <f t="shared" si="0"/>
        <v>0</v>
      </c>
    </row>
    <row r="69" spans="1:12" x14ac:dyDescent="0.25">
      <c r="A69" s="15">
        <f t="shared" si="1"/>
        <v>64</v>
      </c>
      <c r="B69" s="17">
        <v>655</v>
      </c>
      <c r="C69" s="18" t="s">
        <v>554</v>
      </c>
      <c r="D69" s="20">
        <v>12.5211082</v>
      </c>
      <c r="E69" s="19">
        <v>0</v>
      </c>
      <c r="F69" s="20">
        <v>12.5211082</v>
      </c>
      <c r="G69" s="21">
        <v>2115.7369757000001</v>
      </c>
      <c r="H69" s="21">
        <v>2061.5309766999999</v>
      </c>
      <c r="I69" s="14" t="s">
        <v>1561</v>
      </c>
      <c r="J69" s="21">
        <v>1032.9884406876961</v>
      </c>
      <c r="K69" s="21">
        <v>2426.1507525000002</v>
      </c>
      <c r="L69" s="24">
        <f t="shared" si="0"/>
        <v>1.1467166194877785</v>
      </c>
    </row>
    <row r="70" spans="1:12" x14ac:dyDescent="0.25">
      <c r="A70" s="15">
        <f t="shared" si="1"/>
        <v>65</v>
      </c>
      <c r="B70" s="17">
        <v>678</v>
      </c>
      <c r="C70" s="18" t="s">
        <v>555</v>
      </c>
      <c r="D70" s="20" t="s">
        <v>1556</v>
      </c>
      <c r="E70" s="19">
        <v>0</v>
      </c>
      <c r="F70" s="20" t="s">
        <v>1556</v>
      </c>
      <c r="G70" s="21">
        <v>0</v>
      </c>
      <c r="H70" s="21">
        <v>0</v>
      </c>
      <c r="I70" s="14" t="s">
        <v>1561</v>
      </c>
      <c r="J70" s="21">
        <v>0</v>
      </c>
      <c r="K70" s="21">
        <v>0</v>
      </c>
      <c r="L70" s="24">
        <f t="shared" si="0"/>
        <v>0</v>
      </c>
    </row>
    <row r="71" spans="1:12" x14ac:dyDescent="0.25">
      <c r="A71" s="15">
        <f t="shared" si="1"/>
        <v>66</v>
      </c>
      <c r="B71" s="17">
        <v>690</v>
      </c>
      <c r="C71" s="18" t="s">
        <v>556</v>
      </c>
      <c r="D71" s="20">
        <v>7.4140000000000002E-4</v>
      </c>
      <c r="E71" s="19">
        <v>0</v>
      </c>
      <c r="F71" s="20">
        <v>7.4140000000000002E-4</v>
      </c>
      <c r="G71" s="21">
        <v>7.4746265000000003</v>
      </c>
      <c r="H71" s="21">
        <v>7.1996264999999999</v>
      </c>
      <c r="I71" s="14" t="s">
        <v>1561</v>
      </c>
      <c r="J71" s="21">
        <v>0.57934534577499996</v>
      </c>
      <c r="K71" s="21">
        <v>7.4631926000000002</v>
      </c>
      <c r="L71" s="24">
        <f t="shared" ref="L71:L134" si="2">+IFERROR(K71/G71,0)</f>
        <v>0.99847030483730526</v>
      </c>
    </row>
    <row r="72" spans="1:12" x14ac:dyDescent="0.25">
      <c r="A72" s="15">
        <f t="shared" ref="A72:A135" si="3">A71+1</f>
        <v>67</v>
      </c>
      <c r="B72" s="17">
        <v>693</v>
      </c>
      <c r="C72" s="18" t="s">
        <v>989</v>
      </c>
      <c r="D72" s="20">
        <v>0.18598110000000001</v>
      </c>
      <c r="E72" s="19">
        <v>0</v>
      </c>
      <c r="F72" s="20">
        <v>0.18598110000000001</v>
      </c>
      <c r="G72" s="21">
        <v>17.332134199999999</v>
      </c>
      <c r="H72" s="21">
        <v>16.909348199999997</v>
      </c>
      <c r="I72" s="14" t="s">
        <v>1561</v>
      </c>
      <c r="J72" s="21">
        <v>15.959998634038437</v>
      </c>
      <c r="K72" s="21">
        <v>29.3854583</v>
      </c>
      <c r="L72" s="24">
        <f t="shared" si="2"/>
        <v>1.6954321932263829</v>
      </c>
    </row>
    <row r="73" spans="1:12" x14ac:dyDescent="0.25">
      <c r="A73" s="15">
        <f t="shared" si="3"/>
        <v>68</v>
      </c>
      <c r="B73" s="17">
        <v>703</v>
      </c>
      <c r="C73" s="18" t="s">
        <v>35</v>
      </c>
      <c r="D73" s="20" t="s">
        <v>1556</v>
      </c>
      <c r="E73" s="19">
        <v>0</v>
      </c>
      <c r="F73" s="20" t="s">
        <v>1556</v>
      </c>
      <c r="G73" s="21">
        <v>1.499925</v>
      </c>
      <c r="H73" s="21">
        <v>1.499925</v>
      </c>
      <c r="I73" s="14" t="s">
        <v>1561</v>
      </c>
      <c r="J73" s="21">
        <v>1.6363281183333332E-2</v>
      </c>
      <c r="K73" s="21">
        <v>1.5359665</v>
      </c>
      <c r="L73" s="24">
        <f t="shared" si="2"/>
        <v>1.0240288681100722</v>
      </c>
    </row>
    <row r="74" spans="1:12" x14ac:dyDescent="0.25">
      <c r="A74" s="15">
        <f t="shared" si="3"/>
        <v>69</v>
      </c>
      <c r="B74" s="17">
        <v>726</v>
      </c>
      <c r="C74" s="18" t="s">
        <v>990</v>
      </c>
      <c r="D74" s="20" t="s">
        <v>1556</v>
      </c>
      <c r="E74" s="19">
        <v>0</v>
      </c>
      <c r="F74" s="20" t="s">
        <v>1556</v>
      </c>
      <c r="G74" s="21">
        <v>0</v>
      </c>
      <c r="H74" s="21">
        <v>0</v>
      </c>
      <c r="I74" s="14" t="s">
        <v>1561</v>
      </c>
      <c r="J74" s="21">
        <v>0</v>
      </c>
      <c r="K74" s="21">
        <v>0</v>
      </c>
      <c r="L74" s="24">
        <f t="shared" si="2"/>
        <v>0</v>
      </c>
    </row>
    <row r="75" spans="1:12" x14ac:dyDescent="0.25">
      <c r="A75" s="15">
        <f t="shared" si="3"/>
        <v>70</v>
      </c>
      <c r="B75" s="17">
        <v>784</v>
      </c>
      <c r="C75" s="18" t="s">
        <v>557</v>
      </c>
      <c r="D75" s="20" t="s">
        <v>1556</v>
      </c>
      <c r="E75" s="19">
        <v>0</v>
      </c>
      <c r="F75" s="20" t="s">
        <v>1556</v>
      </c>
      <c r="G75" s="21">
        <v>0</v>
      </c>
      <c r="H75" s="21">
        <v>0</v>
      </c>
      <c r="I75" s="14" t="s">
        <v>1561</v>
      </c>
      <c r="J75" s="21">
        <v>0</v>
      </c>
      <c r="K75" s="21">
        <v>0</v>
      </c>
      <c r="L75" s="24">
        <f t="shared" si="2"/>
        <v>0</v>
      </c>
    </row>
    <row r="76" spans="1:12" x14ac:dyDescent="0.25">
      <c r="A76" s="15">
        <f t="shared" si="3"/>
        <v>71</v>
      </c>
      <c r="B76" s="17">
        <v>796</v>
      </c>
      <c r="C76" s="18" t="s">
        <v>558</v>
      </c>
      <c r="D76" s="20" t="s">
        <v>1556</v>
      </c>
      <c r="E76" s="19">
        <v>0</v>
      </c>
      <c r="F76" s="20" t="s">
        <v>1556</v>
      </c>
      <c r="G76" s="21">
        <v>1.5049248000000002</v>
      </c>
      <c r="H76" s="21">
        <v>1.5049248000000002</v>
      </c>
      <c r="I76" s="14" t="s">
        <v>1561</v>
      </c>
      <c r="J76" s="21">
        <v>4.0454962333333335E-3</v>
      </c>
      <c r="K76" s="21">
        <v>1.5049245999999998</v>
      </c>
      <c r="L76" s="24">
        <f t="shared" si="2"/>
        <v>0.99999986710299393</v>
      </c>
    </row>
    <row r="77" spans="1:12" x14ac:dyDescent="0.25">
      <c r="A77" s="15">
        <f t="shared" si="3"/>
        <v>72</v>
      </c>
      <c r="B77" s="17">
        <v>797</v>
      </c>
      <c r="C77" s="18" t="s">
        <v>991</v>
      </c>
      <c r="D77" s="20" t="s">
        <v>1556</v>
      </c>
      <c r="E77" s="19">
        <v>0</v>
      </c>
      <c r="F77" s="20" t="s">
        <v>1556</v>
      </c>
      <c r="G77" s="21">
        <v>0.27998600000000001</v>
      </c>
      <c r="H77" s="21">
        <v>0.27998600000000001</v>
      </c>
      <c r="I77" s="14" t="s">
        <v>1561</v>
      </c>
      <c r="J77" s="21">
        <v>6.7586567262096775E-2</v>
      </c>
      <c r="K77" s="21">
        <v>0.28897650000000003</v>
      </c>
      <c r="L77" s="24">
        <f t="shared" si="2"/>
        <v>1.0321105340981336</v>
      </c>
    </row>
    <row r="78" spans="1:12" x14ac:dyDescent="0.25">
      <c r="A78" s="15">
        <f t="shared" si="3"/>
        <v>73</v>
      </c>
      <c r="B78" s="17">
        <v>811</v>
      </c>
      <c r="C78" s="18" t="s">
        <v>559</v>
      </c>
      <c r="D78" s="20" t="s">
        <v>1556</v>
      </c>
      <c r="E78" s="19">
        <v>0</v>
      </c>
      <c r="F78" s="20" t="s">
        <v>1556</v>
      </c>
      <c r="G78" s="21">
        <v>0</v>
      </c>
      <c r="H78" s="21">
        <v>0</v>
      </c>
      <c r="I78" s="14" t="s">
        <v>1561</v>
      </c>
      <c r="J78" s="21">
        <v>0</v>
      </c>
      <c r="K78" s="21">
        <v>0</v>
      </c>
      <c r="L78" s="24">
        <f t="shared" si="2"/>
        <v>0</v>
      </c>
    </row>
    <row r="79" spans="1:12" x14ac:dyDescent="0.25">
      <c r="A79" s="15">
        <f t="shared" si="3"/>
        <v>74</v>
      </c>
      <c r="B79" s="17">
        <v>821</v>
      </c>
      <c r="C79" s="18" t="s">
        <v>992</v>
      </c>
      <c r="D79" s="20">
        <v>4.2209999999999999E-3</v>
      </c>
      <c r="E79" s="19">
        <v>0</v>
      </c>
      <c r="F79" s="20">
        <v>4.2209999999999999E-3</v>
      </c>
      <c r="G79" s="21">
        <v>1.6954154000000001</v>
      </c>
      <c r="H79" s="21">
        <v>1.6954154000000001</v>
      </c>
      <c r="I79" s="14" t="s">
        <v>1561</v>
      </c>
      <c r="J79" s="21">
        <v>0.16802671618333334</v>
      </c>
      <c r="K79" s="21">
        <v>1.6789347000000001</v>
      </c>
      <c r="L79" s="24">
        <f t="shared" si="2"/>
        <v>0.99027925545562456</v>
      </c>
    </row>
    <row r="80" spans="1:12" x14ac:dyDescent="0.25">
      <c r="A80" s="15">
        <f t="shared" si="3"/>
        <v>75</v>
      </c>
      <c r="B80" s="17">
        <v>839</v>
      </c>
      <c r="C80" s="18" t="s">
        <v>30</v>
      </c>
      <c r="D80" s="20">
        <v>0.50971169999999999</v>
      </c>
      <c r="E80" s="19">
        <v>0</v>
      </c>
      <c r="F80" s="20">
        <v>0.50971169999999999</v>
      </c>
      <c r="G80" s="21">
        <v>71.656420499999996</v>
      </c>
      <c r="H80" s="21">
        <v>70.037957199999994</v>
      </c>
      <c r="I80" s="14" t="s">
        <v>1561</v>
      </c>
      <c r="J80" s="21">
        <v>36.133446451272142</v>
      </c>
      <c r="K80" s="21">
        <v>76.353633000000002</v>
      </c>
      <c r="L80" s="24">
        <f t="shared" si="2"/>
        <v>1.0655518719358861</v>
      </c>
    </row>
    <row r="81" spans="1:12" x14ac:dyDescent="0.25">
      <c r="A81" s="15">
        <f t="shared" si="3"/>
        <v>76</v>
      </c>
      <c r="B81" s="17">
        <v>845</v>
      </c>
      <c r="C81" s="18" t="s">
        <v>31</v>
      </c>
      <c r="D81" s="20">
        <v>85.531167400000001</v>
      </c>
      <c r="E81" s="19">
        <v>0</v>
      </c>
      <c r="F81" s="20">
        <v>85.531167400000001</v>
      </c>
      <c r="G81" s="21">
        <v>16878.412009600001</v>
      </c>
      <c r="H81" s="21">
        <v>13179.086051800001</v>
      </c>
      <c r="I81" s="14" t="s">
        <v>1561</v>
      </c>
      <c r="J81" s="21">
        <v>6197.4408337461791</v>
      </c>
      <c r="K81" s="21">
        <v>14302.794062999999</v>
      </c>
      <c r="L81" s="24">
        <f t="shared" si="2"/>
        <v>0.84740164269393015</v>
      </c>
    </row>
    <row r="82" spans="1:12" x14ac:dyDescent="0.25">
      <c r="A82" s="15">
        <f t="shared" si="3"/>
        <v>77</v>
      </c>
      <c r="B82" s="17">
        <v>866</v>
      </c>
      <c r="C82" s="18" t="s">
        <v>560</v>
      </c>
      <c r="D82" s="20">
        <v>0.12944799999999998</v>
      </c>
      <c r="E82" s="19">
        <v>0</v>
      </c>
      <c r="F82" s="20">
        <v>0.12944799999999998</v>
      </c>
      <c r="G82" s="21">
        <v>26.138692999999996</v>
      </c>
      <c r="H82" s="21">
        <v>5.1112175000000004</v>
      </c>
      <c r="I82" s="14" t="s">
        <v>1561</v>
      </c>
      <c r="J82" s="21">
        <v>8.7038781662946203</v>
      </c>
      <c r="K82" s="21">
        <v>9.4885834999999989</v>
      </c>
      <c r="L82" s="24">
        <f t="shared" si="2"/>
        <v>0.36300910301827255</v>
      </c>
    </row>
    <row r="83" spans="1:12" x14ac:dyDescent="0.25">
      <c r="A83" s="15">
        <f t="shared" si="3"/>
        <v>78</v>
      </c>
      <c r="B83" s="17">
        <v>868</v>
      </c>
      <c r="C83" s="18" t="s">
        <v>561</v>
      </c>
      <c r="D83" s="20" t="s">
        <v>1556</v>
      </c>
      <c r="E83" s="19">
        <v>0</v>
      </c>
      <c r="F83" s="20" t="s">
        <v>1556</v>
      </c>
      <c r="G83" s="21">
        <v>0</v>
      </c>
      <c r="H83" s="21">
        <v>0</v>
      </c>
      <c r="I83" s="14" t="s">
        <v>1561</v>
      </c>
      <c r="J83" s="21">
        <v>0</v>
      </c>
      <c r="K83" s="21">
        <v>0</v>
      </c>
      <c r="L83" s="24">
        <f t="shared" si="2"/>
        <v>0</v>
      </c>
    </row>
    <row r="84" spans="1:12" x14ac:dyDescent="0.25">
      <c r="A84" s="15">
        <f t="shared" si="3"/>
        <v>79</v>
      </c>
      <c r="B84" s="17">
        <v>893</v>
      </c>
      <c r="C84" s="18" t="s">
        <v>993</v>
      </c>
      <c r="D84" s="20" t="s">
        <v>1556</v>
      </c>
      <c r="E84" s="19">
        <v>0</v>
      </c>
      <c r="F84" s="20" t="s">
        <v>1556</v>
      </c>
      <c r="G84" s="21">
        <v>3.8248088</v>
      </c>
      <c r="H84" s="21">
        <v>3.8248088</v>
      </c>
      <c r="I84" s="14" t="s">
        <v>1561</v>
      </c>
      <c r="J84" s="21">
        <v>0.32016270439166661</v>
      </c>
      <c r="K84" s="21">
        <v>4.0257702000000002</v>
      </c>
      <c r="L84" s="24">
        <f t="shared" si="2"/>
        <v>1.0525415544954824</v>
      </c>
    </row>
    <row r="85" spans="1:12" x14ac:dyDescent="0.25">
      <c r="A85" s="15">
        <f t="shared" si="3"/>
        <v>80</v>
      </c>
      <c r="B85" s="17">
        <v>900</v>
      </c>
      <c r="C85" s="18" t="s">
        <v>32</v>
      </c>
      <c r="D85" s="20" t="s">
        <v>1556</v>
      </c>
      <c r="E85" s="19">
        <v>0</v>
      </c>
      <c r="F85" s="20" t="s">
        <v>1556</v>
      </c>
      <c r="G85" s="21">
        <v>0</v>
      </c>
      <c r="H85" s="21">
        <v>0</v>
      </c>
      <c r="I85" s="14" t="s">
        <v>1561</v>
      </c>
      <c r="J85" s="21">
        <v>0</v>
      </c>
      <c r="K85" s="21">
        <v>0</v>
      </c>
      <c r="L85" s="24">
        <f t="shared" si="2"/>
        <v>0</v>
      </c>
    </row>
    <row r="86" spans="1:12" x14ac:dyDescent="0.25">
      <c r="A86" s="15">
        <f t="shared" si="3"/>
        <v>81</v>
      </c>
      <c r="B86" s="17">
        <v>906</v>
      </c>
      <c r="C86" s="18" t="s">
        <v>158</v>
      </c>
      <c r="D86" s="20">
        <v>1.1666300000000001E-2</v>
      </c>
      <c r="E86" s="19">
        <v>0</v>
      </c>
      <c r="F86" s="20">
        <v>1.1666300000000001E-2</v>
      </c>
      <c r="G86" s="21">
        <v>46.000202899999998</v>
      </c>
      <c r="H86" s="21">
        <v>44.610721100000006</v>
      </c>
      <c r="I86" s="14" t="s">
        <v>1561</v>
      </c>
      <c r="J86" s="21">
        <v>2.7175768790274195</v>
      </c>
      <c r="K86" s="21">
        <v>46.556252000000001</v>
      </c>
      <c r="L86" s="24">
        <f t="shared" si="2"/>
        <v>1.012087970594582</v>
      </c>
    </row>
    <row r="87" spans="1:12" x14ac:dyDescent="0.25">
      <c r="A87" s="15">
        <f t="shared" si="3"/>
        <v>82</v>
      </c>
      <c r="B87" s="17">
        <v>910</v>
      </c>
      <c r="C87" s="18" t="s">
        <v>33</v>
      </c>
      <c r="D87" s="20" t="s">
        <v>1556</v>
      </c>
      <c r="E87" s="19">
        <v>0</v>
      </c>
      <c r="F87" s="20" t="s">
        <v>1556</v>
      </c>
      <c r="G87" s="21">
        <v>0</v>
      </c>
      <c r="H87" s="21">
        <v>0</v>
      </c>
      <c r="I87" s="14" t="s">
        <v>1561</v>
      </c>
      <c r="J87" s="21">
        <v>0</v>
      </c>
      <c r="K87" s="21">
        <v>0</v>
      </c>
      <c r="L87" s="24">
        <f t="shared" si="2"/>
        <v>0</v>
      </c>
    </row>
    <row r="88" spans="1:12" x14ac:dyDescent="0.25">
      <c r="A88" s="15">
        <f t="shared" si="3"/>
        <v>83</v>
      </c>
      <c r="B88" s="17">
        <v>912</v>
      </c>
      <c r="C88" s="18" t="s">
        <v>159</v>
      </c>
      <c r="D88" s="20" t="s">
        <v>1556</v>
      </c>
      <c r="E88" s="19">
        <v>0</v>
      </c>
      <c r="F88" s="20" t="s">
        <v>1556</v>
      </c>
      <c r="G88" s="21">
        <v>0</v>
      </c>
      <c r="H88" s="21">
        <v>0</v>
      </c>
      <c r="I88" s="14" t="s">
        <v>1561</v>
      </c>
      <c r="J88" s="21">
        <v>0</v>
      </c>
      <c r="K88" s="21">
        <v>0</v>
      </c>
      <c r="L88" s="24">
        <f t="shared" si="2"/>
        <v>0</v>
      </c>
    </row>
    <row r="89" spans="1:12" x14ac:dyDescent="0.25">
      <c r="A89" s="15">
        <f t="shared" si="3"/>
        <v>84</v>
      </c>
      <c r="B89" s="17">
        <v>930</v>
      </c>
      <c r="C89" s="18" t="s">
        <v>160</v>
      </c>
      <c r="D89" s="20" t="s">
        <v>1556</v>
      </c>
      <c r="E89" s="19">
        <v>0</v>
      </c>
      <c r="F89" s="20" t="s">
        <v>1556</v>
      </c>
      <c r="G89" s="21">
        <v>0</v>
      </c>
      <c r="H89" s="21">
        <v>0</v>
      </c>
      <c r="I89" s="14" t="s">
        <v>1561</v>
      </c>
      <c r="J89" s="21">
        <v>0</v>
      </c>
      <c r="K89" s="21">
        <v>0</v>
      </c>
      <c r="L89" s="24">
        <f t="shared" si="2"/>
        <v>0</v>
      </c>
    </row>
    <row r="90" spans="1:12" x14ac:dyDescent="0.25">
      <c r="A90" s="15">
        <f t="shared" si="3"/>
        <v>85</v>
      </c>
      <c r="B90" s="17">
        <v>938</v>
      </c>
      <c r="C90" s="18" t="s">
        <v>994</v>
      </c>
      <c r="D90" s="20">
        <v>2.4460788</v>
      </c>
      <c r="E90" s="19">
        <v>0</v>
      </c>
      <c r="F90" s="20">
        <v>2.4460788</v>
      </c>
      <c r="G90" s="21">
        <v>485.47471039999999</v>
      </c>
      <c r="H90" s="21">
        <v>466.19344719999998</v>
      </c>
      <c r="I90" s="14" t="s">
        <v>1561</v>
      </c>
      <c r="J90" s="21">
        <v>195.45862540197288</v>
      </c>
      <c r="K90" s="21">
        <v>493.1259043</v>
      </c>
      <c r="L90" s="24">
        <f t="shared" si="2"/>
        <v>1.0157602316579908</v>
      </c>
    </row>
    <row r="91" spans="1:12" x14ac:dyDescent="0.25">
      <c r="A91" s="15">
        <f t="shared" si="3"/>
        <v>86</v>
      </c>
      <c r="B91" s="17">
        <v>940</v>
      </c>
      <c r="C91" s="18" t="s">
        <v>36</v>
      </c>
      <c r="D91" s="20">
        <v>6.2438300000000002E-2</v>
      </c>
      <c r="E91" s="19">
        <v>0</v>
      </c>
      <c r="F91" s="20">
        <v>6.2438300000000002E-2</v>
      </c>
      <c r="G91" s="21">
        <v>14.429278500000001</v>
      </c>
      <c r="H91" s="21">
        <v>11.109265600000001</v>
      </c>
      <c r="I91" s="14" t="s">
        <v>1561</v>
      </c>
      <c r="J91" s="21">
        <v>6.7443493655233864</v>
      </c>
      <c r="K91" s="21">
        <v>14.113063400000001</v>
      </c>
      <c r="L91" s="24">
        <f t="shared" si="2"/>
        <v>0.9780851759150675</v>
      </c>
    </row>
    <row r="92" spans="1:12" x14ac:dyDescent="0.25">
      <c r="A92" s="15">
        <f t="shared" si="3"/>
        <v>87</v>
      </c>
      <c r="B92" s="17">
        <v>941</v>
      </c>
      <c r="C92" s="18" t="s">
        <v>246</v>
      </c>
      <c r="D92" s="20" t="s">
        <v>1556</v>
      </c>
      <c r="E92" s="19">
        <v>0</v>
      </c>
      <c r="F92" s="20" t="s">
        <v>1556</v>
      </c>
      <c r="G92" s="21">
        <v>0</v>
      </c>
      <c r="H92" s="21">
        <v>0</v>
      </c>
      <c r="I92" s="14" t="s">
        <v>1561</v>
      </c>
      <c r="J92" s="21">
        <v>0</v>
      </c>
      <c r="K92" s="21">
        <v>0</v>
      </c>
      <c r="L92" s="24">
        <f t="shared" si="2"/>
        <v>0</v>
      </c>
    </row>
    <row r="93" spans="1:12" x14ac:dyDescent="0.25">
      <c r="A93" s="15">
        <f t="shared" si="3"/>
        <v>88</v>
      </c>
      <c r="B93" s="17">
        <v>950</v>
      </c>
      <c r="C93" s="18" t="s">
        <v>562</v>
      </c>
      <c r="D93" s="20" t="s">
        <v>1556</v>
      </c>
      <c r="E93" s="19">
        <v>0</v>
      </c>
      <c r="F93" s="20" t="s">
        <v>1556</v>
      </c>
      <c r="G93" s="21">
        <v>0</v>
      </c>
      <c r="H93" s="21">
        <v>0</v>
      </c>
      <c r="I93" s="14" t="s">
        <v>1561</v>
      </c>
      <c r="J93" s="21">
        <v>0</v>
      </c>
      <c r="K93" s="21">
        <v>0</v>
      </c>
      <c r="L93" s="24">
        <f t="shared" si="2"/>
        <v>0</v>
      </c>
    </row>
    <row r="94" spans="1:12" x14ac:dyDescent="0.25">
      <c r="A94" s="15">
        <f t="shared" si="3"/>
        <v>89</v>
      </c>
      <c r="B94" s="17">
        <v>952</v>
      </c>
      <c r="C94" s="18" t="s">
        <v>563</v>
      </c>
      <c r="D94" s="20" t="s">
        <v>1556</v>
      </c>
      <c r="E94" s="19">
        <v>0</v>
      </c>
      <c r="F94" s="20" t="s">
        <v>1556</v>
      </c>
      <c r="G94" s="21">
        <v>0</v>
      </c>
      <c r="H94" s="21">
        <v>0</v>
      </c>
      <c r="I94" s="14" t="s">
        <v>1561</v>
      </c>
      <c r="J94" s="21">
        <v>0</v>
      </c>
      <c r="K94" s="21">
        <v>0</v>
      </c>
      <c r="L94" s="24">
        <f t="shared" si="2"/>
        <v>0</v>
      </c>
    </row>
    <row r="95" spans="1:12" x14ac:dyDescent="0.25">
      <c r="A95" s="15">
        <f t="shared" si="3"/>
        <v>90</v>
      </c>
      <c r="B95" s="17">
        <v>959</v>
      </c>
      <c r="C95" s="18" t="s">
        <v>161</v>
      </c>
      <c r="D95" s="20">
        <v>0.60058690000000003</v>
      </c>
      <c r="E95" s="19">
        <v>0</v>
      </c>
      <c r="F95" s="20">
        <v>0.60058690000000003</v>
      </c>
      <c r="G95" s="21">
        <v>231.864541</v>
      </c>
      <c r="H95" s="21">
        <v>154.97709979999999</v>
      </c>
      <c r="I95" s="14" t="s">
        <v>1561</v>
      </c>
      <c r="J95" s="21">
        <v>75.643256231907984</v>
      </c>
      <c r="K95" s="21">
        <v>162.437882</v>
      </c>
      <c r="L95" s="24">
        <f t="shared" si="2"/>
        <v>0.70057233115261031</v>
      </c>
    </row>
    <row r="96" spans="1:12" x14ac:dyDescent="0.25">
      <c r="A96" s="15">
        <f t="shared" si="3"/>
        <v>91</v>
      </c>
      <c r="B96" s="17">
        <v>962</v>
      </c>
      <c r="C96" s="18" t="s">
        <v>331</v>
      </c>
      <c r="D96" s="20">
        <v>0.32441229999999999</v>
      </c>
      <c r="E96" s="19">
        <v>0</v>
      </c>
      <c r="F96" s="20">
        <v>0.32441229999999999</v>
      </c>
      <c r="G96" s="21">
        <v>119.4711186</v>
      </c>
      <c r="H96" s="21">
        <v>117.6462677</v>
      </c>
      <c r="I96" s="14" t="s">
        <v>1561</v>
      </c>
      <c r="J96" s="21">
        <v>25.92503467294533</v>
      </c>
      <c r="K96" s="21">
        <v>125.6054905</v>
      </c>
      <c r="L96" s="24">
        <f t="shared" si="2"/>
        <v>1.0513460656590856</v>
      </c>
    </row>
    <row r="97" spans="1:12" x14ac:dyDescent="0.25">
      <c r="A97" s="15">
        <f t="shared" si="3"/>
        <v>92</v>
      </c>
      <c r="B97" s="17">
        <v>988</v>
      </c>
      <c r="C97" s="18" t="s">
        <v>37</v>
      </c>
      <c r="D97" s="20" t="s">
        <v>1556</v>
      </c>
      <c r="E97" s="19">
        <v>0</v>
      </c>
      <c r="F97" s="20" t="s">
        <v>1556</v>
      </c>
      <c r="G97" s="21">
        <v>4.79976</v>
      </c>
      <c r="H97" s="21">
        <v>3.79976</v>
      </c>
      <c r="I97" s="14" t="s">
        <v>1561</v>
      </c>
      <c r="J97" s="21">
        <v>3.1934528258764341</v>
      </c>
      <c r="K97" s="21">
        <v>5.1567562000000002</v>
      </c>
      <c r="L97" s="24">
        <f t="shared" si="2"/>
        <v>1.0743779272296949</v>
      </c>
    </row>
    <row r="98" spans="1:12" x14ac:dyDescent="0.25">
      <c r="A98" s="15">
        <f t="shared" si="3"/>
        <v>93</v>
      </c>
      <c r="B98" s="17">
        <v>1006</v>
      </c>
      <c r="C98" s="18" t="s">
        <v>45</v>
      </c>
      <c r="D98" s="20" t="s">
        <v>1556</v>
      </c>
      <c r="E98" s="19">
        <v>0</v>
      </c>
      <c r="F98" s="20" t="s">
        <v>1556</v>
      </c>
      <c r="G98" s="21">
        <v>0</v>
      </c>
      <c r="H98" s="21">
        <v>0</v>
      </c>
      <c r="I98" s="14" t="s">
        <v>1561</v>
      </c>
      <c r="J98" s="21">
        <v>0</v>
      </c>
      <c r="K98" s="21">
        <v>0</v>
      </c>
      <c r="L98" s="24">
        <f t="shared" si="2"/>
        <v>0</v>
      </c>
    </row>
    <row r="99" spans="1:12" x14ac:dyDescent="0.25">
      <c r="A99" s="15">
        <f t="shared" si="3"/>
        <v>94</v>
      </c>
      <c r="B99" s="17">
        <v>1017</v>
      </c>
      <c r="C99" s="18" t="s">
        <v>38</v>
      </c>
      <c r="D99" s="20" t="s">
        <v>1556</v>
      </c>
      <c r="E99" s="19">
        <v>0</v>
      </c>
      <c r="F99" s="20" t="s">
        <v>1556</v>
      </c>
      <c r="G99" s="21">
        <v>0</v>
      </c>
      <c r="H99" s="21">
        <v>0</v>
      </c>
      <c r="I99" s="14" t="s">
        <v>1561</v>
      </c>
      <c r="J99" s="21">
        <v>0</v>
      </c>
      <c r="K99" s="21">
        <v>0</v>
      </c>
      <c r="L99" s="24">
        <f t="shared" si="2"/>
        <v>0</v>
      </c>
    </row>
    <row r="100" spans="1:12" x14ac:dyDescent="0.25">
      <c r="A100" s="15">
        <f t="shared" si="3"/>
        <v>95</v>
      </c>
      <c r="B100" s="17">
        <v>1022</v>
      </c>
      <c r="C100" s="18" t="s">
        <v>564</v>
      </c>
      <c r="D100" s="20" t="s">
        <v>1556</v>
      </c>
      <c r="E100" s="19">
        <v>0</v>
      </c>
      <c r="F100" s="20" t="s">
        <v>1556</v>
      </c>
      <c r="G100" s="21">
        <v>0</v>
      </c>
      <c r="H100" s="21">
        <v>0</v>
      </c>
      <c r="I100" s="14" t="s">
        <v>1561</v>
      </c>
      <c r="J100" s="21">
        <v>0</v>
      </c>
      <c r="K100" s="21">
        <v>0</v>
      </c>
      <c r="L100" s="24">
        <f t="shared" si="2"/>
        <v>0</v>
      </c>
    </row>
    <row r="101" spans="1:12" x14ac:dyDescent="0.25">
      <c r="A101" s="15">
        <f t="shared" si="3"/>
        <v>96</v>
      </c>
      <c r="B101" s="17">
        <v>1027</v>
      </c>
      <c r="C101" s="18" t="s">
        <v>995</v>
      </c>
      <c r="D101" s="20" t="s">
        <v>1556</v>
      </c>
      <c r="E101" s="19">
        <v>0</v>
      </c>
      <c r="F101" s="20" t="s">
        <v>1556</v>
      </c>
      <c r="G101" s="21">
        <v>0</v>
      </c>
      <c r="H101" s="21">
        <v>0</v>
      </c>
      <c r="I101" s="14" t="s">
        <v>1561</v>
      </c>
      <c r="J101" s="21">
        <v>0</v>
      </c>
      <c r="K101" s="21">
        <v>0</v>
      </c>
      <c r="L101" s="24">
        <f t="shared" si="2"/>
        <v>0</v>
      </c>
    </row>
    <row r="102" spans="1:12" x14ac:dyDescent="0.25">
      <c r="A102" s="15">
        <f t="shared" si="3"/>
        <v>97</v>
      </c>
      <c r="B102" s="17">
        <v>1031</v>
      </c>
      <c r="C102" s="18" t="s">
        <v>996</v>
      </c>
      <c r="D102" s="20" t="s">
        <v>1556</v>
      </c>
      <c r="E102" s="19">
        <v>0</v>
      </c>
      <c r="F102" s="20" t="s">
        <v>1556</v>
      </c>
      <c r="G102" s="21">
        <v>0</v>
      </c>
      <c r="H102" s="21">
        <v>0</v>
      </c>
      <c r="I102" s="14" t="s">
        <v>1561</v>
      </c>
      <c r="J102" s="21">
        <v>0</v>
      </c>
      <c r="K102" s="21">
        <v>0</v>
      </c>
      <c r="L102" s="24">
        <f t="shared" si="2"/>
        <v>0</v>
      </c>
    </row>
    <row r="103" spans="1:12" x14ac:dyDescent="0.25">
      <c r="A103" s="15">
        <f t="shared" si="3"/>
        <v>98</v>
      </c>
      <c r="B103" s="17">
        <v>1037</v>
      </c>
      <c r="C103" s="18" t="s">
        <v>565</v>
      </c>
      <c r="D103" s="20">
        <v>0.83301479999999994</v>
      </c>
      <c r="E103" s="19">
        <v>0</v>
      </c>
      <c r="F103" s="20">
        <v>0.83301479999999994</v>
      </c>
      <c r="G103" s="21">
        <v>102.9498529</v>
      </c>
      <c r="H103" s="21">
        <v>102.87613189999999</v>
      </c>
      <c r="I103" s="14" t="s">
        <v>1561</v>
      </c>
      <c r="J103" s="21">
        <v>60.854263259484505</v>
      </c>
      <c r="K103" s="21">
        <v>122.312777</v>
      </c>
      <c r="L103" s="24">
        <f t="shared" si="2"/>
        <v>1.1880811244947393</v>
      </c>
    </row>
    <row r="104" spans="1:12" x14ac:dyDescent="0.25">
      <c r="A104" s="15">
        <f t="shared" si="3"/>
        <v>99</v>
      </c>
      <c r="B104" s="17">
        <v>1106</v>
      </c>
      <c r="C104" s="18" t="s">
        <v>997</v>
      </c>
      <c r="D104" s="20" t="s">
        <v>1556</v>
      </c>
      <c r="E104" s="19">
        <v>0</v>
      </c>
      <c r="F104" s="20" t="s">
        <v>1556</v>
      </c>
      <c r="G104" s="21">
        <v>0</v>
      </c>
      <c r="H104" s="21">
        <v>0</v>
      </c>
      <c r="I104" s="14" t="s">
        <v>1561</v>
      </c>
      <c r="J104" s="21">
        <v>0</v>
      </c>
      <c r="K104" s="21">
        <v>0</v>
      </c>
      <c r="L104" s="24">
        <f t="shared" si="2"/>
        <v>0</v>
      </c>
    </row>
    <row r="105" spans="1:12" x14ac:dyDescent="0.25">
      <c r="A105" s="15">
        <f t="shared" si="3"/>
        <v>100</v>
      </c>
      <c r="B105" s="17">
        <v>1132</v>
      </c>
      <c r="C105" s="18" t="s">
        <v>566</v>
      </c>
      <c r="D105" s="20">
        <v>0.16225290000000001</v>
      </c>
      <c r="E105" s="19">
        <v>0</v>
      </c>
      <c r="F105" s="20">
        <v>0.16225290000000001</v>
      </c>
      <c r="G105" s="21">
        <v>45.767713099999995</v>
      </c>
      <c r="H105" s="21">
        <v>45.24117489999999</v>
      </c>
      <c r="I105" s="14" t="s">
        <v>1561</v>
      </c>
      <c r="J105" s="21">
        <v>21.363032206151072</v>
      </c>
      <c r="K105" s="21">
        <v>64.037881400000003</v>
      </c>
      <c r="L105" s="24">
        <f t="shared" si="2"/>
        <v>1.3991933846482709</v>
      </c>
    </row>
    <row r="106" spans="1:12" x14ac:dyDescent="0.25">
      <c r="A106" s="15">
        <f t="shared" si="3"/>
        <v>101</v>
      </c>
      <c r="B106" s="17">
        <v>1133</v>
      </c>
      <c r="C106" s="18" t="s">
        <v>567</v>
      </c>
      <c r="D106" s="20" t="s">
        <v>1556</v>
      </c>
      <c r="E106" s="19">
        <v>0</v>
      </c>
      <c r="F106" s="20" t="s">
        <v>1556</v>
      </c>
      <c r="G106" s="21">
        <v>1.3949307999999998</v>
      </c>
      <c r="H106" s="21">
        <v>1.3949307999999998</v>
      </c>
      <c r="I106" s="14" t="s">
        <v>1561</v>
      </c>
      <c r="J106" s="21">
        <v>8.4629077424999991E-2</v>
      </c>
      <c r="K106" s="21">
        <v>1.5169907999999999</v>
      </c>
      <c r="L106" s="24">
        <f t="shared" si="2"/>
        <v>1.0875025485135177</v>
      </c>
    </row>
    <row r="107" spans="1:12" x14ac:dyDescent="0.25">
      <c r="A107" s="15">
        <f t="shared" si="3"/>
        <v>102</v>
      </c>
      <c r="B107" s="17">
        <v>1142</v>
      </c>
      <c r="C107" s="18" t="s">
        <v>39</v>
      </c>
      <c r="D107" s="20">
        <v>34.135802300000002</v>
      </c>
      <c r="E107" s="19">
        <v>0</v>
      </c>
      <c r="F107" s="20">
        <v>34.135802300000002</v>
      </c>
      <c r="G107" s="21">
        <v>4295.3573987</v>
      </c>
      <c r="H107" s="21">
        <v>3960.3627323000001</v>
      </c>
      <c r="I107" s="14" t="s">
        <v>1561</v>
      </c>
      <c r="J107" s="21">
        <v>2555.051003923902</v>
      </c>
      <c r="K107" s="21">
        <v>4724.4509588999999</v>
      </c>
      <c r="L107" s="24">
        <f t="shared" si="2"/>
        <v>1.0998970563729729</v>
      </c>
    </row>
    <row r="108" spans="1:12" x14ac:dyDescent="0.25">
      <c r="A108" s="15">
        <f t="shared" si="3"/>
        <v>103</v>
      </c>
      <c r="B108" s="17">
        <v>1146</v>
      </c>
      <c r="C108" s="18" t="s">
        <v>40</v>
      </c>
      <c r="D108" s="20" t="s">
        <v>1556</v>
      </c>
      <c r="E108" s="19">
        <v>0</v>
      </c>
      <c r="F108" s="20" t="s">
        <v>1556</v>
      </c>
      <c r="G108" s="21">
        <v>4.6697665000000006</v>
      </c>
      <c r="H108" s="21">
        <v>3.5023455000000006</v>
      </c>
      <c r="I108" s="14" t="s">
        <v>1561</v>
      </c>
      <c r="J108" s="21">
        <v>0.96396618637338705</v>
      </c>
      <c r="K108" s="21">
        <v>4.3076698999999996</v>
      </c>
      <c r="L108" s="24">
        <f t="shared" si="2"/>
        <v>0.92245937778687626</v>
      </c>
    </row>
    <row r="109" spans="1:12" x14ac:dyDescent="0.25">
      <c r="A109" s="15">
        <f t="shared" si="3"/>
        <v>104</v>
      </c>
      <c r="B109" s="17">
        <v>1160</v>
      </c>
      <c r="C109" s="18" t="s">
        <v>568</v>
      </c>
      <c r="D109" s="20">
        <v>0.97780940000000005</v>
      </c>
      <c r="E109" s="19">
        <v>0</v>
      </c>
      <c r="F109" s="20">
        <v>0.97780940000000005</v>
      </c>
      <c r="G109" s="21">
        <v>503.61271340000002</v>
      </c>
      <c r="H109" s="21">
        <v>426.54887050000002</v>
      </c>
      <c r="I109" s="14" t="s">
        <v>1561</v>
      </c>
      <c r="J109" s="21">
        <v>101.02367639207104</v>
      </c>
      <c r="K109" s="21">
        <v>434.67925310000004</v>
      </c>
      <c r="L109" s="24">
        <f t="shared" si="2"/>
        <v>0.86312208078581842</v>
      </c>
    </row>
    <row r="110" spans="1:12" x14ac:dyDescent="0.25">
      <c r="A110" s="15">
        <f t="shared" si="3"/>
        <v>105</v>
      </c>
      <c r="B110" s="17">
        <v>1173</v>
      </c>
      <c r="C110" s="18" t="s">
        <v>41</v>
      </c>
      <c r="D110" s="20" t="s">
        <v>1556</v>
      </c>
      <c r="E110" s="19">
        <v>0</v>
      </c>
      <c r="F110" s="20" t="s">
        <v>1556</v>
      </c>
      <c r="G110" s="21">
        <v>0</v>
      </c>
      <c r="H110" s="21">
        <v>0</v>
      </c>
      <c r="I110" s="14" t="s">
        <v>1561</v>
      </c>
      <c r="J110" s="21">
        <v>0</v>
      </c>
      <c r="K110" s="21">
        <v>0</v>
      </c>
      <c r="L110" s="24">
        <f t="shared" si="2"/>
        <v>0</v>
      </c>
    </row>
    <row r="111" spans="1:12" x14ac:dyDescent="0.25">
      <c r="A111" s="15">
        <f t="shared" si="3"/>
        <v>106</v>
      </c>
      <c r="B111" s="17">
        <v>1174</v>
      </c>
      <c r="C111" s="18" t="s">
        <v>332</v>
      </c>
      <c r="D111" s="20" t="s">
        <v>1556</v>
      </c>
      <c r="E111" s="19">
        <v>0</v>
      </c>
      <c r="F111" s="20" t="s">
        <v>1556</v>
      </c>
      <c r="G111" s="21">
        <v>0</v>
      </c>
      <c r="H111" s="21">
        <v>0</v>
      </c>
      <c r="I111" s="14" t="s">
        <v>1561</v>
      </c>
      <c r="J111" s="21">
        <v>0</v>
      </c>
      <c r="K111" s="21">
        <v>0</v>
      </c>
      <c r="L111" s="24">
        <f t="shared" si="2"/>
        <v>0</v>
      </c>
    </row>
    <row r="112" spans="1:12" x14ac:dyDescent="0.25">
      <c r="A112" s="15">
        <f t="shared" si="3"/>
        <v>107</v>
      </c>
      <c r="B112" s="17">
        <v>1186</v>
      </c>
      <c r="C112" s="18" t="s">
        <v>162</v>
      </c>
      <c r="D112" s="20" t="s">
        <v>1556</v>
      </c>
      <c r="E112" s="19">
        <v>0</v>
      </c>
      <c r="F112" s="20" t="s">
        <v>1556</v>
      </c>
      <c r="G112" s="21">
        <v>47.607619499999998</v>
      </c>
      <c r="H112" s="21">
        <v>46.107619499999998</v>
      </c>
      <c r="I112" s="14" t="s">
        <v>1561</v>
      </c>
      <c r="J112" s="21">
        <v>23.44817421027787</v>
      </c>
      <c r="K112" s="21">
        <v>60.330048600000005</v>
      </c>
      <c r="L112" s="24">
        <f t="shared" si="2"/>
        <v>1.2672351449960653</v>
      </c>
    </row>
    <row r="113" spans="1:12" x14ac:dyDescent="0.25">
      <c r="A113" s="15">
        <f t="shared" si="3"/>
        <v>108</v>
      </c>
      <c r="B113" s="17">
        <v>1209</v>
      </c>
      <c r="C113" s="18" t="s">
        <v>42</v>
      </c>
      <c r="D113" s="20" t="s">
        <v>1556</v>
      </c>
      <c r="E113" s="19">
        <v>0</v>
      </c>
      <c r="F113" s="20" t="s">
        <v>1556</v>
      </c>
      <c r="G113" s="21">
        <v>0.89995499999999995</v>
      </c>
      <c r="H113" s="21">
        <v>0.89995499999999995</v>
      </c>
      <c r="I113" s="14" t="s">
        <v>1561</v>
      </c>
      <c r="J113" s="21">
        <v>0.3949617155532259</v>
      </c>
      <c r="K113" s="21">
        <v>1.198188</v>
      </c>
      <c r="L113" s="24">
        <f t="shared" si="2"/>
        <v>1.3313865693284666</v>
      </c>
    </row>
    <row r="114" spans="1:12" x14ac:dyDescent="0.25">
      <c r="A114" s="15">
        <f t="shared" si="3"/>
        <v>109</v>
      </c>
      <c r="B114" s="17">
        <v>1219</v>
      </c>
      <c r="C114" s="18" t="s">
        <v>998</v>
      </c>
      <c r="D114" s="20">
        <v>0.19180759999999999</v>
      </c>
      <c r="E114" s="19">
        <v>0</v>
      </c>
      <c r="F114" s="20">
        <v>0.19180759999999999</v>
      </c>
      <c r="G114" s="21">
        <v>139.69301539999998</v>
      </c>
      <c r="H114" s="21">
        <v>139.69301539999998</v>
      </c>
      <c r="I114" s="14" t="s">
        <v>1561</v>
      </c>
      <c r="J114" s="21">
        <v>24.176581509933332</v>
      </c>
      <c r="K114" s="21">
        <v>142.01024570000001</v>
      </c>
      <c r="L114" s="24">
        <f t="shared" si="2"/>
        <v>1.0165880183297986</v>
      </c>
    </row>
    <row r="115" spans="1:12" x14ac:dyDescent="0.25">
      <c r="A115" s="15">
        <f t="shared" si="3"/>
        <v>110</v>
      </c>
      <c r="B115" s="17">
        <v>1234</v>
      </c>
      <c r="C115" s="18" t="s">
        <v>43</v>
      </c>
      <c r="D115" s="20" t="s">
        <v>1556</v>
      </c>
      <c r="E115" s="19">
        <v>0</v>
      </c>
      <c r="F115" s="20" t="s">
        <v>1556</v>
      </c>
      <c r="G115" s="21">
        <v>0.44997749999999997</v>
      </c>
      <c r="H115" s="21">
        <v>0.44997749999999997</v>
      </c>
      <c r="I115" s="14" t="s">
        <v>1561</v>
      </c>
      <c r="J115" s="21">
        <v>1.4264145822261649</v>
      </c>
      <c r="K115" s="21">
        <v>1.9640776000000002</v>
      </c>
      <c r="L115" s="24">
        <f t="shared" si="2"/>
        <v>4.3648351306454218</v>
      </c>
    </row>
    <row r="116" spans="1:12" x14ac:dyDescent="0.25">
      <c r="A116" s="15">
        <f t="shared" si="3"/>
        <v>111</v>
      </c>
      <c r="B116" s="17">
        <v>1235</v>
      </c>
      <c r="C116" s="18" t="s">
        <v>569</v>
      </c>
      <c r="D116" s="20" t="s">
        <v>1556</v>
      </c>
      <c r="E116" s="19">
        <v>0</v>
      </c>
      <c r="F116" s="20" t="s">
        <v>1556</v>
      </c>
      <c r="G116" s="21">
        <v>0</v>
      </c>
      <c r="H116" s="21">
        <v>0</v>
      </c>
      <c r="I116" s="14" t="s">
        <v>1561</v>
      </c>
      <c r="J116" s="21">
        <v>0</v>
      </c>
      <c r="K116" s="21">
        <v>0</v>
      </c>
      <c r="L116" s="24">
        <f t="shared" si="2"/>
        <v>0</v>
      </c>
    </row>
    <row r="117" spans="1:12" x14ac:dyDescent="0.25">
      <c r="A117" s="15">
        <f t="shared" si="3"/>
        <v>112</v>
      </c>
      <c r="B117" s="17">
        <v>1238</v>
      </c>
      <c r="C117" s="18" t="s">
        <v>56</v>
      </c>
      <c r="D117" s="20" t="s">
        <v>1556</v>
      </c>
      <c r="E117" s="19">
        <v>0</v>
      </c>
      <c r="F117" s="20" t="s">
        <v>1556</v>
      </c>
      <c r="G117" s="21">
        <v>0</v>
      </c>
      <c r="H117" s="21">
        <v>0</v>
      </c>
      <c r="I117" s="14" t="s">
        <v>1561</v>
      </c>
      <c r="J117" s="21">
        <v>0</v>
      </c>
      <c r="K117" s="21">
        <v>0</v>
      </c>
      <c r="L117" s="24">
        <f t="shared" si="2"/>
        <v>0</v>
      </c>
    </row>
    <row r="118" spans="1:12" x14ac:dyDescent="0.25">
      <c r="A118" s="15">
        <f t="shared" si="3"/>
        <v>113</v>
      </c>
      <c r="B118" s="17">
        <v>1239</v>
      </c>
      <c r="C118" s="18" t="s">
        <v>44</v>
      </c>
      <c r="D118" s="20" t="s">
        <v>1556</v>
      </c>
      <c r="E118" s="19">
        <v>0</v>
      </c>
      <c r="F118" s="20" t="s">
        <v>1556</v>
      </c>
      <c r="G118" s="21">
        <v>0</v>
      </c>
      <c r="H118" s="21">
        <v>0</v>
      </c>
      <c r="I118" s="14" t="s">
        <v>1561</v>
      </c>
      <c r="J118" s="21">
        <v>0</v>
      </c>
      <c r="K118" s="21">
        <v>0</v>
      </c>
      <c r="L118" s="24">
        <f t="shared" si="2"/>
        <v>0</v>
      </c>
    </row>
    <row r="119" spans="1:12" x14ac:dyDescent="0.25">
      <c r="A119" s="15">
        <f t="shared" si="3"/>
        <v>114</v>
      </c>
      <c r="B119" s="17">
        <v>1308</v>
      </c>
      <c r="C119" s="18" t="s">
        <v>46</v>
      </c>
      <c r="D119" s="20">
        <v>2.6988600000000001E-2</v>
      </c>
      <c r="E119" s="19">
        <v>0</v>
      </c>
      <c r="F119" s="20">
        <v>2.6988600000000001E-2</v>
      </c>
      <c r="G119" s="21">
        <v>3.19984</v>
      </c>
      <c r="H119" s="21">
        <v>3.19984</v>
      </c>
      <c r="I119" s="14" t="s">
        <v>1561</v>
      </c>
      <c r="J119" s="21">
        <v>2.5188566871137996</v>
      </c>
      <c r="K119" s="21">
        <v>5.1807734999999999</v>
      </c>
      <c r="L119" s="24">
        <f t="shared" si="2"/>
        <v>1.6190726723836191</v>
      </c>
    </row>
    <row r="120" spans="1:12" x14ac:dyDescent="0.25">
      <c r="A120" s="15">
        <f t="shared" si="3"/>
        <v>115</v>
      </c>
      <c r="B120" s="17">
        <v>1335</v>
      </c>
      <c r="C120" s="18" t="s">
        <v>570</v>
      </c>
      <c r="D120" s="20" t="s">
        <v>1556</v>
      </c>
      <c r="E120" s="19">
        <v>0</v>
      </c>
      <c r="F120" s="20" t="s">
        <v>1556</v>
      </c>
      <c r="G120" s="21">
        <v>0</v>
      </c>
      <c r="H120" s="21">
        <v>0</v>
      </c>
      <c r="I120" s="14" t="s">
        <v>1561</v>
      </c>
      <c r="J120" s="21">
        <v>0</v>
      </c>
      <c r="K120" s="21">
        <v>0</v>
      </c>
      <c r="L120" s="24">
        <f t="shared" si="2"/>
        <v>0</v>
      </c>
    </row>
    <row r="121" spans="1:12" x14ac:dyDescent="0.25">
      <c r="A121" s="15">
        <f t="shared" si="3"/>
        <v>116</v>
      </c>
      <c r="B121" s="17">
        <v>1343</v>
      </c>
      <c r="C121" s="18" t="s">
        <v>247</v>
      </c>
      <c r="D121" s="20" t="s">
        <v>1556</v>
      </c>
      <c r="E121" s="19">
        <v>0</v>
      </c>
      <c r="F121" s="20" t="s">
        <v>1556</v>
      </c>
      <c r="G121" s="21">
        <v>0</v>
      </c>
      <c r="H121" s="21">
        <v>0</v>
      </c>
      <c r="I121" s="14" t="s">
        <v>1561</v>
      </c>
      <c r="J121" s="21">
        <v>0</v>
      </c>
      <c r="K121" s="21">
        <v>0</v>
      </c>
      <c r="L121" s="24">
        <f t="shared" si="2"/>
        <v>0</v>
      </c>
    </row>
    <row r="122" spans="1:12" x14ac:dyDescent="0.25">
      <c r="A122" s="15">
        <f t="shared" si="3"/>
        <v>117</v>
      </c>
      <c r="B122" s="17">
        <v>1350</v>
      </c>
      <c r="C122" s="18" t="s">
        <v>571</v>
      </c>
      <c r="D122" s="20" t="s">
        <v>1556</v>
      </c>
      <c r="E122" s="19">
        <v>0</v>
      </c>
      <c r="F122" s="20" t="s">
        <v>1556</v>
      </c>
      <c r="G122" s="21">
        <v>0.59997</v>
      </c>
      <c r="H122" s="21">
        <v>0.59997</v>
      </c>
      <c r="I122" s="14" t="s">
        <v>1561</v>
      </c>
      <c r="J122" s="21">
        <v>8.2239977000000006E-2</v>
      </c>
      <c r="K122" s="21">
        <v>0.65103279999999997</v>
      </c>
      <c r="L122" s="24">
        <f t="shared" si="2"/>
        <v>1.0851089221127723</v>
      </c>
    </row>
    <row r="123" spans="1:12" x14ac:dyDescent="0.25">
      <c r="A123" s="15">
        <f t="shared" si="3"/>
        <v>118</v>
      </c>
      <c r="B123" s="17">
        <v>1351</v>
      </c>
      <c r="C123" s="18" t="s">
        <v>333</v>
      </c>
      <c r="D123" s="20" t="s">
        <v>1556</v>
      </c>
      <c r="E123" s="19">
        <v>0</v>
      </c>
      <c r="F123" s="20" t="s">
        <v>1556</v>
      </c>
      <c r="G123" s="21">
        <v>9.9995000000000001E-2</v>
      </c>
      <c r="H123" s="21">
        <v>9.9995000000000001E-2</v>
      </c>
      <c r="I123" s="14" t="s">
        <v>1561</v>
      </c>
      <c r="J123" s="21">
        <v>0.11094054760600359</v>
      </c>
      <c r="K123" s="21">
        <v>0.13049930000000001</v>
      </c>
      <c r="L123" s="24">
        <f t="shared" si="2"/>
        <v>1.3050582529126458</v>
      </c>
    </row>
    <row r="124" spans="1:12" x14ac:dyDescent="0.25">
      <c r="A124" s="15">
        <f t="shared" si="3"/>
        <v>119</v>
      </c>
      <c r="B124" s="17">
        <v>1379</v>
      </c>
      <c r="C124" s="18" t="s">
        <v>572</v>
      </c>
      <c r="D124" s="20" t="s">
        <v>1556</v>
      </c>
      <c r="E124" s="19">
        <v>0</v>
      </c>
      <c r="F124" s="20" t="s">
        <v>1556</v>
      </c>
      <c r="G124" s="21">
        <v>0</v>
      </c>
      <c r="H124" s="21">
        <v>0</v>
      </c>
      <c r="I124" s="14" t="s">
        <v>1561</v>
      </c>
      <c r="J124" s="21">
        <v>0</v>
      </c>
      <c r="K124" s="21">
        <v>0</v>
      </c>
      <c r="L124" s="24">
        <f t="shared" si="2"/>
        <v>0</v>
      </c>
    </row>
    <row r="125" spans="1:12" x14ac:dyDescent="0.25">
      <c r="A125" s="15">
        <f t="shared" si="3"/>
        <v>120</v>
      </c>
      <c r="B125" s="17">
        <v>1389</v>
      </c>
      <c r="C125" s="18" t="s">
        <v>47</v>
      </c>
      <c r="D125" s="20">
        <v>9.9888899999999989E-2</v>
      </c>
      <c r="E125" s="19">
        <v>0</v>
      </c>
      <c r="F125" s="20">
        <v>9.9888899999999989E-2</v>
      </c>
      <c r="G125" s="21">
        <v>6.9816624000000003</v>
      </c>
      <c r="H125" s="21">
        <v>5.9696512999999998</v>
      </c>
      <c r="I125" s="14" t="s">
        <v>1561</v>
      </c>
      <c r="J125" s="21">
        <v>7.1151894079473115</v>
      </c>
      <c r="K125" s="21">
        <v>11.1568796</v>
      </c>
      <c r="L125" s="24">
        <f t="shared" si="2"/>
        <v>1.5980262236684488</v>
      </c>
    </row>
    <row r="126" spans="1:12" x14ac:dyDescent="0.25">
      <c r="A126" s="15">
        <f t="shared" si="3"/>
        <v>121</v>
      </c>
      <c r="B126" s="17">
        <v>1390</v>
      </c>
      <c r="C126" s="18" t="s">
        <v>48</v>
      </c>
      <c r="D126" s="20" t="s">
        <v>1556</v>
      </c>
      <c r="E126" s="19">
        <v>0</v>
      </c>
      <c r="F126" s="20" t="s">
        <v>1556</v>
      </c>
      <c r="G126" s="21">
        <v>115.25423720000001</v>
      </c>
      <c r="H126" s="21">
        <v>100.3921206</v>
      </c>
      <c r="I126" s="14" t="s">
        <v>1561</v>
      </c>
      <c r="J126" s="21">
        <v>58.006170561095729</v>
      </c>
      <c r="K126" s="21">
        <v>111.8807077</v>
      </c>
      <c r="L126" s="24">
        <f t="shared" si="2"/>
        <v>0.97072967049232262</v>
      </c>
    </row>
    <row r="127" spans="1:12" x14ac:dyDescent="0.25">
      <c r="A127" s="15">
        <f t="shared" si="3"/>
        <v>122</v>
      </c>
      <c r="B127" s="17">
        <v>1409</v>
      </c>
      <c r="C127" s="18" t="s">
        <v>999</v>
      </c>
      <c r="D127" s="20" t="s">
        <v>1556</v>
      </c>
      <c r="E127" s="19">
        <v>0</v>
      </c>
      <c r="F127" s="20" t="s">
        <v>1556</v>
      </c>
      <c r="G127" s="21">
        <v>0</v>
      </c>
      <c r="H127" s="21">
        <v>0</v>
      </c>
      <c r="I127" s="14" t="s">
        <v>1561</v>
      </c>
      <c r="J127" s="21">
        <v>0</v>
      </c>
      <c r="K127" s="21">
        <v>0</v>
      </c>
      <c r="L127" s="24">
        <f t="shared" si="2"/>
        <v>0</v>
      </c>
    </row>
    <row r="128" spans="1:12" x14ac:dyDescent="0.25">
      <c r="A128" s="15">
        <f t="shared" si="3"/>
        <v>123</v>
      </c>
      <c r="B128" s="17">
        <v>1428</v>
      </c>
      <c r="C128" s="18" t="s">
        <v>49</v>
      </c>
      <c r="D128" s="20">
        <v>0.37060379999999998</v>
      </c>
      <c r="E128" s="19">
        <v>0</v>
      </c>
      <c r="F128" s="20">
        <v>0.37060379999999998</v>
      </c>
      <c r="G128" s="21">
        <v>111.27627880000001</v>
      </c>
      <c r="H128" s="21">
        <v>73.869439800000009</v>
      </c>
      <c r="I128" s="14" t="s">
        <v>1561</v>
      </c>
      <c r="J128" s="21">
        <v>44.670875532094712</v>
      </c>
      <c r="K128" s="21">
        <v>79.250885099999991</v>
      </c>
      <c r="L128" s="24">
        <f t="shared" si="2"/>
        <v>0.7121992751252928</v>
      </c>
    </row>
    <row r="129" spans="1:12" x14ac:dyDescent="0.25">
      <c r="A129" s="15">
        <f t="shared" si="3"/>
        <v>124</v>
      </c>
      <c r="B129" s="17">
        <v>1435</v>
      </c>
      <c r="C129" s="18" t="s">
        <v>50</v>
      </c>
      <c r="D129" s="20">
        <v>0.61607800000000001</v>
      </c>
      <c r="E129" s="19">
        <v>0</v>
      </c>
      <c r="F129" s="20">
        <v>0.61607800000000001</v>
      </c>
      <c r="G129" s="21">
        <v>26.5786716</v>
      </c>
      <c r="H129" s="21">
        <v>25.955779300000003</v>
      </c>
      <c r="I129" s="14" t="s">
        <v>1561</v>
      </c>
      <c r="J129" s="21">
        <v>101.25480375503885</v>
      </c>
      <c r="K129" s="21">
        <v>122.806753</v>
      </c>
      <c r="L129" s="24">
        <f t="shared" si="2"/>
        <v>4.6205000328157864</v>
      </c>
    </row>
    <row r="130" spans="1:12" x14ac:dyDescent="0.25">
      <c r="A130" s="15">
        <f t="shared" si="3"/>
        <v>125</v>
      </c>
      <c r="B130" s="17">
        <v>1480</v>
      </c>
      <c r="C130" s="18" t="s">
        <v>51</v>
      </c>
      <c r="D130" s="20">
        <v>0.51153629999999994</v>
      </c>
      <c r="E130" s="19">
        <v>0</v>
      </c>
      <c r="F130" s="20">
        <v>0.51153629999999994</v>
      </c>
      <c r="G130" s="21">
        <v>122.90275150000001</v>
      </c>
      <c r="H130" s="21">
        <v>88.709944899999996</v>
      </c>
      <c r="I130" s="14" t="s">
        <v>1561</v>
      </c>
      <c r="J130" s="21">
        <v>41.889581943905469</v>
      </c>
      <c r="K130" s="21">
        <v>96.241687100000007</v>
      </c>
      <c r="L130" s="24">
        <f t="shared" si="2"/>
        <v>0.78307186719086597</v>
      </c>
    </row>
    <row r="131" spans="1:12" x14ac:dyDescent="0.25">
      <c r="A131" s="15">
        <f t="shared" si="3"/>
        <v>126</v>
      </c>
      <c r="B131" s="17">
        <v>1487</v>
      </c>
      <c r="C131" s="18" t="s">
        <v>573</v>
      </c>
      <c r="D131" s="20">
        <v>3.4117197999999997</v>
      </c>
      <c r="E131" s="19">
        <v>0</v>
      </c>
      <c r="F131" s="20">
        <v>3.4117197999999997</v>
      </c>
      <c r="G131" s="21">
        <v>338.05997840000003</v>
      </c>
      <c r="H131" s="21">
        <v>213.66755260000005</v>
      </c>
      <c r="I131" s="14" t="s">
        <v>1561</v>
      </c>
      <c r="J131" s="21">
        <v>270.21193491022291</v>
      </c>
      <c r="K131" s="21">
        <v>389.48835909999997</v>
      </c>
      <c r="L131" s="24">
        <f t="shared" si="2"/>
        <v>1.1521279772406208</v>
      </c>
    </row>
    <row r="132" spans="1:12" x14ac:dyDescent="0.25">
      <c r="A132" s="15">
        <f t="shared" si="3"/>
        <v>127</v>
      </c>
      <c r="B132" s="17">
        <v>1488</v>
      </c>
      <c r="C132" s="18" t="s">
        <v>1000</v>
      </c>
      <c r="D132" s="20">
        <v>0.92966460000000006</v>
      </c>
      <c r="E132" s="19">
        <v>0</v>
      </c>
      <c r="F132" s="20">
        <v>0.92966460000000006</v>
      </c>
      <c r="G132" s="21">
        <v>523.31258979999996</v>
      </c>
      <c r="H132" s="21">
        <v>319.46999489999996</v>
      </c>
      <c r="I132" s="14" t="s">
        <v>1561</v>
      </c>
      <c r="J132" s="21">
        <v>120.39071132837266</v>
      </c>
      <c r="K132" s="21">
        <v>333.40965940000001</v>
      </c>
      <c r="L132" s="24">
        <f t="shared" si="2"/>
        <v>0.63711377463214247</v>
      </c>
    </row>
    <row r="133" spans="1:12" x14ac:dyDescent="0.25">
      <c r="A133" s="15">
        <f t="shared" si="3"/>
        <v>128</v>
      </c>
      <c r="B133" s="17">
        <v>1493</v>
      </c>
      <c r="C133" s="18" t="s">
        <v>574</v>
      </c>
      <c r="D133" s="20" t="s">
        <v>1556</v>
      </c>
      <c r="E133" s="19">
        <v>0</v>
      </c>
      <c r="F133" s="20" t="s">
        <v>1556</v>
      </c>
      <c r="G133" s="21">
        <v>0</v>
      </c>
      <c r="H133" s="21">
        <v>0</v>
      </c>
      <c r="I133" s="14" t="s">
        <v>1561</v>
      </c>
      <c r="J133" s="21">
        <v>0</v>
      </c>
      <c r="K133" s="21">
        <v>0</v>
      </c>
      <c r="L133" s="24">
        <f t="shared" si="2"/>
        <v>0</v>
      </c>
    </row>
    <row r="134" spans="1:12" x14ac:dyDescent="0.25">
      <c r="A134" s="15">
        <f t="shared" si="3"/>
        <v>129</v>
      </c>
      <c r="B134" s="17">
        <v>1503</v>
      </c>
      <c r="C134" s="18" t="s">
        <v>248</v>
      </c>
      <c r="D134" s="20" t="s">
        <v>1556</v>
      </c>
      <c r="E134" s="19">
        <v>0</v>
      </c>
      <c r="F134" s="20" t="s">
        <v>1556</v>
      </c>
      <c r="G134" s="21">
        <v>0</v>
      </c>
      <c r="H134" s="21">
        <v>0</v>
      </c>
      <c r="I134" s="14" t="s">
        <v>1561</v>
      </c>
      <c r="J134" s="21">
        <v>0</v>
      </c>
      <c r="K134" s="21">
        <v>0</v>
      </c>
      <c r="L134" s="24">
        <f t="shared" si="2"/>
        <v>0</v>
      </c>
    </row>
    <row r="135" spans="1:12" x14ac:dyDescent="0.25">
      <c r="A135" s="15">
        <f t="shared" si="3"/>
        <v>130</v>
      </c>
      <c r="B135" s="17">
        <v>1513</v>
      </c>
      <c r="C135" s="18" t="s">
        <v>575</v>
      </c>
      <c r="D135" s="20" t="s">
        <v>1556</v>
      </c>
      <c r="E135" s="19">
        <v>0</v>
      </c>
      <c r="F135" s="20" t="s">
        <v>1556</v>
      </c>
      <c r="G135" s="21">
        <v>0</v>
      </c>
      <c r="H135" s="21">
        <v>0</v>
      </c>
      <c r="I135" s="14" t="s">
        <v>1561</v>
      </c>
      <c r="J135" s="21">
        <v>0</v>
      </c>
      <c r="K135" s="21">
        <v>0</v>
      </c>
      <c r="L135" s="24">
        <f t="shared" ref="L135:L198" si="4">+IFERROR(K135/G135,0)</f>
        <v>0</v>
      </c>
    </row>
    <row r="136" spans="1:12" x14ac:dyDescent="0.25">
      <c r="A136" s="15">
        <f t="shared" ref="A136:A199" si="5">A135+1</f>
        <v>131</v>
      </c>
      <c r="B136" s="17">
        <v>1520</v>
      </c>
      <c r="C136" s="18" t="s">
        <v>249</v>
      </c>
      <c r="D136" s="20" t="s">
        <v>1556</v>
      </c>
      <c r="E136" s="19">
        <v>0</v>
      </c>
      <c r="F136" s="20" t="s">
        <v>1556</v>
      </c>
      <c r="G136" s="21">
        <v>0</v>
      </c>
      <c r="H136" s="21">
        <v>0</v>
      </c>
      <c r="I136" s="14" t="s">
        <v>1561</v>
      </c>
      <c r="J136" s="21">
        <v>0</v>
      </c>
      <c r="K136" s="21">
        <v>0</v>
      </c>
      <c r="L136" s="24">
        <f t="shared" si="4"/>
        <v>0</v>
      </c>
    </row>
    <row r="137" spans="1:12" x14ac:dyDescent="0.25">
      <c r="A137" s="15">
        <f t="shared" si="5"/>
        <v>132</v>
      </c>
      <c r="B137" s="17">
        <v>1560</v>
      </c>
      <c r="C137" s="18" t="s">
        <v>60</v>
      </c>
      <c r="D137" s="20">
        <v>0.22467090000000001</v>
      </c>
      <c r="E137" s="19">
        <v>0</v>
      </c>
      <c r="F137" s="20">
        <v>0.22467090000000001</v>
      </c>
      <c r="G137" s="21">
        <v>143.30283470000001</v>
      </c>
      <c r="H137" s="21">
        <v>8.2797206000000045</v>
      </c>
      <c r="I137" s="14" t="s">
        <v>1561</v>
      </c>
      <c r="J137" s="21">
        <v>19.921543712816483</v>
      </c>
      <c r="K137" s="21">
        <v>3.4723084000000002</v>
      </c>
      <c r="L137" s="24">
        <f t="shared" si="4"/>
        <v>2.4230563249283722E-2</v>
      </c>
    </row>
    <row r="138" spans="1:12" x14ac:dyDescent="0.25">
      <c r="A138" s="15">
        <f t="shared" si="5"/>
        <v>133</v>
      </c>
      <c r="B138" s="17">
        <v>1563</v>
      </c>
      <c r="C138" s="18" t="s">
        <v>52</v>
      </c>
      <c r="D138" s="20">
        <v>5.0113828000000007</v>
      </c>
      <c r="E138" s="19">
        <v>0</v>
      </c>
      <c r="F138" s="20">
        <v>5.0113828000000007</v>
      </c>
      <c r="G138" s="21">
        <v>1143.0672758000001</v>
      </c>
      <c r="H138" s="21">
        <v>998.06038390000003</v>
      </c>
      <c r="I138" s="14" t="s">
        <v>1561</v>
      </c>
      <c r="J138" s="21">
        <v>398.53043264241825</v>
      </c>
      <c r="K138" s="21">
        <v>1105.7932123000001</v>
      </c>
      <c r="L138" s="24">
        <f t="shared" si="4"/>
        <v>0.967391190099539</v>
      </c>
    </row>
    <row r="139" spans="1:12" x14ac:dyDescent="0.25">
      <c r="A139" s="15">
        <f t="shared" si="5"/>
        <v>134</v>
      </c>
      <c r="B139" s="17">
        <v>1566</v>
      </c>
      <c r="C139" s="18" t="s">
        <v>576</v>
      </c>
      <c r="D139" s="20">
        <v>1.6424299999999999E-2</v>
      </c>
      <c r="E139" s="19">
        <v>0</v>
      </c>
      <c r="F139" s="20">
        <v>1.6424299999999999E-2</v>
      </c>
      <c r="G139" s="21">
        <v>4.0690749999999998</v>
      </c>
      <c r="H139" s="21">
        <v>0.62544419999999978</v>
      </c>
      <c r="I139" s="14" t="s">
        <v>1561</v>
      </c>
      <c r="J139" s="21">
        <v>1.0787208591467745</v>
      </c>
      <c r="K139" s="21">
        <v>0.88387949999999993</v>
      </c>
      <c r="L139" s="24">
        <f t="shared" si="4"/>
        <v>0.21721877822355204</v>
      </c>
    </row>
    <row r="140" spans="1:12" x14ac:dyDescent="0.25">
      <c r="A140" s="15">
        <f t="shared" si="5"/>
        <v>135</v>
      </c>
      <c r="B140" s="17">
        <v>1567</v>
      </c>
      <c r="C140" s="18" t="s">
        <v>250</v>
      </c>
      <c r="D140" s="20">
        <v>9.0548E-3</v>
      </c>
      <c r="E140" s="19">
        <v>0</v>
      </c>
      <c r="F140" s="20">
        <v>9.0548E-3</v>
      </c>
      <c r="G140" s="21">
        <v>0.3099845</v>
      </c>
      <c r="H140" s="21">
        <v>0.3099845</v>
      </c>
      <c r="I140" s="14" t="s">
        <v>1561</v>
      </c>
      <c r="J140" s="21">
        <v>8.8849291916666667E-3</v>
      </c>
      <c r="K140" s="21">
        <v>0.3168938</v>
      </c>
      <c r="L140" s="24">
        <f t="shared" si="4"/>
        <v>1.0222891789750779</v>
      </c>
    </row>
    <row r="141" spans="1:12" x14ac:dyDescent="0.25">
      <c r="A141" s="15">
        <f t="shared" si="5"/>
        <v>136</v>
      </c>
      <c r="B141" s="17">
        <v>1590</v>
      </c>
      <c r="C141" s="18" t="s">
        <v>1001</v>
      </c>
      <c r="D141" s="20">
        <v>0.58913989999999994</v>
      </c>
      <c r="E141" s="19">
        <v>0</v>
      </c>
      <c r="F141" s="20">
        <v>0.58913989999999994</v>
      </c>
      <c r="G141" s="21">
        <v>183.0866843</v>
      </c>
      <c r="H141" s="21">
        <v>140.10989519999998</v>
      </c>
      <c r="I141" s="14" t="s">
        <v>1561</v>
      </c>
      <c r="J141" s="21">
        <v>68.831995708240171</v>
      </c>
      <c r="K141" s="21">
        <v>154.29827950000001</v>
      </c>
      <c r="L141" s="24">
        <f t="shared" si="4"/>
        <v>0.84276079437416518</v>
      </c>
    </row>
    <row r="142" spans="1:12" x14ac:dyDescent="0.25">
      <c r="A142" s="15">
        <f t="shared" si="5"/>
        <v>137</v>
      </c>
      <c r="B142" s="17">
        <v>1598</v>
      </c>
      <c r="C142" s="18" t="s">
        <v>504</v>
      </c>
      <c r="D142" s="20" t="s">
        <v>1556</v>
      </c>
      <c r="E142" s="19">
        <v>0</v>
      </c>
      <c r="F142" s="20" t="s">
        <v>1556</v>
      </c>
      <c r="G142" s="21">
        <v>0</v>
      </c>
      <c r="H142" s="21">
        <v>0</v>
      </c>
      <c r="I142" s="14" t="s">
        <v>1561</v>
      </c>
      <c r="J142" s="21">
        <v>0</v>
      </c>
      <c r="K142" s="21">
        <v>0</v>
      </c>
      <c r="L142" s="24">
        <f t="shared" si="4"/>
        <v>0</v>
      </c>
    </row>
    <row r="143" spans="1:12" x14ac:dyDescent="0.25">
      <c r="A143" s="15">
        <f t="shared" si="5"/>
        <v>138</v>
      </c>
      <c r="B143" s="17">
        <v>1622</v>
      </c>
      <c r="C143" s="18" t="s">
        <v>1002</v>
      </c>
      <c r="D143" s="20" t="s">
        <v>1556</v>
      </c>
      <c r="E143" s="19">
        <v>0</v>
      </c>
      <c r="F143" s="20" t="s">
        <v>1556</v>
      </c>
      <c r="G143" s="21">
        <v>0</v>
      </c>
      <c r="H143" s="21">
        <v>0</v>
      </c>
      <c r="I143" s="14" t="s">
        <v>1561</v>
      </c>
      <c r="J143" s="21">
        <v>0</v>
      </c>
      <c r="K143" s="21">
        <v>0</v>
      </c>
      <c r="L143" s="24">
        <f t="shared" si="4"/>
        <v>0</v>
      </c>
    </row>
    <row r="144" spans="1:12" x14ac:dyDescent="0.25">
      <c r="A144" s="15">
        <f t="shared" si="5"/>
        <v>139</v>
      </c>
      <c r="B144" s="17">
        <v>1630</v>
      </c>
      <c r="C144" s="18" t="s">
        <v>577</v>
      </c>
      <c r="D144" s="20" t="s">
        <v>1556</v>
      </c>
      <c r="E144" s="19">
        <v>0</v>
      </c>
      <c r="F144" s="20" t="s">
        <v>1556</v>
      </c>
      <c r="G144" s="21">
        <v>0</v>
      </c>
      <c r="H144" s="21">
        <v>0</v>
      </c>
      <c r="I144" s="14" t="s">
        <v>1561</v>
      </c>
      <c r="J144" s="21">
        <v>0</v>
      </c>
      <c r="K144" s="21">
        <v>0</v>
      </c>
      <c r="L144" s="24">
        <f t="shared" si="4"/>
        <v>0</v>
      </c>
    </row>
    <row r="145" spans="1:12" x14ac:dyDescent="0.25">
      <c r="A145" s="15">
        <f t="shared" si="5"/>
        <v>140</v>
      </c>
      <c r="B145" s="17">
        <v>1632</v>
      </c>
      <c r="C145" s="18" t="s">
        <v>578</v>
      </c>
      <c r="D145" s="20" t="s">
        <v>1556</v>
      </c>
      <c r="E145" s="19">
        <v>0</v>
      </c>
      <c r="F145" s="20" t="s">
        <v>1556</v>
      </c>
      <c r="G145" s="21">
        <v>0</v>
      </c>
      <c r="H145" s="21">
        <v>0</v>
      </c>
      <c r="I145" s="14" t="s">
        <v>1561</v>
      </c>
      <c r="J145" s="21">
        <v>0</v>
      </c>
      <c r="K145" s="21">
        <v>0</v>
      </c>
      <c r="L145" s="24">
        <f t="shared" si="4"/>
        <v>0</v>
      </c>
    </row>
    <row r="146" spans="1:12" x14ac:dyDescent="0.25">
      <c r="A146" s="15">
        <f t="shared" si="5"/>
        <v>141</v>
      </c>
      <c r="B146" s="17">
        <v>1634</v>
      </c>
      <c r="C146" s="18" t="s">
        <v>163</v>
      </c>
      <c r="D146" s="20" t="s">
        <v>1556</v>
      </c>
      <c r="E146" s="19">
        <v>0</v>
      </c>
      <c r="F146" s="20" t="s">
        <v>1556</v>
      </c>
      <c r="G146" s="21">
        <v>0</v>
      </c>
      <c r="H146" s="21">
        <v>0</v>
      </c>
      <c r="I146" s="14" t="s">
        <v>1561</v>
      </c>
      <c r="J146" s="21">
        <v>0</v>
      </c>
      <c r="K146" s="21">
        <v>0</v>
      </c>
      <c r="L146" s="24">
        <f t="shared" si="4"/>
        <v>0</v>
      </c>
    </row>
    <row r="147" spans="1:12" x14ac:dyDescent="0.25">
      <c r="A147" s="15">
        <f t="shared" si="5"/>
        <v>142</v>
      </c>
      <c r="B147" s="17">
        <v>1662</v>
      </c>
      <c r="C147" s="18" t="s">
        <v>334</v>
      </c>
      <c r="D147" s="20">
        <v>6.9352200000000003E-2</v>
      </c>
      <c r="E147" s="19">
        <v>0</v>
      </c>
      <c r="F147" s="20">
        <v>6.9352200000000003E-2</v>
      </c>
      <c r="G147" s="21">
        <v>21.821159900000001</v>
      </c>
      <c r="H147" s="21">
        <v>11.547908900000001</v>
      </c>
      <c r="I147" s="14" t="s">
        <v>1561</v>
      </c>
      <c r="J147" s="21">
        <v>8.0339579347364705</v>
      </c>
      <c r="K147" s="21">
        <v>11.8375947</v>
      </c>
      <c r="L147" s="24">
        <f t="shared" si="4"/>
        <v>0.54248237739186356</v>
      </c>
    </row>
    <row r="148" spans="1:12" x14ac:dyDescent="0.25">
      <c r="A148" s="15">
        <f t="shared" si="5"/>
        <v>143</v>
      </c>
      <c r="B148" s="17">
        <v>1666</v>
      </c>
      <c r="C148" s="18" t="s">
        <v>53</v>
      </c>
      <c r="D148" s="20" t="s">
        <v>1556</v>
      </c>
      <c r="E148" s="19">
        <v>0</v>
      </c>
      <c r="F148" s="20" t="s">
        <v>1556</v>
      </c>
      <c r="G148" s="21">
        <v>0</v>
      </c>
      <c r="H148" s="21">
        <v>0</v>
      </c>
      <c r="I148" s="14" t="s">
        <v>1561</v>
      </c>
      <c r="J148" s="21">
        <v>0</v>
      </c>
      <c r="K148" s="21">
        <v>0</v>
      </c>
      <c r="L148" s="24">
        <f t="shared" si="4"/>
        <v>0</v>
      </c>
    </row>
    <row r="149" spans="1:12" x14ac:dyDescent="0.25">
      <c r="A149" s="15">
        <f t="shared" si="5"/>
        <v>144</v>
      </c>
      <c r="B149" s="17">
        <v>1668</v>
      </c>
      <c r="C149" s="18" t="s">
        <v>54</v>
      </c>
      <c r="D149" s="20">
        <v>9.2411299999999988E-2</v>
      </c>
      <c r="E149" s="19">
        <v>0</v>
      </c>
      <c r="F149" s="20">
        <v>9.2411299999999988E-2</v>
      </c>
      <c r="G149" s="21">
        <v>38.578071299999998</v>
      </c>
      <c r="H149" s="21">
        <v>38.578071299999998</v>
      </c>
      <c r="I149" s="14" t="s">
        <v>1561</v>
      </c>
      <c r="J149" s="21">
        <v>23.004241606690133</v>
      </c>
      <c r="K149" s="21">
        <v>47.824475800000002</v>
      </c>
      <c r="L149" s="24">
        <f t="shared" si="4"/>
        <v>1.2396803206696341</v>
      </c>
    </row>
    <row r="150" spans="1:12" x14ac:dyDescent="0.25">
      <c r="A150" s="15">
        <f t="shared" si="5"/>
        <v>145</v>
      </c>
      <c r="B150" s="17">
        <v>1669</v>
      </c>
      <c r="C150" s="18" t="s">
        <v>579</v>
      </c>
      <c r="D150" s="20">
        <v>0.19652069999999999</v>
      </c>
      <c r="E150" s="19">
        <v>0</v>
      </c>
      <c r="F150" s="20">
        <v>0.19652069999999999</v>
      </c>
      <c r="G150" s="21">
        <v>14.872257599999999</v>
      </c>
      <c r="H150" s="21">
        <v>13.7801066</v>
      </c>
      <c r="I150" s="14" t="s">
        <v>1561</v>
      </c>
      <c r="J150" s="21">
        <v>23.631067010239068</v>
      </c>
      <c r="K150" s="21">
        <v>37.844924800000001</v>
      </c>
      <c r="L150" s="24">
        <f t="shared" si="4"/>
        <v>2.5446657674891271</v>
      </c>
    </row>
    <row r="151" spans="1:12" x14ac:dyDescent="0.25">
      <c r="A151" s="15">
        <f t="shared" si="5"/>
        <v>146</v>
      </c>
      <c r="B151" s="17">
        <v>1676</v>
      </c>
      <c r="C151" s="18" t="s">
        <v>164</v>
      </c>
      <c r="D151" s="20" t="s">
        <v>1556</v>
      </c>
      <c r="E151" s="19">
        <v>0</v>
      </c>
      <c r="F151" s="20" t="s">
        <v>1556</v>
      </c>
      <c r="G151" s="21">
        <v>0</v>
      </c>
      <c r="H151" s="21">
        <v>0</v>
      </c>
      <c r="I151" s="14" t="s">
        <v>1561</v>
      </c>
      <c r="J151" s="21">
        <v>0</v>
      </c>
      <c r="K151" s="21">
        <v>0</v>
      </c>
      <c r="L151" s="24">
        <f t="shared" si="4"/>
        <v>0</v>
      </c>
    </row>
    <row r="152" spans="1:12" x14ac:dyDescent="0.25">
      <c r="A152" s="15">
        <f t="shared" si="5"/>
        <v>147</v>
      </c>
      <c r="B152" s="17">
        <v>1678</v>
      </c>
      <c r="C152" s="18" t="s">
        <v>55</v>
      </c>
      <c r="D152" s="20" t="s">
        <v>1556</v>
      </c>
      <c r="E152" s="19">
        <v>0</v>
      </c>
      <c r="F152" s="20" t="s">
        <v>1556</v>
      </c>
      <c r="G152" s="21">
        <v>0</v>
      </c>
      <c r="H152" s="21">
        <v>-0.35396680000000003</v>
      </c>
      <c r="I152" s="14" t="s">
        <v>1561</v>
      </c>
      <c r="J152" s="21">
        <v>0.77151522318333332</v>
      </c>
      <c r="K152" s="21">
        <v>3.1313624999999998</v>
      </c>
      <c r="L152" s="24">
        <f t="shared" si="4"/>
        <v>0</v>
      </c>
    </row>
    <row r="153" spans="1:12" x14ac:dyDescent="0.25">
      <c r="A153" s="15">
        <f t="shared" si="5"/>
        <v>148</v>
      </c>
      <c r="B153" s="17">
        <v>1687</v>
      </c>
      <c r="C153" s="18" t="s">
        <v>1003</v>
      </c>
      <c r="D153" s="20" t="s">
        <v>1556</v>
      </c>
      <c r="E153" s="19">
        <v>0</v>
      </c>
      <c r="F153" s="20" t="s">
        <v>1556</v>
      </c>
      <c r="G153" s="21">
        <v>0</v>
      </c>
      <c r="H153" s="21">
        <v>0</v>
      </c>
      <c r="I153" s="14" t="s">
        <v>1561</v>
      </c>
      <c r="J153" s="21">
        <v>0</v>
      </c>
      <c r="K153" s="21">
        <v>0</v>
      </c>
      <c r="L153" s="24">
        <f t="shared" si="4"/>
        <v>0</v>
      </c>
    </row>
    <row r="154" spans="1:12" x14ac:dyDescent="0.25">
      <c r="A154" s="15">
        <f t="shared" si="5"/>
        <v>149</v>
      </c>
      <c r="B154" s="17">
        <v>1697</v>
      </c>
      <c r="C154" s="18" t="s">
        <v>1004</v>
      </c>
      <c r="D154" s="20" t="s">
        <v>1556</v>
      </c>
      <c r="E154" s="19">
        <v>0</v>
      </c>
      <c r="F154" s="20" t="s">
        <v>1556</v>
      </c>
      <c r="G154" s="21">
        <v>0</v>
      </c>
      <c r="H154" s="21">
        <v>0</v>
      </c>
      <c r="I154" s="14" t="s">
        <v>1561</v>
      </c>
      <c r="J154" s="21">
        <v>0</v>
      </c>
      <c r="K154" s="21">
        <v>0</v>
      </c>
      <c r="L154" s="24">
        <f t="shared" si="4"/>
        <v>0</v>
      </c>
    </row>
    <row r="155" spans="1:12" x14ac:dyDescent="0.25">
      <c r="A155" s="15">
        <f t="shared" si="5"/>
        <v>150</v>
      </c>
      <c r="B155" s="17">
        <v>1739</v>
      </c>
      <c r="C155" s="18" t="s">
        <v>57</v>
      </c>
      <c r="D155" s="20" t="s">
        <v>1556</v>
      </c>
      <c r="E155" s="19">
        <v>0</v>
      </c>
      <c r="F155" s="20" t="s">
        <v>1556</v>
      </c>
      <c r="G155" s="21">
        <v>0</v>
      </c>
      <c r="H155" s="21">
        <v>0</v>
      </c>
      <c r="I155" s="14" t="s">
        <v>1561</v>
      </c>
      <c r="J155" s="21">
        <v>0</v>
      </c>
      <c r="K155" s="21">
        <v>0</v>
      </c>
      <c r="L155" s="24">
        <f t="shared" si="4"/>
        <v>0</v>
      </c>
    </row>
    <row r="156" spans="1:12" x14ac:dyDescent="0.25">
      <c r="A156" s="15">
        <f t="shared" si="5"/>
        <v>151</v>
      </c>
      <c r="B156" s="17">
        <v>1756</v>
      </c>
      <c r="C156" s="18" t="s">
        <v>1005</v>
      </c>
      <c r="D156" s="20" t="s">
        <v>1556</v>
      </c>
      <c r="E156" s="19">
        <v>0</v>
      </c>
      <c r="F156" s="20" t="s">
        <v>1556</v>
      </c>
      <c r="G156" s="21">
        <v>0</v>
      </c>
      <c r="H156" s="21">
        <v>0</v>
      </c>
      <c r="I156" s="14" t="s">
        <v>1561</v>
      </c>
      <c r="J156" s="21">
        <v>0</v>
      </c>
      <c r="K156" s="21">
        <v>0</v>
      </c>
      <c r="L156" s="24">
        <f t="shared" si="4"/>
        <v>0</v>
      </c>
    </row>
    <row r="157" spans="1:12" x14ac:dyDescent="0.25">
      <c r="A157" s="15">
        <f t="shared" si="5"/>
        <v>152</v>
      </c>
      <c r="B157" s="17">
        <v>1757</v>
      </c>
      <c r="C157" s="18" t="s">
        <v>1006</v>
      </c>
      <c r="D157" s="20" t="s">
        <v>1556</v>
      </c>
      <c r="E157" s="19">
        <v>0</v>
      </c>
      <c r="F157" s="20" t="s">
        <v>1556</v>
      </c>
      <c r="G157" s="21">
        <v>0</v>
      </c>
      <c r="H157" s="21">
        <v>0</v>
      </c>
      <c r="I157" s="14" t="s">
        <v>1561</v>
      </c>
      <c r="J157" s="21">
        <v>0</v>
      </c>
      <c r="K157" s="21">
        <v>0</v>
      </c>
      <c r="L157" s="24">
        <f t="shared" si="4"/>
        <v>0</v>
      </c>
    </row>
    <row r="158" spans="1:12" x14ac:dyDescent="0.25">
      <c r="A158" s="15">
        <f t="shared" si="5"/>
        <v>153</v>
      </c>
      <c r="B158" s="17">
        <v>1777</v>
      </c>
      <c r="C158" s="18" t="s">
        <v>580</v>
      </c>
      <c r="D158" s="20">
        <v>1.7894319000000001</v>
      </c>
      <c r="E158" s="19">
        <v>0</v>
      </c>
      <c r="F158" s="20">
        <v>1.7894319000000001</v>
      </c>
      <c r="G158" s="21">
        <v>403.00924070000002</v>
      </c>
      <c r="H158" s="21">
        <v>338.62886209999999</v>
      </c>
      <c r="I158" s="14" t="s">
        <v>1561</v>
      </c>
      <c r="J158" s="21">
        <v>154.94240345402369</v>
      </c>
      <c r="K158" s="21">
        <v>366.64718119999998</v>
      </c>
      <c r="L158" s="24">
        <f t="shared" si="4"/>
        <v>0.90977363338656558</v>
      </c>
    </row>
    <row r="159" spans="1:12" x14ac:dyDescent="0.25">
      <c r="A159" s="15">
        <f t="shared" si="5"/>
        <v>154</v>
      </c>
      <c r="B159" s="17">
        <v>1786</v>
      </c>
      <c r="C159" s="18" t="s">
        <v>1007</v>
      </c>
      <c r="D159" s="20">
        <v>0.9107942</v>
      </c>
      <c r="E159" s="19">
        <v>0</v>
      </c>
      <c r="F159" s="20">
        <v>0.9107942</v>
      </c>
      <c r="G159" s="21">
        <v>87.951736600000004</v>
      </c>
      <c r="H159" s="21">
        <v>74.384984799999998</v>
      </c>
      <c r="I159" s="14" t="s">
        <v>1561</v>
      </c>
      <c r="J159" s="21">
        <v>60.185916753111634</v>
      </c>
      <c r="K159" s="21">
        <v>86.328845000000001</v>
      </c>
      <c r="L159" s="24">
        <f t="shared" si="4"/>
        <v>0.98154793000414731</v>
      </c>
    </row>
    <row r="160" spans="1:12" x14ac:dyDescent="0.25">
      <c r="A160" s="15">
        <f t="shared" si="5"/>
        <v>155</v>
      </c>
      <c r="B160" s="17">
        <v>1820</v>
      </c>
      <c r="C160" s="18" t="s">
        <v>581</v>
      </c>
      <c r="D160" s="20" t="s">
        <v>1556</v>
      </c>
      <c r="E160" s="19">
        <v>0</v>
      </c>
      <c r="F160" s="20" t="s">
        <v>1556</v>
      </c>
      <c r="G160" s="21">
        <v>0</v>
      </c>
      <c r="H160" s="21">
        <v>0</v>
      </c>
      <c r="I160" s="14" t="s">
        <v>1561</v>
      </c>
      <c r="J160" s="21">
        <v>0</v>
      </c>
      <c r="K160" s="21">
        <v>0</v>
      </c>
      <c r="L160" s="24">
        <f t="shared" si="4"/>
        <v>0</v>
      </c>
    </row>
    <row r="161" spans="1:12" x14ac:dyDescent="0.25">
      <c r="A161" s="15">
        <f t="shared" si="5"/>
        <v>156</v>
      </c>
      <c r="B161" s="17">
        <v>1821</v>
      </c>
      <c r="C161" s="18" t="s">
        <v>582</v>
      </c>
      <c r="D161" s="20" t="s">
        <v>1556</v>
      </c>
      <c r="E161" s="19">
        <v>0</v>
      </c>
      <c r="F161" s="20" t="s">
        <v>1556</v>
      </c>
      <c r="G161" s="21">
        <v>0</v>
      </c>
      <c r="H161" s="21">
        <v>0</v>
      </c>
      <c r="I161" s="14" t="s">
        <v>1561</v>
      </c>
      <c r="J161" s="21">
        <v>0</v>
      </c>
      <c r="K161" s="21">
        <v>0</v>
      </c>
      <c r="L161" s="24">
        <f t="shared" si="4"/>
        <v>0</v>
      </c>
    </row>
    <row r="162" spans="1:12" x14ac:dyDescent="0.25">
      <c r="A162" s="15">
        <f t="shared" si="5"/>
        <v>157</v>
      </c>
      <c r="B162" s="17">
        <v>1837</v>
      </c>
      <c r="C162" s="18" t="s">
        <v>210</v>
      </c>
      <c r="D162" s="20">
        <v>3.3279099999999999E-2</v>
      </c>
      <c r="E162" s="19">
        <v>0</v>
      </c>
      <c r="F162" s="20">
        <v>3.3279099999999999E-2</v>
      </c>
      <c r="G162" s="21">
        <v>7.3486326000000002</v>
      </c>
      <c r="H162" s="21">
        <v>7.3486326000000002</v>
      </c>
      <c r="I162" s="14" t="s">
        <v>1561</v>
      </c>
      <c r="J162" s="21">
        <v>2.801817762216039</v>
      </c>
      <c r="K162" s="21">
        <v>8.0650069000000002</v>
      </c>
      <c r="L162" s="24">
        <f t="shared" si="4"/>
        <v>1.097484027164455</v>
      </c>
    </row>
    <row r="163" spans="1:12" x14ac:dyDescent="0.25">
      <c r="A163" s="15">
        <f t="shared" si="5"/>
        <v>158</v>
      </c>
      <c r="B163" s="17">
        <v>1849</v>
      </c>
      <c r="C163" s="18" t="s">
        <v>251</v>
      </c>
      <c r="D163" s="20" t="s">
        <v>1556</v>
      </c>
      <c r="E163" s="19">
        <v>0</v>
      </c>
      <c r="F163" s="20" t="s">
        <v>1556</v>
      </c>
      <c r="G163" s="21">
        <v>0</v>
      </c>
      <c r="H163" s="21">
        <v>0</v>
      </c>
      <c r="I163" s="14" t="s">
        <v>1561</v>
      </c>
      <c r="J163" s="21">
        <v>0</v>
      </c>
      <c r="K163" s="21">
        <v>0</v>
      </c>
      <c r="L163" s="24">
        <f t="shared" si="4"/>
        <v>0</v>
      </c>
    </row>
    <row r="164" spans="1:12" x14ac:dyDescent="0.25">
      <c r="A164" s="15">
        <f t="shared" si="5"/>
        <v>159</v>
      </c>
      <c r="B164" s="17">
        <v>1851</v>
      </c>
      <c r="C164" s="18" t="s">
        <v>252</v>
      </c>
      <c r="D164" s="20" t="s">
        <v>1556</v>
      </c>
      <c r="E164" s="19">
        <v>0</v>
      </c>
      <c r="F164" s="20" t="s">
        <v>1556</v>
      </c>
      <c r="G164" s="21">
        <v>0</v>
      </c>
      <c r="H164" s="21">
        <v>0</v>
      </c>
      <c r="I164" s="14" t="s">
        <v>1561</v>
      </c>
      <c r="J164" s="21">
        <v>0</v>
      </c>
      <c r="K164" s="21">
        <v>0</v>
      </c>
      <c r="L164" s="24">
        <f t="shared" si="4"/>
        <v>0</v>
      </c>
    </row>
    <row r="165" spans="1:12" x14ac:dyDescent="0.25">
      <c r="A165" s="15">
        <f t="shared" si="5"/>
        <v>160</v>
      </c>
      <c r="B165" s="17">
        <v>1854</v>
      </c>
      <c r="C165" s="18" t="s">
        <v>1008</v>
      </c>
      <c r="D165" s="20" t="s">
        <v>1556</v>
      </c>
      <c r="E165" s="19">
        <v>0</v>
      </c>
      <c r="F165" s="20" t="s">
        <v>1556</v>
      </c>
      <c r="G165" s="21">
        <v>0</v>
      </c>
      <c r="H165" s="21">
        <v>0</v>
      </c>
      <c r="I165" s="14" t="s">
        <v>1561</v>
      </c>
      <c r="J165" s="21">
        <v>0</v>
      </c>
      <c r="K165" s="21">
        <v>0</v>
      </c>
      <c r="L165" s="24">
        <f t="shared" si="4"/>
        <v>0</v>
      </c>
    </row>
    <row r="166" spans="1:12" x14ac:dyDescent="0.25">
      <c r="A166" s="15">
        <f t="shared" si="5"/>
        <v>161</v>
      </c>
      <c r="B166" s="17">
        <v>1909</v>
      </c>
      <c r="C166" s="18" t="s">
        <v>583</v>
      </c>
      <c r="D166" s="20">
        <v>1.24584E-2</v>
      </c>
      <c r="E166" s="19">
        <v>0</v>
      </c>
      <c r="F166" s="20">
        <v>1.24584E-2</v>
      </c>
      <c r="G166" s="21">
        <v>1.19994</v>
      </c>
      <c r="H166" s="21">
        <v>1.19994</v>
      </c>
      <c r="I166" s="14" t="s">
        <v>1561</v>
      </c>
      <c r="J166" s="21">
        <v>1.1639669838142472</v>
      </c>
      <c r="K166" s="21">
        <v>1.8004286999999999</v>
      </c>
      <c r="L166" s="24">
        <f t="shared" si="4"/>
        <v>1.5004322716135805</v>
      </c>
    </row>
    <row r="167" spans="1:12" x14ac:dyDescent="0.25">
      <c r="A167" s="15">
        <f t="shared" si="5"/>
        <v>162</v>
      </c>
      <c r="B167" s="17">
        <v>1912</v>
      </c>
      <c r="C167" s="18" t="s">
        <v>584</v>
      </c>
      <c r="D167" s="20" t="s">
        <v>1556</v>
      </c>
      <c r="E167" s="19">
        <v>0</v>
      </c>
      <c r="F167" s="20" t="s">
        <v>1556</v>
      </c>
      <c r="G167" s="21">
        <v>0</v>
      </c>
      <c r="H167" s="21">
        <v>0</v>
      </c>
      <c r="I167" s="14" t="s">
        <v>1561</v>
      </c>
      <c r="J167" s="21">
        <v>0.25080539057500001</v>
      </c>
      <c r="K167" s="21">
        <v>1.0757637</v>
      </c>
      <c r="L167" s="24">
        <f t="shared" si="4"/>
        <v>0</v>
      </c>
    </row>
    <row r="168" spans="1:12" x14ac:dyDescent="0.25">
      <c r="A168" s="15">
        <f t="shared" si="5"/>
        <v>163</v>
      </c>
      <c r="B168" s="17">
        <v>1920</v>
      </c>
      <c r="C168" s="18" t="s">
        <v>58</v>
      </c>
      <c r="D168" s="20" t="s">
        <v>1556</v>
      </c>
      <c r="E168" s="19">
        <v>0</v>
      </c>
      <c r="F168" s="20" t="s">
        <v>1556</v>
      </c>
      <c r="G168" s="21">
        <v>0</v>
      </c>
      <c r="H168" s="21">
        <v>0</v>
      </c>
      <c r="I168" s="14" t="s">
        <v>1561</v>
      </c>
      <c r="J168" s="21">
        <v>0</v>
      </c>
      <c r="K168" s="21">
        <v>0</v>
      </c>
      <c r="L168" s="24">
        <f t="shared" si="4"/>
        <v>0</v>
      </c>
    </row>
    <row r="169" spans="1:12" x14ac:dyDescent="0.25">
      <c r="A169" s="15">
        <f t="shared" si="5"/>
        <v>164</v>
      </c>
      <c r="B169" s="17">
        <v>1927</v>
      </c>
      <c r="C169" s="18" t="s">
        <v>335</v>
      </c>
      <c r="D169" s="20" t="s">
        <v>1556</v>
      </c>
      <c r="E169" s="19">
        <v>0</v>
      </c>
      <c r="F169" s="20" t="s">
        <v>1556</v>
      </c>
      <c r="G169" s="21">
        <v>0</v>
      </c>
      <c r="H169" s="21">
        <v>0</v>
      </c>
      <c r="I169" s="14" t="s">
        <v>1561</v>
      </c>
      <c r="J169" s="21">
        <v>0</v>
      </c>
      <c r="K169" s="21">
        <v>0</v>
      </c>
      <c r="L169" s="24">
        <f t="shared" si="4"/>
        <v>0</v>
      </c>
    </row>
    <row r="170" spans="1:12" x14ac:dyDescent="0.25">
      <c r="A170" s="15">
        <f t="shared" si="5"/>
        <v>165</v>
      </c>
      <c r="B170" s="17">
        <v>1930</v>
      </c>
      <c r="C170" s="18" t="s">
        <v>253</v>
      </c>
      <c r="D170" s="20" t="s">
        <v>1556</v>
      </c>
      <c r="E170" s="19">
        <v>0</v>
      </c>
      <c r="F170" s="20" t="s">
        <v>1556</v>
      </c>
      <c r="G170" s="21">
        <v>0</v>
      </c>
      <c r="H170" s="21">
        <v>0</v>
      </c>
      <c r="I170" s="14" t="s">
        <v>1561</v>
      </c>
      <c r="J170" s="21">
        <v>0</v>
      </c>
      <c r="K170" s="21">
        <v>0</v>
      </c>
      <c r="L170" s="24">
        <f t="shared" si="4"/>
        <v>0</v>
      </c>
    </row>
    <row r="171" spans="1:12" x14ac:dyDescent="0.25">
      <c r="A171" s="15">
        <f t="shared" si="5"/>
        <v>166</v>
      </c>
      <c r="B171" s="17">
        <v>1964</v>
      </c>
      <c r="C171" s="18" t="s">
        <v>165</v>
      </c>
      <c r="D171" s="20">
        <v>1.9324598000000002</v>
      </c>
      <c r="E171" s="19">
        <v>0</v>
      </c>
      <c r="F171" s="20">
        <v>1.9324598000000002</v>
      </c>
      <c r="G171" s="21">
        <v>283.32498229999999</v>
      </c>
      <c r="H171" s="21">
        <v>110.23607190000001</v>
      </c>
      <c r="I171" s="14" t="s">
        <v>1561</v>
      </c>
      <c r="J171" s="21">
        <v>184.98943425284907</v>
      </c>
      <c r="K171" s="21">
        <v>225.53767160000001</v>
      </c>
      <c r="L171" s="24">
        <f t="shared" si="4"/>
        <v>0.79603877416354474</v>
      </c>
    </row>
    <row r="172" spans="1:12" x14ac:dyDescent="0.25">
      <c r="A172" s="15">
        <f t="shared" si="5"/>
        <v>167</v>
      </c>
      <c r="B172" s="17">
        <v>1976</v>
      </c>
      <c r="C172" s="18" t="s">
        <v>254</v>
      </c>
      <c r="D172" s="20" t="s">
        <v>1556</v>
      </c>
      <c r="E172" s="19">
        <v>0</v>
      </c>
      <c r="F172" s="20" t="s">
        <v>1556</v>
      </c>
      <c r="G172" s="21">
        <v>0</v>
      </c>
      <c r="H172" s="21">
        <v>0</v>
      </c>
      <c r="I172" s="14" t="s">
        <v>1561</v>
      </c>
      <c r="J172" s="21">
        <v>0</v>
      </c>
      <c r="K172" s="21">
        <v>0</v>
      </c>
      <c r="L172" s="24">
        <f t="shared" si="4"/>
        <v>0</v>
      </c>
    </row>
    <row r="173" spans="1:12" x14ac:dyDescent="0.25">
      <c r="A173" s="15">
        <f t="shared" si="5"/>
        <v>168</v>
      </c>
      <c r="B173" s="17">
        <v>2023</v>
      </c>
      <c r="C173" s="18" t="s">
        <v>1009</v>
      </c>
      <c r="D173" s="20" t="s">
        <v>1556</v>
      </c>
      <c r="E173" s="19">
        <v>0</v>
      </c>
      <c r="F173" s="20" t="s">
        <v>1556</v>
      </c>
      <c r="G173" s="21">
        <v>0</v>
      </c>
      <c r="H173" s="21">
        <v>0</v>
      </c>
      <c r="I173" s="14" t="s">
        <v>1561</v>
      </c>
      <c r="J173" s="21">
        <v>9.161328650702238</v>
      </c>
      <c r="K173" s="21">
        <v>9.4407189000000002</v>
      </c>
      <c r="L173" s="24">
        <f t="shared" si="4"/>
        <v>0</v>
      </c>
    </row>
    <row r="174" spans="1:12" x14ac:dyDescent="0.25">
      <c r="A174" s="15">
        <f t="shared" si="5"/>
        <v>169</v>
      </c>
      <c r="B174" s="17">
        <v>2025</v>
      </c>
      <c r="C174" s="18" t="s">
        <v>211</v>
      </c>
      <c r="D174" s="20" t="s">
        <v>1556</v>
      </c>
      <c r="E174" s="19">
        <v>0</v>
      </c>
      <c r="F174" s="20" t="s">
        <v>1556</v>
      </c>
      <c r="G174" s="21">
        <v>0</v>
      </c>
      <c r="H174" s="21">
        <v>0</v>
      </c>
      <c r="I174" s="14" t="s">
        <v>1561</v>
      </c>
      <c r="J174" s="21">
        <v>0</v>
      </c>
      <c r="K174" s="21">
        <v>0</v>
      </c>
      <c r="L174" s="24">
        <f t="shared" si="4"/>
        <v>0</v>
      </c>
    </row>
    <row r="175" spans="1:12" x14ac:dyDescent="0.25">
      <c r="A175" s="15">
        <f t="shared" si="5"/>
        <v>170</v>
      </c>
      <c r="B175" s="17">
        <v>2030</v>
      </c>
      <c r="C175" s="18" t="s">
        <v>1010</v>
      </c>
      <c r="D175" s="20" t="s">
        <v>1556</v>
      </c>
      <c r="E175" s="19">
        <v>0</v>
      </c>
      <c r="F175" s="20" t="s">
        <v>1556</v>
      </c>
      <c r="G175" s="21">
        <v>0</v>
      </c>
      <c r="H175" s="21">
        <v>0</v>
      </c>
      <c r="I175" s="14" t="s">
        <v>1561</v>
      </c>
      <c r="J175" s="21">
        <v>0</v>
      </c>
      <c r="K175" s="21">
        <v>0</v>
      </c>
      <c r="L175" s="24">
        <f t="shared" si="4"/>
        <v>0</v>
      </c>
    </row>
    <row r="176" spans="1:12" x14ac:dyDescent="0.25">
      <c r="A176" s="15">
        <f t="shared" si="5"/>
        <v>171</v>
      </c>
      <c r="B176" s="17">
        <v>2076</v>
      </c>
      <c r="C176" s="18" t="s">
        <v>1011</v>
      </c>
      <c r="D176" s="20">
        <v>0.54974769999999995</v>
      </c>
      <c r="E176" s="19">
        <v>0</v>
      </c>
      <c r="F176" s="20">
        <v>0.54974769999999995</v>
      </c>
      <c r="G176" s="21">
        <v>155.9966785</v>
      </c>
      <c r="H176" s="21">
        <v>110.36083839999999</v>
      </c>
      <c r="I176" s="14" t="s">
        <v>1561</v>
      </c>
      <c r="J176" s="21">
        <v>51.70124843356507</v>
      </c>
      <c r="K176" s="21">
        <v>114.6501617</v>
      </c>
      <c r="L176" s="24">
        <f t="shared" si="4"/>
        <v>0.73495258233975791</v>
      </c>
    </row>
    <row r="177" spans="1:12" x14ac:dyDescent="0.25">
      <c r="A177" s="15">
        <f t="shared" si="5"/>
        <v>172</v>
      </c>
      <c r="B177" s="17">
        <v>2093</v>
      </c>
      <c r="C177" s="18" t="s">
        <v>1012</v>
      </c>
      <c r="D177" s="20" t="s">
        <v>1556</v>
      </c>
      <c r="E177" s="19">
        <v>0</v>
      </c>
      <c r="F177" s="20" t="s">
        <v>1556</v>
      </c>
      <c r="G177" s="21">
        <v>0</v>
      </c>
      <c r="H177" s="21">
        <v>0</v>
      </c>
      <c r="I177" s="14" t="s">
        <v>1561</v>
      </c>
      <c r="J177" s="21">
        <v>2.2505925019975797</v>
      </c>
      <c r="K177" s="21">
        <v>2.4877779000000002</v>
      </c>
      <c r="L177" s="24">
        <f t="shared" si="4"/>
        <v>0</v>
      </c>
    </row>
    <row r="178" spans="1:12" x14ac:dyDescent="0.25">
      <c r="A178" s="15">
        <f t="shared" si="5"/>
        <v>173</v>
      </c>
      <c r="B178" s="17">
        <v>2096</v>
      </c>
      <c r="C178" s="18" t="s">
        <v>1013</v>
      </c>
      <c r="D178" s="20" t="s">
        <v>1556</v>
      </c>
      <c r="E178" s="19">
        <v>0</v>
      </c>
      <c r="F178" s="20" t="s">
        <v>1556</v>
      </c>
      <c r="G178" s="21">
        <v>0</v>
      </c>
      <c r="H178" s="21">
        <v>0</v>
      </c>
      <c r="I178" s="14" t="s">
        <v>1561</v>
      </c>
      <c r="J178" s="21">
        <v>0</v>
      </c>
      <c r="K178" s="21">
        <v>0</v>
      </c>
      <c r="L178" s="24">
        <f t="shared" si="4"/>
        <v>0</v>
      </c>
    </row>
    <row r="179" spans="1:12" x14ac:dyDescent="0.25">
      <c r="A179" s="15">
        <f t="shared" si="5"/>
        <v>174</v>
      </c>
      <c r="B179" s="17">
        <v>2131</v>
      </c>
      <c r="C179" s="18" t="s">
        <v>166</v>
      </c>
      <c r="D179" s="20" t="s">
        <v>1556</v>
      </c>
      <c r="E179" s="19">
        <v>0</v>
      </c>
      <c r="F179" s="20" t="s">
        <v>1556</v>
      </c>
      <c r="G179" s="21">
        <v>0</v>
      </c>
      <c r="H179" s="21">
        <v>0</v>
      </c>
      <c r="I179" s="14" t="s">
        <v>1561</v>
      </c>
      <c r="J179" s="21">
        <v>0</v>
      </c>
      <c r="K179" s="21">
        <v>0</v>
      </c>
      <c r="L179" s="24">
        <f t="shared" si="4"/>
        <v>0</v>
      </c>
    </row>
    <row r="180" spans="1:12" x14ac:dyDescent="0.25">
      <c r="A180" s="15">
        <f t="shared" si="5"/>
        <v>175</v>
      </c>
      <c r="B180" s="17">
        <v>2180</v>
      </c>
      <c r="C180" s="18" t="s">
        <v>585</v>
      </c>
      <c r="D180" s="20" t="s">
        <v>1556</v>
      </c>
      <c r="E180" s="19">
        <v>0</v>
      </c>
      <c r="F180" s="20" t="s">
        <v>1556</v>
      </c>
      <c r="G180" s="21">
        <v>0</v>
      </c>
      <c r="H180" s="21">
        <v>0</v>
      </c>
      <c r="I180" s="14" t="s">
        <v>1561</v>
      </c>
      <c r="J180" s="21">
        <v>0</v>
      </c>
      <c r="K180" s="21">
        <v>0</v>
      </c>
      <c r="L180" s="24">
        <f t="shared" si="4"/>
        <v>0</v>
      </c>
    </row>
    <row r="181" spans="1:12" x14ac:dyDescent="0.25">
      <c r="A181" s="15">
        <f t="shared" si="5"/>
        <v>176</v>
      </c>
      <c r="B181" s="17">
        <v>2197</v>
      </c>
      <c r="C181" s="18" t="s">
        <v>1014</v>
      </c>
      <c r="D181" s="20" t="s">
        <v>1556</v>
      </c>
      <c r="E181" s="19">
        <v>0</v>
      </c>
      <c r="F181" s="20" t="s">
        <v>1556</v>
      </c>
      <c r="G181" s="21">
        <v>0</v>
      </c>
      <c r="H181" s="21">
        <v>0</v>
      </c>
      <c r="I181" s="14" t="s">
        <v>1561</v>
      </c>
      <c r="J181" s="21">
        <v>0</v>
      </c>
      <c r="K181" s="21">
        <v>0</v>
      </c>
      <c r="L181" s="24">
        <f t="shared" si="4"/>
        <v>0</v>
      </c>
    </row>
    <row r="182" spans="1:12" x14ac:dyDescent="0.25">
      <c r="A182" s="15">
        <f t="shared" si="5"/>
        <v>177</v>
      </c>
      <c r="B182" s="17">
        <v>2198</v>
      </c>
      <c r="C182" s="18" t="s">
        <v>1015</v>
      </c>
      <c r="D182" s="20">
        <v>4.5090000000000001E-4</v>
      </c>
      <c r="E182" s="19">
        <v>0</v>
      </c>
      <c r="F182" s="20">
        <v>4.5090000000000001E-4</v>
      </c>
      <c r="G182" s="21">
        <v>0.34498300000000004</v>
      </c>
      <c r="H182" s="21">
        <v>0.34498300000000004</v>
      </c>
      <c r="I182" s="14" t="s">
        <v>1561</v>
      </c>
      <c r="J182" s="21">
        <v>6.4879301430824377E-2</v>
      </c>
      <c r="K182" s="21">
        <v>0.3604385</v>
      </c>
      <c r="L182" s="24">
        <f t="shared" si="4"/>
        <v>1.0448007582982348</v>
      </c>
    </row>
    <row r="183" spans="1:12" x14ac:dyDescent="0.25">
      <c r="A183" s="15">
        <f t="shared" si="5"/>
        <v>178</v>
      </c>
      <c r="B183" s="17">
        <v>2224</v>
      </c>
      <c r="C183" s="18" t="s">
        <v>59</v>
      </c>
      <c r="D183" s="20" t="s">
        <v>1556</v>
      </c>
      <c r="E183" s="19">
        <v>0</v>
      </c>
      <c r="F183" s="20" t="s">
        <v>1556</v>
      </c>
      <c r="G183" s="21">
        <v>0</v>
      </c>
      <c r="H183" s="21">
        <v>0</v>
      </c>
      <c r="I183" s="14" t="s">
        <v>1561</v>
      </c>
      <c r="J183" s="21">
        <v>0</v>
      </c>
      <c r="K183" s="21">
        <v>0</v>
      </c>
      <c r="L183" s="24">
        <f t="shared" si="4"/>
        <v>0</v>
      </c>
    </row>
    <row r="184" spans="1:12" x14ac:dyDescent="0.25">
      <c r="A184" s="15">
        <f t="shared" si="5"/>
        <v>179</v>
      </c>
      <c r="B184" s="17">
        <v>2238</v>
      </c>
      <c r="C184" s="18" t="s">
        <v>255</v>
      </c>
      <c r="D184" s="20" t="s">
        <v>1556</v>
      </c>
      <c r="E184" s="19">
        <v>0</v>
      </c>
      <c r="F184" s="20" t="s">
        <v>1556</v>
      </c>
      <c r="G184" s="21">
        <v>0</v>
      </c>
      <c r="H184" s="21">
        <v>0</v>
      </c>
      <c r="I184" s="14" t="s">
        <v>1561</v>
      </c>
      <c r="J184" s="21">
        <v>0</v>
      </c>
      <c r="K184" s="21">
        <v>0</v>
      </c>
      <c r="L184" s="24">
        <f t="shared" si="4"/>
        <v>0</v>
      </c>
    </row>
    <row r="185" spans="1:12" x14ac:dyDescent="0.25">
      <c r="A185" s="15">
        <f t="shared" si="5"/>
        <v>180</v>
      </c>
      <c r="B185" s="17">
        <v>2276</v>
      </c>
      <c r="C185" s="18" t="s">
        <v>256</v>
      </c>
      <c r="D185" s="20">
        <v>0.76699919999999999</v>
      </c>
      <c r="E185" s="19">
        <v>0</v>
      </c>
      <c r="F185" s="20">
        <v>0.76699919999999999</v>
      </c>
      <c r="G185" s="21">
        <v>103.57885109999999</v>
      </c>
      <c r="H185" s="21">
        <v>89.585899399999988</v>
      </c>
      <c r="I185" s="14" t="s">
        <v>1561</v>
      </c>
      <c r="J185" s="21">
        <v>52.21261835830316</v>
      </c>
      <c r="K185" s="21">
        <v>118.06234880000001</v>
      </c>
      <c r="L185" s="24">
        <f t="shared" si="4"/>
        <v>1.1398306463741035</v>
      </c>
    </row>
    <row r="186" spans="1:12" x14ac:dyDescent="0.25">
      <c r="A186" s="15">
        <f t="shared" si="5"/>
        <v>181</v>
      </c>
      <c r="B186" s="17">
        <v>2282</v>
      </c>
      <c r="C186" s="18" t="s">
        <v>257</v>
      </c>
      <c r="D186" s="20" t="s">
        <v>1556</v>
      </c>
      <c r="E186" s="19">
        <v>0</v>
      </c>
      <c r="F186" s="20" t="s">
        <v>1556</v>
      </c>
      <c r="G186" s="21">
        <v>0</v>
      </c>
      <c r="H186" s="21">
        <v>0</v>
      </c>
      <c r="I186" s="14" t="s">
        <v>1561</v>
      </c>
      <c r="J186" s="21">
        <v>0</v>
      </c>
      <c r="K186" s="21">
        <v>0</v>
      </c>
      <c r="L186" s="24">
        <f t="shared" si="4"/>
        <v>0</v>
      </c>
    </row>
    <row r="187" spans="1:12" x14ac:dyDescent="0.25">
      <c r="A187" s="15">
        <f t="shared" si="5"/>
        <v>182</v>
      </c>
      <c r="B187" s="17">
        <v>2283</v>
      </c>
      <c r="C187" s="18" t="s">
        <v>167</v>
      </c>
      <c r="D187" s="20">
        <v>0.99921850000000001</v>
      </c>
      <c r="E187" s="19">
        <v>0</v>
      </c>
      <c r="F187" s="20">
        <v>0.99921850000000001</v>
      </c>
      <c r="G187" s="21">
        <v>103.41688130000001</v>
      </c>
      <c r="H187" s="21">
        <v>72.698443400000002</v>
      </c>
      <c r="I187" s="14" t="s">
        <v>1561</v>
      </c>
      <c r="J187" s="21">
        <v>67.433089835341931</v>
      </c>
      <c r="K187" s="21">
        <v>103.8922779</v>
      </c>
      <c r="L187" s="24">
        <f t="shared" si="4"/>
        <v>1.004596895536048</v>
      </c>
    </row>
    <row r="188" spans="1:12" x14ac:dyDescent="0.25">
      <c r="A188" s="15">
        <f t="shared" si="5"/>
        <v>183</v>
      </c>
      <c r="B188" s="17">
        <v>2354</v>
      </c>
      <c r="C188" s="18" t="s">
        <v>1016</v>
      </c>
      <c r="D188" s="20" t="s">
        <v>1556</v>
      </c>
      <c r="E188" s="19">
        <v>0</v>
      </c>
      <c r="F188" s="20" t="s">
        <v>1556</v>
      </c>
      <c r="G188" s="21">
        <v>0</v>
      </c>
      <c r="H188" s="21">
        <v>0</v>
      </c>
      <c r="I188" s="14" t="s">
        <v>1561</v>
      </c>
      <c r="J188" s="21">
        <v>0</v>
      </c>
      <c r="K188" s="21">
        <v>0</v>
      </c>
      <c r="L188" s="24">
        <f t="shared" si="4"/>
        <v>0</v>
      </c>
    </row>
    <row r="189" spans="1:12" x14ac:dyDescent="0.25">
      <c r="A189" s="15">
        <f t="shared" si="5"/>
        <v>184</v>
      </c>
      <c r="B189" s="17">
        <v>2365</v>
      </c>
      <c r="C189" s="18" t="s">
        <v>69</v>
      </c>
      <c r="D189" s="20">
        <v>1.9962575</v>
      </c>
      <c r="E189" s="19">
        <v>0</v>
      </c>
      <c r="F189" s="20">
        <v>1.9962575</v>
      </c>
      <c r="G189" s="21">
        <v>119.99322340000001</v>
      </c>
      <c r="H189" s="21">
        <v>99.583280700000003</v>
      </c>
      <c r="I189" s="14" t="s">
        <v>1561</v>
      </c>
      <c r="J189" s="21">
        <v>125.64648470942149</v>
      </c>
      <c r="K189" s="21">
        <v>188.0646491</v>
      </c>
      <c r="L189" s="24">
        <f t="shared" si="4"/>
        <v>1.5672939168663085</v>
      </c>
    </row>
    <row r="190" spans="1:12" x14ac:dyDescent="0.25">
      <c r="A190" s="15">
        <f t="shared" si="5"/>
        <v>185</v>
      </c>
      <c r="B190" s="17">
        <v>2368</v>
      </c>
      <c r="C190" s="18" t="s">
        <v>1017</v>
      </c>
      <c r="D190" s="20" t="s">
        <v>1556</v>
      </c>
      <c r="E190" s="19">
        <v>0</v>
      </c>
      <c r="F190" s="20" t="s">
        <v>1556</v>
      </c>
      <c r="G190" s="21">
        <v>0</v>
      </c>
      <c r="H190" s="21">
        <v>0</v>
      </c>
      <c r="I190" s="14" t="s">
        <v>1561</v>
      </c>
      <c r="J190" s="21">
        <v>0</v>
      </c>
      <c r="K190" s="21">
        <v>0</v>
      </c>
      <c r="L190" s="24">
        <f t="shared" si="4"/>
        <v>0</v>
      </c>
    </row>
    <row r="191" spans="1:12" x14ac:dyDescent="0.25">
      <c r="A191" s="15">
        <f t="shared" si="5"/>
        <v>186</v>
      </c>
      <c r="B191" s="17">
        <v>2373</v>
      </c>
      <c r="C191" s="18" t="s">
        <v>586</v>
      </c>
      <c r="D191" s="20">
        <v>0.47715570000000002</v>
      </c>
      <c r="E191" s="19">
        <v>0</v>
      </c>
      <c r="F191" s="20">
        <v>0.47715570000000002</v>
      </c>
      <c r="G191" s="21">
        <v>168.6075745</v>
      </c>
      <c r="H191" s="21">
        <v>152.8556136</v>
      </c>
      <c r="I191" s="14" t="s">
        <v>1561</v>
      </c>
      <c r="J191" s="21">
        <v>46.896877097219893</v>
      </c>
      <c r="K191" s="21">
        <v>159.65322810000001</v>
      </c>
      <c r="L191" s="24">
        <f t="shared" si="4"/>
        <v>0.94689238353286442</v>
      </c>
    </row>
    <row r="192" spans="1:12" x14ac:dyDescent="0.25">
      <c r="A192" s="15">
        <f t="shared" si="5"/>
        <v>187</v>
      </c>
      <c r="B192" s="17">
        <v>2380</v>
      </c>
      <c r="C192" s="18" t="s">
        <v>61</v>
      </c>
      <c r="D192" s="20" t="s">
        <v>1556</v>
      </c>
      <c r="E192" s="19">
        <v>0</v>
      </c>
      <c r="F192" s="20" t="s">
        <v>1556</v>
      </c>
      <c r="G192" s="21">
        <v>0</v>
      </c>
      <c r="H192" s="21">
        <v>0</v>
      </c>
      <c r="I192" s="14" t="s">
        <v>1561</v>
      </c>
      <c r="J192" s="21">
        <v>0</v>
      </c>
      <c r="K192" s="21">
        <v>0</v>
      </c>
      <c r="L192" s="24">
        <f t="shared" si="4"/>
        <v>0</v>
      </c>
    </row>
    <row r="193" spans="1:12" x14ac:dyDescent="0.25">
      <c r="A193" s="15">
        <f t="shared" si="5"/>
        <v>188</v>
      </c>
      <c r="B193" s="17">
        <v>2401</v>
      </c>
      <c r="C193" s="18" t="s">
        <v>1018</v>
      </c>
      <c r="D193" s="20" t="s">
        <v>1556</v>
      </c>
      <c r="E193" s="19">
        <v>0</v>
      </c>
      <c r="F193" s="20" t="s">
        <v>1556</v>
      </c>
      <c r="G193" s="21">
        <v>0</v>
      </c>
      <c r="H193" s="21">
        <v>0</v>
      </c>
      <c r="I193" s="14" t="s">
        <v>1561</v>
      </c>
      <c r="J193" s="21">
        <v>0</v>
      </c>
      <c r="K193" s="21">
        <v>0</v>
      </c>
      <c r="L193" s="24">
        <f t="shared" si="4"/>
        <v>0</v>
      </c>
    </row>
    <row r="194" spans="1:12" x14ac:dyDescent="0.25">
      <c r="A194" s="15">
        <f t="shared" si="5"/>
        <v>189</v>
      </c>
      <c r="B194" s="17">
        <v>2402</v>
      </c>
      <c r="C194" s="18" t="s">
        <v>212</v>
      </c>
      <c r="D194" s="20" t="s">
        <v>1556</v>
      </c>
      <c r="E194" s="19">
        <v>0</v>
      </c>
      <c r="F194" s="20" t="s">
        <v>1556</v>
      </c>
      <c r="G194" s="21">
        <v>0</v>
      </c>
      <c r="H194" s="21">
        <v>0</v>
      </c>
      <c r="I194" s="14" t="s">
        <v>1561</v>
      </c>
      <c r="J194" s="21">
        <v>0</v>
      </c>
      <c r="K194" s="21">
        <v>0</v>
      </c>
      <c r="L194" s="24">
        <f t="shared" si="4"/>
        <v>0</v>
      </c>
    </row>
    <row r="195" spans="1:12" x14ac:dyDescent="0.25">
      <c r="A195" s="15">
        <f t="shared" si="5"/>
        <v>190</v>
      </c>
      <c r="B195" s="17">
        <v>2403</v>
      </c>
      <c r="C195" s="18" t="s">
        <v>168</v>
      </c>
      <c r="D195" s="20" t="s">
        <v>1556</v>
      </c>
      <c r="E195" s="19">
        <v>0</v>
      </c>
      <c r="F195" s="20" t="s">
        <v>1556</v>
      </c>
      <c r="G195" s="21">
        <v>0</v>
      </c>
      <c r="H195" s="21">
        <v>0</v>
      </c>
      <c r="I195" s="14" t="s">
        <v>1561</v>
      </c>
      <c r="J195" s="21">
        <v>0</v>
      </c>
      <c r="K195" s="21">
        <v>0</v>
      </c>
      <c r="L195" s="24">
        <f t="shared" si="4"/>
        <v>0</v>
      </c>
    </row>
    <row r="196" spans="1:12" x14ac:dyDescent="0.25">
      <c r="A196" s="15">
        <f t="shared" si="5"/>
        <v>191</v>
      </c>
      <c r="B196" s="17">
        <v>2425</v>
      </c>
      <c r="C196" s="18" t="s">
        <v>587</v>
      </c>
      <c r="D196" s="20">
        <v>1.35549E-2</v>
      </c>
      <c r="E196" s="19">
        <v>0</v>
      </c>
      <c r="F196" s="20">
        <v>1.35549E-2</v>
      </c>
      <c r="G196" s="21">
        <v>1.899905</v>
      </c>
      <c r="H196" s="21">
        <v>1.899905</v>
      </c>
      <c r="I196" s="14" t="s">
        <v>1561</v>
      </c>
      <c r="J196" s="21">
        <v>1.2974188767714157</v>
      </c>
      <c r="K196" s="21">
        <v>2.2112278000000001</v>
      </c>
      <c r="L196" s="24">
        <f t="shared" si="4"/>
        <v>1.1638622983780769</v>
      </c>
    </row>
    <row r="197" spans="1:12" x14ac:dyDescent="0.25">
      <c r="A197" s="15">
        <f t="shared" si="5"/>
        <v>192</v>
      </c>
      <c r="B197" s="17">
        <v>2427</v>
      </c>
      <c r="C197" s="18" t="s">
        <v>1019</v>
      </c>
      <c r="D197" s="20" t="s">
        <v>1556</v>
      </c>
      <c r="E197" s="19">
        <v>0</v>
      </c>
      <c r="F197" s="20" t="s">
        <v>1556</v>
      </c>
      <c r="G197" s="21">
        <v>0</v>
      </c>
      <c r="H197" s="21">
        <v>0</v>
      </c>
      <c r="I197" s="14" t="s">
        <v>1561</v>
      </c>
      <c r="J197" s="21">
        <v>0</v>
      </c>
      <c r="K197" s="21">
        <v>0</v>
      </c>
      <c r="L197" s="24">
        <f t="shared" si="4"/>
        <v>0</v>
      </c>
    </row>
    <row r="198" spans="1:12" x14ac:dyDescent="0.25">
      <c r="A198" s="15">
        <f t="shared" si="5"/>
        <v>193</v>
      </c>
      <c r="B198" s="17">
        <v>2455</v>
      </c>
      <c r="C198" s="18" t="s">
        <v>336</v>
      </c>
      <c r="D198" s="20" t="s">
        <v>1556</v>
      </c>
      <c r="E198" s="19">
        <v>0</v>
      </c>
      <c r="F198" s="20" t="s">
        <v>1556</v>
      </c>
      <c r="G198" s="21">
        <v>0</v>
      </c>
      <c r="H198" s="21">
        <v>0</v>
      </c>
      <c r="I198" s="14" t="s">
        <v>1561</v>
      </c>
      <c r="J198" s="21">
        <v>0</v>
      </c>
      <c r="K198" s="21">
        <v>0</v>
      </c>
      <c r="L198" s="24">
        <f t="shared" si="4"/>
        <v>0</v>
      </c>
    </row>
    <row r="199" spans="1:12" x14ac:dyDescent="0.25">
      <c r="A199" s="15">
        <f t="shared" si="5"/>
        <v>194</v>
      </c>
      <c r="B199" s="17">
        <v>2481</v>
      </c>
      <c r="C199" s="18" t="s">
        <v>433</v>
      </c>
      <c r="D199" s="20" t="s">
        <v>1556</v>
      </c>
      <c r="E199" s="19">
        <v>0</v>
      </c>
      <c r="F199" s="20" t="s">
        <v>1556</v>
      </c>
      <c r="G199" s="21">
        <v>0</v>
      </c>
      <c r="H199" s="21">
        <v>0</v>
      </c>
      <c r="I199" s="14" t="s">
        <v>1561</v>
      </c>
      <c r="J199" s="21">
        <v>0</v>
      </c>
      <c r="K199" s="21">
        <v>0</v>
      </c>
      <c r="L199" s="24">
        <f t="shared" ref="L199:L262" si="6">+IFERROR(K199/G199,0)</f>
        <v>0</v>
      </c>
    </row>
    <row r="200" spans="1:12" x14ac:dyDescent="0.25">
      <c r="A200" s="15">
        <f t="shared" ref="A200:A263" si="7">A199+1</f>
        <v>195</v>
      </c>
      <c r="B200" s="17">
        <v>2482</v>
      </c>
      <c r="C200" s="18" t="s">
        <v>588</v>
      </c>
      <c r="D200" s="20">
        <v>0.33653940000000004</v>
      </c>
      <c r="E200" s="19">
        <v>0</v>
      </c>
      <c r="F200" s="20">
        <v>0.33653940000000004</v>
      </c>
      <c r="G200" s="21">
        <v>1.1880000000000001E-4</v>
      </c>
      <c r="H200" s="21">
        <v>1.1880000000000001E-4</v>
      </c>
      <c r="I200" s="14" t="s">
        <v>1561</v>
      </c>
      <c r="J200" s="21">
        <v>50.594072300616844</v>
      </c>
      <c r="K200" s="21">
        <v>57.626894400000005</v>
      </c>
      <c r="L200" s="24">
        <f t="shared" si="6"/>
        <v>485074.86868686869</v>
      </c>
    </row>
    <row r="201" spans="1:12" x14ac:dyDescent="0.25">
      <c r="A201" s="15">
        <f t="shared" si="7"/>
        <v>196</v>
      </c>
      <c r="B201" s="17">
        <v>2487</v>
      </c>
      <c r="C201" s="18" t="s">
        <v>337</v>
      </c>
      <c r="D201" s="20" t="s">
        <v>1556</v>
      </c>
      <c r="E201" s="19">
        <v>0</v>
      </c>
      <c r="F201" s="20" t="s">
        <v>1556</v>
      </c>
      <c r="G201" s="21">
        <v>0</v>
      </c>
      <c r="H201" s="21">
        <v>0</v>
      </c>
      <c r="I201" s="14" t="s">
        <v>1561</v>
      </c>
      <c r="J201" s="21">
        <v>0</v>
      </c>
      <c r="K201" s="21">
        <v>0</v>
      </c>
      <c r="L201" s="24">
        <f t="shared" si="6"/>
        <v>0</v>
      </c>
    </row>
    <row r="202" spans="1:12" x14ac:dyDescent="0.25">
      <c r="A202" s="15">
        <f t="shared" si="7"/>
        <v>197</v>
      </c>
      <c r="B202" s="17">
        <v>2512</v>
      </c>
      <c r="C202" s="18" t="s">
        <v>62</v>
      </c>
      <c r="D202" s="20">
        <v>1.8479776000000001</v>
      </c>
      <c r="E202" s="19">
        <v>0</v>
      </c>
      <c r="F202" s="20">
        <v>1.8479776000000001</v>
      </c>
      <c r="G202" s="21">
        <v>348.20759040000002</v>
      </c>
      <c r="H202" s="21">
        <v>346.70759040000002</v>
      </c>
      <c r="I202" s="14" t="s">
        <v>1561</v>
      </c>
      <c r="J202" s="21">
        <v>141.9852446699426</v>
      </c>
      <c r="K202" s="21">
        <v>367.56084270000002</v>
      </c>
      <c r="L202" s="24">
        <f t="shared" si="6"/>
        <v>1.0555796393690562</v>
      </c>
    </row>
    <row r="203" spans="1:12" x14ac:dyDescent="0.25">
      <c r="A203" s="15">
        <f t="shared" si="7"/>
        <v>198</v>
      </c>
      <c r="B203" s="17">
        <v>2550</v>
      </c>
      <c r="C203" s="18" t="s">
        <v>76</v>
      </c>
      <c r="D203" s="20" t="s">
        <v>1556</v>
      </c>
      <c r="E203" s="19">
        <v>0</v>
      </c>
      <c r="F203" s="20" t="s">
        <v>1556</v>
      </c>
      <c r="G203" s="21">
        <v>0</v>
      </c>
      <c r="H203" s="21">
        <v>0</v>
      </c>
      <c r="I203" s="14" t="s">
        <v>1561</v>
      </c>
      <c r="J203" s="21">
        <v>0</v>
      </c>
      <c r="K203" s="21">
        <v>0</v>
      </c>
      <c r="L203" s="24">
        <f t="shared" si="6"/>
        <v>0</v>
      </c>
    </row>
    <row r="204" spans="1:12" x14ac:dyDescent="0.25">
      <c r="A204" s="15">
        <f t="shared" si="7"/>
        <v>199</v>
      </c>
      <c r="B204" s="17">
        <v>2566</v>
      </c>
      <c r="C204" s="18" t="s">
        <v>1020</v>
      </c>
      <c r="D204" s="20" t="s">
        <v>1556</v>
      </c>
      <c r="E204" s="19">
        <v>0</v>
      </c>
      <c r="F204" s="20" t="s">
        <v>1556</v>
      </c>
      <c r="G204" s="21">
        <v>0</v>
      </c>
      <c r="H204" s="21">
        <v>0</v>
      </c>
      <c r="I204" s="14" t="s">
        <v>1561</v>
      </c>
      <c r="J204" s="21">
        <v>0</v>
      </c>
      <c r="K204" s="21">
        <v>0</v>
      </c>
      <c r="L204" s="24">
        <f t="shared" si="6"/>
        <v>0</v>
      </c>
    </row>
    <row r="205" spans="1:12" x14ac:dyDescent="0.25">
      <c r="A205" s="15">
        <f t="shared" si="7"/>
        <v>200</v>
      </c>
      <c r="B205" s="17">
        <v>2590</v>
      </c>
      <c r="C205" s="18" t="s">
        <v>258</v>
      </c>
      <c r="D205" s="20" t="s">
        <v>1556</v>
      </c>
      <c r="E205" s="19">
        <v>0</v>
      </c>
      <c r="F205" s="20" t="s">
        <v>1556</v>
      </c>
      <c r="G205" s="21">
        <v>0</v>
      </c>
      <c r="H205" s="21">
        <v>0</v>
      </c>
      <c r="I205" s="14" t="s">
        <v>1561</v>
      </c>
      <c r="J205" s="21">
        <v>0</v>
      </c>
      <c r="K205" s="21">
        <v>0</v>
      </c>
      <c r="L205" s="24">
        <f t="shared" si="6"/>
        <v>0</v>
      </c>
    </row>
    <row r="206" spans="1:12" x14ac:dyDescent="0.25">
      <c r="A206" s="15">
        <f t="shared" si="7"/>
        <v>201</v>
      </c>
      <c r="B206" s="17">
        <v>2595</v>
      </c>
      <c r="C206" s="18" t="s">
        <v>259</v>
      </c>
      <c r="D206" s="20" t="s">
        <v>1556</v>
      </c>
      <c r="E206" s="19">
        <v>0</v>
      </c>
      <c r="F206" s="20" t="s">
        <v>1556</v>
      </c>
      <c r="G206" s="21">
        <v>0</v>
      </c>
      <c r="H206" s="21">
        <v>0</v>
      </c>
      <c r="I206" s="14" t="s">
        <v>1561</v>
      </c>
      <c r="J206" s="21">
        <v>0</v>
      </c>
      <c r="K206" s="21">
        <v>0</v>
      </c>
      <c r="L206" s="24">
        <f t="shared" si="6"/>
        <v>0</v>
      </c>
    </row>
    <row r="207" spans="1:12" x14ac:dyDescent="0.25">
      <c r="A207" s="15">
        <f t="shared" si="7"/>
        <v>202</v>
      </c>
      <c r="B207" s="17">
        <v>2599</v>
      </c>
      <c r="C207" s="18" t="s">
        <v>589</v>
      </c>
      <c r="D207" s="20" t="s">
        <v>1556</v>
      </c>
      <c r="E207" s="19">
        <v>0</v>
      </c>
      <c r="F207" s="20" t="s">
        <v>1556</v>
      </c>
      <c r="G207" s="21">
        <v>0</v>
      </c>
      <c r="H207" s="21">
        <v>0</v>
      </c>
      <c r="I207" s="14" t="s">
        <v>1561</v>
      </c>
      <c r="J207" s="21">
        <v>0</v>
      </c>
      <c r="K207" s="21">
        <v>0</v>
      </c>
      <c r="L207" s="24">
        <f t="shared" si="6"/>
        <v>0</v>
      </c>
    </row>
    <row r="208" spans="1:12" x14ac:dyDescent="0.25">
      <c r="A208" s="15">
        <f t="shared" si="7"/>
        <v>203</v>
      </c>
      <c r="B208" s="17">
        <v>2640</v>
      </c>
      <c r="C208" s="18" t="s">
        <v>1021</v>
      </c>
      <c r="D208" s="20" t="s">
        <v>1556</v>
      </c>
      <c r="E208" s="19">
        <v>0</v>
      </c>
      <c r="F208" s="20" t="s">
        <v>1556</v>
      </c>
      <c r="G208" s="21">
        <v>0</v>
      </c>
      <c r="H208" s="21">
        <v>0</v>
      </c>
      <c r="I208" s="14" t="s">
        <v>1561</v>
      </c>
      <c r="J208" s="21">
        <v>0</v>
      </c>
      <c r="K208" s="21">
        <v>0</v>
      </c>
      <c r="L208" s="24">
        <f t="shared" si="6"/>
        <v>0</v>
      </c>
    </row>
    <row r="209" spans="1:12" x14ac:dyDescent="0.25">
      <c r="A209" s="15">
        <f t="shared" si="7"/>
        <v>204</v>
      </c>
      <c r="B209" s="17">
        <v>2641</v>
      </c>
      <c r="C209" s="18" t="s">
        <v>505</v>
      </c>
      <c r="D209" s="20" t="s">
        <v>1556</v>
      </c>
      <c r="E209" s="19">
        <v>0</v>
      </c>
      <c r="F209" s="20" t="s">
        <v>1556</v>
      </c>
      <c r="G209" s="21">
        <v>0</v>
      </c>
      <c r="H209" s="21">
        <v>0</v>
      </c>
      <c r="I209" s="14" t="s">
        <v>1561</v>
      </c>
      <c r="J209" s="21">
        <v>0</v>
      </c>
      <c r="K209" s="21">
        <v>0</v>
      </c>
      <c r="L209" s="24">
        <f t="shared" si="6"/>
        <v>0</v>
      </c>
    </row>
    <row r="210" spans="1:12" x14ac:dyDescent="0.25">
      <c r="A210" s="15">
        <f t="shared" si="7"/>
        <v>205</v>
      </c>
      <c r="B210" s="17">
        <v>2648</v>
      </c>
      <c r="C210" s="18" t="s">
        <v>77</v>
      </c>
      <c r="D210" s="20" t="s">
        <v>1556</v>
      </c>
      <c r="E210" s="19">
        <v>0</v>
      </c>
      <c r="F210" s="20" t="s">
        <v>1556</v>
      </c>
      <c r="G210" s="21">
        <v>0</v>
      </c>
      <c r="H210" s="21">
        <v>0</v>
      </c>
      <c r="I210" s="14" t="s">
        <v>1561</v>
      </c>
      <c r="J210" s="21">
        <v>0</v>
      </c>
      <c r="K210" s="21">
        <v>0</v>
      </c>
      <c r="L210" s="24">
        <f t="shared" si="6"/>
        <v>0</v>
      </c>
    </row>
    <row r="211" spans="1:12" x14ac:dyDescent="0.25">
      <c r="A211" s="15">
        <f t="shared" si="7"/>
        <v>206</v>
      </c>
      <c r="B211" s="17">
        <v>2654</v>
      </c>
      <c r="C211" s="18" t="s">
        <v>1022</v>
      </c>
      <c r="D211" s="20" t="s">
        <v>1556</v>
      </c>
      <c r="E211" s="19">
        <v>0</v>
      </c>
      <c r="F211" s="20" t="s">
        <v>1556</v>
      </c>
      <c r="G211" s="21">
        <v>0</v>
      </c>
      <c r="H211" s="21">
        <v>0</v>
      </c>
      <c r="I211" s="14" t="s">
        <v>1561</v>
      </c>
      <c r="J211" s="21">
        <v>0</v>
      </c>
      <c r="K211" s="21">
        <v>0</v>
      </c>
      <c r="L211" s="24">
        <f t="shared" si="6"/>
        <v>0</v>
      </c>
    </row>
    <row r="212" spans="1:12" x14ac:dyDescent="0.25">
      <c r="A212" s="15">
        <f t="shared" si="7"/>
        <v>207</v>
      </c>
      <c r="B212" s="17">
        <v>2733</v>
      </c>
      <c r="C212" s="18" t="s">
        <v>1023</v>
      </c>
      <c r="D212" s="20" t="s">
        <v>1556</v>
      </c>
      <c r="E212" s="19">
        <v>0</v>
      </c>
      <c r="F212" s="20" t="s">
        <v>1556</v>
      </c>
      <c r="G212" s="21">
        <v>0</v>
      </c>
      <c r="H212" s="21">
        <v>0</v>
      </c>
      <c r="I212" s="14" t="s">
        <v>1561</v>
      </c>
      <c r="J212" s="21">
        <v>0</v>
      </c>
      <c r="K212" s="21">
        <v>0</v>
      </c>
      <c r="L212" s="24">
        <f t="shared" si="6"/>
        <v>0</v>
      </c>
    </row>
    <row r="213" spans="1:12" x14ac:dyDescent="0.25">
      <c r="A213" s="15">
        <f t="shared" si="7"/>
        <v>208</v>
      </c>
      <c r="B213" s="17">
        <v>2862</v>
      </c>
      <c r="C213" s="18" t="s">
        <v>590</v>
      </c>
      <c r="D213" s="20">
        <v>7.918999999999999E-3</v>
      </c>
      <c r="E213" s="19">
        <v>0</v>
      </c>
      <c r="F213" s="20">
        <v>7.918999999999999E-3</v>
      </c>
      <c r="G213" s="21">
        <v>8.5995699999999999</v>
      </c>
      <c r="H213" s="21">
        <v>8.5995699999999999</v>
      </c>
      <c r="I213" s="14" t="s">
        <v>1561</v>
      </c>
      <c r="J213" s="21">
        <v>1.3019070056022402</v>
      </c>
      <c r="K213" s="21">
        <v>9.1725266000000012</v>
      </c>
      <c r="L213" s="24">
        <f t="shared" si="6"/>
        <v>1.0666261917747051</v>
      </c>
    </row>
    <row r="214" spans="1:12" x14ac:dyDescent="0.25">
      <c r="A214" s="15">
        <f t="shared" si="7"/>
        <v>209</v>
      </c>
      <c r="B214" s="17">
        <v>2888</v>
      </c>
      <c r="C214" s="18" t="s">
        <v>591</v>
      </c>
      <c r="D214" s="20" t="s">
        <v>1556</v>
      </c>
      <c r="E214" s="19">
        <v>0</v>
      </c>
      <c r="F214" s="20" t="s">
        <v>1556</v>
      </c>
      <c r="G214" s="21">
        <v>0</v>
      </c>
      <c r="H214" s="21">
        <v>0</v>
      </c>
      <c r="I214" s="14" t="s">
        <v>1561</v>
      </c>
      <c r="J214" s="21">
        <v>0</v>
      </c>
      <c r="K214" s="21">
        <v>0</v>
      </c>
      <c r="L214" s="24">
        <f t="shared" si="6"/>
        <v>0</v>
      </c>
    </row>
    <row r="215" spans="1:12" x14ac:dyDescent="0.25">
      <c r="A215" s="15">
        <f t="shared" si="7"/>
        <v>210</v>
      </c>
      <c r="B215" s="17">
        <v>2907</v>
      </c>
      <c r="C215" s="18" t="s">
        <v>592</v>
      </c>
      <c r="D215" s="20" t="s">
        <v>1556</v>
      </c>
      <c r="E215" s="19">
        <v>0</v>
      </c>
      <c r="F215" s="20" t="s">
        <v>1556</v>
      </c>
      <c r="G215" s="21">
        <v>0</v>
      </c>
      <c r="H215" s="21">
        <v>0</v>
      </c>
      <c r="I215" s="14" t="s">
        <v>1561</v>
      </c>
      <c r="J215" s="21">
        <v>0</v>
      </c>
      <c r="K215" s="21">
        <v>0</v>
      </c>
      <c r="L215" s="24">
        <f t="shared" si="6"/>
        <v>0</v>
      </c>
    </row>
    <row r="216" spans="1:12" x14ac:dyDescent="0.25">
      <c r="A216" s="15">
        <f t="shared" si="7"/>
        <v>211</v>
      </c>
      <c r="B216" s="17">
        <v>3033</v>
      </c>
      <c r="C216" s="18" t="s">
        <v>1024</v>
      </c>
      <c r="D216" s="20" t="s">
        <v>1556</v>
      </c>
      <c r="E216" s="19">
        <v>0</v>
      </c>
      <c r="F216" s="20" t="s">
        <v>1556</v>
      </c>
      <c r="G216" s="21">
        <v>0</v>
      </c>
      <c r="H216" s="21">
        <v>0</v>
      </c>
      <c r="I216" s="14" t="s">
        <v>1561</v>
      </c>
      <c r="J216" s="21">
        <v>0</v>
      </c>
      <c r="K216" s="21">
        <v>0</v>
      </c>
      <c r="L216" s="24">
        <f t="shared" si="6"/>
        <v>0</v>
      </c>
    </row>
    <row r="217" spans="1:12" x14ac:dyDescent="0.25">
      <c r="A217" s="15">
        <f t="shared" si="7"/>
        <v>212</v>
      </c>
      <c r="B217" s="17">
        <v>3063</v>
      </c>
      <c r="C217" s="18" t="s">
        <v>338</v>
      </c>
      <c r="D217" s="20" t="s">
        <v>1556</v>
      </c>
      <c r="E217" s="19">
        <v>0</v>
      </c>
      <c r="F217" s="20" t="s">
        <v>1556</v>
      </c>
      <c r="G217" s="21">
        <v>0.54997249999999998</v>
      </c>
      <c r="H217" s="21">
        <v>0.54997249999999998</v>
      </c>
      <c r="I217" s="14" t="s">
        <v>1561</v>
      </c>
      <c r="J217" s="21">
        <v>0.2998521284709677</v>
      </c>
      <c r="K217" s="21">
        <v>0.61520339999999996</v>
      </c>
      <c r="L217" s="24">
        <f t="shared" si="6"/>
        <v>1.1186075667419735</v>
      </c>
    </row>
    <row r="218" spans="1:12" x14ac:dyDescent="0.25">
      <c r="A218" s="15">
        <f t="shared" si="7"/>
        <v>213</v>
      </c>
      <c r="B218" s="17">
        <v>3066</v>
      </c>
      <c r="C218" s="18" t="s">
        <v>593</v>
      </c>
      <c r="D218" s="20">
        <v>0.1616157</v>
      </c>
      <c r="E218" s="19">
        <v>0</v>
      </c>
      <c r="F218" s="20">
        <v>0.1616157</v>
      </c>
      <c r="G218" s="21">
        <v>9.9994999999999994</v>
      </c>
      <c r="H218" s="21">
        <v>9.9994999999999994</v>
      </c>
      <c r="I218" s="14" t="s">
        <v>1561</v>
      </c>
      <c r="J218" s="21">
        <v>14.008279246292471</v>
      </c>
      <c r="K218" s="21">
        <v>17.926922099999999</v>
      </c>
      <c r="L218" s="24">
        <f t="shared" si="6"/>
        <v>1.7927818490924545</v>
      </c>
    </row>
    <row r="219" spans="1:12" x14ac:dyDescent="0.25">
      <c r="A219" s="15">
        <f t="shared" si="7"/>
        <v>214</v>
      </c>
      <c r="B219" s="17">
        <v>3069</v>
      </c>
      <c r="C219" s="18" t="s">
        <v>434</v>
      </c>
      <c r="D219" s="20" t="s">
        <v>1556</v>
      </c>
      <c r="E219" s="19">
        <v>0</v>
      </c>
      <c r="F219" s="20" t="s">
        <v>1556</v>
      </c>
      <c r="G219" s="21">
        <v>0</v>
      </c>
      <c r="H219" s="21">
        <v>0</v>
      </c>
      <c r="I219" s="14" t="s">
        <v>1561</v>
      </c>
      <c r="J219" s="21">
        <v>0</v>
      </c>
      <c r="K219" s="21">
        <v>0</v>
      </c>
      <c r="L219" s="24">
        <f t="shared" si="6"/>
        <v>0</v>
      </c>
    </row>
    <row r="220" spans="1:12" x14ac:dyDescent="0.25">
      <c r="A220" s="15">
        <f t="shared" si="7"/>
        <v>215</v>
      </c>
      <c r="B220" s="17">
        <v>3071</v>
      </c>
      <c r="C220" s="18" t="s">
        <v>1025</v>
      </c>
      <c r="D220" s="20" t="s">
        <v>1556</v>
      </c>
      <c r="E220" s="19">
        <v>0</v>
      </c>
      <c r="F220" s="20" t="s">
        <v>1556</v>
      </c>
      <c r="G220" s="21">
        <v>0</v>
      </c>
      <c r="H220" s="21">
        <v>0</v>
      </c>
      <c r="I220" s="14" t="s">
        <v>1561</v>
      </c>
      <c r="J220" s="21">
        <v>0</v>
      </c>
      <c r="K220" s="21">
        <v>0</v>
      </c>
      <c r="L220" s="24">
        <f t="shared" si="6"/>
        <v>0</v>
      </c>
    </row>
    <row r="221" spans="1:12" x14ac:dyDescent="0.25">
      <c r="A221" s="15">
        <f t="shared" si="7"/>
        <v>216</v>
      </c>
      <c r="B221" s="17">
        <v>3077</v>
      </c>
      <c r="C221" s="18" t="s">
        <v>213</v>
      </c>
      <c r="D221" s="20" t="s">
        <v>1556</v>
      </c>
      <c r="E221" s="19">
        <v>0</v>
      </c>
      <c r="F221" s="20" t="s">
        <v>1556</v>
      </c>
      <c r="G221" s="21">
        <v>4.99975E-2</v>
      </c>
      <c r="H221" s="21">
        <v>4.99975E-2</v>
      </c>
      <c r="I221" s="14" t="s">
        <v>1561</v>
      </c>
      <c r="J221" s="21">
        <v>5.8355851833333337E-3</v>
      </c>
      <c r="K221" s="21">
        <v>4.93163E-2</v>
      </c>
      <c r="L221" s="24">
        <f t="shared" si="6"/>
        <v>0.98637531876593831</v>
      </c>
    </row>
    <row r="222" spans="1:12" x14ac:dyDescent="0.25">
      <c r="A222" s="15">
        <f t="shared" si="7"/>
        <v>217</v>
      </c>
      <c r="B222" s="17">
        <v>3082</v>
      </c>
      <c r="C222" s="18" t="s">
        <v>594</v>
      </c>
      <c r="D222" s="20">
        <v>1.3541600000000001E-2</v>
      </c>
      <c r="E222" s="19">
        <v>0</v>
      </c>
      <c r="F222" s="20">
        <v>1.3541600000000001E-2</v>
      </c>
      <c r="G222" s="21">
        <v>4.2597870000000002</v>
      </c>
      <c r="H222" s="21">
        <v>4.2597870000000002</v>
      </c>
      <c r="I222" s="14" t="s">
        <v>1561</v>
      </c>
      <c r="J222" s="21">
        <v>1.4792926597985663</v>
      </c>
      <c r="K222" s="21">
        <v>4.4653510999999995</v>
      </c>
      <c r="L222" s="24">
        <f t="shared" si="6"/>
        <v>1.0482568964128955</v>
      </c>
    </row>
    <row r="223" spans="1:12" x14ac:dyDescent="0.25">
      <c r="A223" s="15">
        <f t="shared" si="7"/>
        <v>218</v>
      </c>
      <c r="B223" s="17">
        <v>3083</v>
      </c>
      <c r="C223" s="18" t="s">
        <v>170</v>
      </c>
      <c r="D223" s="20" t="s">
        <v>1556</v>
      </c>
      <c r="E223" s="19">
        <v>0</v>
      </c>
      <c r="F223" s="20" t="s">
        <v>1556</v>
      </c>
      <c r="G223" s="21">
        <v>0</v>
      </c>
      <c r="H223" s="21">
        <v>0</v>
      </c>
      <c r="I223" s="14" t="s">
        <v>1561</v>
      </c>
      <c r="J223" s="21">
        <v>0</v>
      </c>
      <c r="K223" s="21">
        <v>0</v>
      </c>
      <c r="L223" s="24">
        <f t="shared" si="6"/>
        <v>0</v>
      </c>
    </row>
    <row r="224" spans="1:12" x14ac:dyDescent="0.25">
      <c r="A224" s="15">
        <f t="shared" si="7"/>
        <v>219</v>
      </c>
      <c r="B224" s="17">
        <v>3086</v>
      </c>
      <c r="C224" s="18" t="s">
        <v>171</v>
      </c>
      <c r="D224" s="20">
        <v>4.7006199999999998E-2</v>
      </c>
      <c r="E224" s="19">
        <v>0</v>
      </c>
      <c r="F224" s="20">
        <v>4.7006199999999998E-2</v>
      </c>
      <c r="G224" s="21">
        <v>12.188390700000001</v>
      </c>
      <c r="H224" s="21">
        <v>12.188390700000001</v>
      </c>
      <c r="I224" s="14" t="s">
        <v>1561</v>
      </c>
      <c r="J224" s="21">
        <v>5.4227316582131735</v>
      </c>
      <c r="K224" s="21">
        <v>14.325391100000001</v>
      </c>
      <c r="L224" s="24">
        <f t="shared" si="6"/>
        <v>1.1753308088491123</v>
      </c>
    </row>
    <row r="225" spans="1:12" x14ac:dyDescent="0.25">
      <c r="A225" s="15">
        <f t="shared" si="7"/>
        <v>220</v>
      </c>
      <c r="B225" s="17">
        <v>3087</v>
      </c>
      <c r="C225" s="18" t="s">
        <v>1026</v>
      </c>
      <c r="D225" s="20">
        <v>0.88427809999999996</v>
      </c>
      <c r="E225" s="19">
        <v>0</v>
      </c>
      <c r="F225" s="20">
        <v>0.88427809999999996</v>
      </c>
      <c r="G225" s="21">
        <v>10.0344984</v>
      </c>
      <c r="H225" s="21">
        <v>9.7344983999999997</v>
      </c>
      <c r="I225" s="14" t="s">
        <v>1561</v>
      </c>
      <c r="J225" s="21">
        <v>132.55447325137547</v>
      </c>
      <c r="K225" s="21">
        <v>144.11311570000001</v>
      </c>
      <c r="L225" s="24">
        <f t="shared" si="6"/>
        <v>14.361765775955478</v>
      </c>
    </row>
    <row r="226" spans="1:12" x14ac:dyDescent="0.25">
      <c r="A226" s="15">
        <f t="shared" si="7"/>
        <v>221</v>
      </c>
      <c r="B226" s="17">
        <v>3089</v>
      </c>
      <c r="C226" s="18" t="s">
        <v>173</v>
      </c>
      <c r="D226" s="20" t="s">
        <v>1556</v>
      </c>
      <c r="E226" s="19">
        <v>0</v>
      </c>
      <c r="F226" s="20" t="s">
        <v>1556</v>
      </c>
      <c r="G226" s="21">
        <v>0</v>
      </c>
      <c r="H226" s="21">
        <v>0</v>
      </c>
      <c r="I226" s="14" t="s">
        <v>1561</v>
      </c>
      <c r="J226" s="21">
        <v>0</v>
      </c>
      <c r="K226" s="21">
        <v>0</v>
      </c>
      <c r="L226" s="24">
        <f t="shared" si="6"/>
        <v>0</v>
      </c>
    </row>
    <row r="227" spans="1:12" x14ac:dyDescent="0.25">
      <c r="A227" s="15">
        <f t="shared" si="7"/>
        <v>222</v>
      </c>
      <c r="B227" s="17">
        <v>3090</v>
      </c>
      <c r="C227" s="18" t="s">
        <v>1027</v>
      </c>
      <c r="D227" s="20">
        <v>0.20397110000000002</v>
      </c>
      <c r="E227" s="19">
        <v>0</v>
      </c>
      <c r="F227" s="20">
        <v>0.20397110000000002</v>
      </c>
      <c r="G227" s="21">
        <v>15.1512905</v>
      </c>
      <c r="H227" s="21">
        <v>5.2591124999999996</v>
      </c>
      <c r="I227" s="14" t="s">
        <v>1561</v>
      </c>
      <c r="J227" s="21">
        <v>27.530499219452327</v>
      </c>
      <c r="K227" s="21">
        <v>32.4780047</v>
      </c>
      <c r="L227" s="24">
        <f t="shared" si="6"/>
        <v>2.1435800930620399</v>
      </c>
    </row>
    <row r="228" spans="1:12" x14ac:dyDescent="0.25">
      <c r="A228" s="15">
        <f t="shared" si="7"/>
        <v>223</v>
      </c>
      <c r="B228" s="17">
        <v>3092</v>
      </c>
      <c r="C228" s="18" t="s">
        <v>1028</v>
      </c>
      <c r="D228" s="20">
        <v>2.2608000000000003E-2</v>
      </c>
      <c r="E228" s="19">
        <v>0</v>
      </c>
      <c r="F228" s="20">
        <v>2.2608000000000003E-2</v>
      </c>
      <c r="G228" s="21">
        <v>35.084866900000002</v>
      </c>
      <c r="H228" s="21">
        <v>32.125107199999995</v>
      </c>
      <c r="I228" s="14" t="s">
        <v>1561</v>
      </c>
      <c r="J228" s="21">
        <v>6.7825467577712351</v>
      </c>
      <c r="K228" s="21">
        <v>33.886748400000002</v>
      </c>
      <c r="L228" s="24">
        <f t="shared" si="6"/>
        <v>0.96585084665092458</v>
      </c>
    </row>
    <row r="229" spans="1:12" x14ac:dyDescent="0.25">
      <c r="A229" s="15">
        <f t="shared" si="7"/>
        <v>224</v>
      </c>
      <c r="B229" s="17">
        <v>3115</v>
      </c>
      <c r="C229" s="18" t="s">
        <v>595</v>
      </c>
      <c r="D229" s="20" t="s">
        <v>1556</v>
      </c>
      <c r="E229" s="19">
        <v>0</v>
      </c>
      <c r="F229" s="20" t="s">
        <v>1556</v>
      </c>
      <c r="G229" s="21">
        <v>0</v>
      </c>
      <c r="H229" s="21">
        <v>0</v>
      </c>
      <c r="I229" s="14" t="s">
        <v>1561</v>
      </c>
      <c r="J229" s="21">
        <v>0</v>
      </c>
      <c r="K229" s="21">
        <v>0</v>
      </c>
      <c r="L229" s="24">
        <f t="shared" si="6"/>
        <v>0</v>
      </c>
    </row>
    <row r="230" spans="1:12" x14ac:dyDescent="0.25">
      <c r="A230" s="15">
        <f t="shared" si="7"/>
        <v>225</v>
      </c>
      <c r="B230" s="17">
        <v>3267</v>
      </c>
      <c r="C230" s="18" t="s">
        <v>339</v>
      </c>
      <c r="D230" s="20">
        <v>5.9775999999999996E-3</v>
      </c>
      <c r="E230" s="19">
        <v>0</v>
      </c>
      <c r="F230" s="20">
        <v>5.9775999999999996E-3</v>
      </c>
      <c r="G230" s="21">
        <v>0</v>
      </c>
      <c r="H230" s="21">
        <v>0</v>
      </c>
      <c r="I230" s="14" t="s">
        <v>1561</v>
      </c>
      <c r="J230" s="21">
        <v>0</v>
      </c>
      <c r="K230" s="21">
        <v>0</v>
      </c>
      <c r="L230" s="24">
        <f t="shared" si="6"/>
        <v>0</v>
      </c>
    </row>
    <row r="231" spans="1:12" x14ac:dyDescent="0.25">
      <c r="A231" s="15">
        <f t="shared" si="7"/>
        <v>226</v>
      </c>
      <c r="B231" s="17">
        <v>3270</v>
      </c>
      <c r="C231" s="18" t="s">
        <v>1029</v>
      </c>
      <c r="D231" s="20" t="s">
        <v>1556</v>
      </c>
      <c r="E231" s="19">
        <v>0</v>
      </c>
      <c r="F231" s="20" t="s">
        <v>1556</v>
      </c>
      <c r="G231" s="21">
        <v>0</v>
      </c>
      <c r="H231" s="21">
        <v>0</v>
      </c>
      <c r="I231" s="14" t="s">
        <v>1561</v>
      </c>
      <c r="J231" s="21">
        <v>0</v>
      </c>
      <c r="K231" s="21">
        <v>0</v>
      </c>
      <c r="L231" s="24">
        <f t="shared" si="6"/>
        <v>0</v>
      </c>
    </row>
    <row r="232" spans="1:12" x14ac:dyDescent="0.25">
      <c r="A232" s="15">
        <f t="shared" si="7"/>
        <v>227</v>
      </c>
      <c r="B232" s="17">
        <v>3276</v>
      </c>
      <c r="C232" s="18" t="s">
        <v>63</v>
      </c>
      <c r="D232" s="20">
        <v>1.9672800000000001E-2</v>
      </c>
      <c r="E232" s="19">
        <v>0</v>
      </c>
      <c r="F232" s="20">
        <v>1.9672800000000001E-2</v>
      </c>
      <c r="G232" s="21">
        <v>10.749583500000002</v>
      </c>
      <c r="H232" s="21">
        <v>7.4627579000000006</v>
      </c>
      <c r="I232" s="14" t="s">
        <v>1561</v>
      </c>
      <c r="J232" s="21">
        <v>1.978170101076703</v>
      </c>
      <c r="K232" s="21">
        <v>7.8811349999999996</v>
      </c>
      <c r="L232" s="24">
        <f t="shared" si="6"/>
        <v>0.73315724278991812</v>
      </c>
    </row>
    <row r="233" spans="1:12" x14ac:dyDescent="0.25">
      <c r="A233" s="15">
        <f t="shared" si="7"/>
        <v>228</v>
      </c>
      <c r="B233" s="17">
        <v>3280</v>
      </c>
      <c r="C233" s="18" t="s">
        <v>64</v>
      </c>
      <c r="D233" s="20" t="s">
        <v>1556</v>
      </c>
      <c r="E233" s="19">
        <v>0</v>
      </c>
      <c r="F233" s="20" t="s">
        <v>1556</v>
      </c>
      <c r="G233" s="21">
        <v>4.4297687999999997</v>
      </c>
      <c r="H233" s="21">
        <v>6.4240800000000167E-2</v>
      </c>
      <c r="I233" s="14" t="s">
        <v>1561</v>
      </c>
      <c r="J233" s="21">
        <v>1.8801916104985665</v>
      </c>
      <c r="K233" s="21">
        <v>4.7148256000000002</v>
      </c>
      <c r="L233" s="24">
        <f t="shared" si="6"/>
        <v>1.0643502658648913</v>
      </c>
    </row>
    <row r="234" spans="1:12" x14ac:dyDescent="0.25">
      <c r="A234" s="15">
        <f t="shared" si="7"/>
        <v>229</v>
      </c>
      <c r="B234" s="17">
        <v>3287</v>
      </c>
      <c r="C234" s="18" t="s">
        <v>596</v>
      </c>
      <c r="D234" s="20" t="s">
        <v>1556</v>
      </c>
      <c r="E234" s="19">
        <v>0</v>
      </c>
      <c r="F234" s="20" t="s">
        <v>1556</v>
      </c>
      <c r="G234" s="21">
        <v>0.10999450000000001</v>
      </c>
      <c r="H234" s="21">
        <v>0.10999450000000001</v>
      </c>
      <c r="I234" s="14" t="s">
        <v>1561</v>
      </c>
      <c r="J234" s="21">
        <v>10.962113563608243</v>
      </c>
      <c r="K234" s="21">
        <v>12.645914399999999</v>
      </c>
      <c r="L234" s="24">
        <f t="shared" si="6"/>
        <v>114.96860661214878</v>
      </c>
    </row>
    <row r="235" spans="1:12" x14ac:dyDescent="0.25">
      <c r="A235" s="15">
        <f t="shared" si="7"/>
        <v>230</v>
      </c>
      <c r="B235" s="17">
        <v>3294</v>
      </c>
      <c r="C235" s="18" t="s">
        <v>597</v>
      </c>
      <c r="D235" s="20" t="s">
        <v>1556</v>
      </c>
      <c r="E235" s="19">
        <v>0</v>
      </c>
      <c r="F235" s="20" t="s">
        <v>1556</v>
      </c>
      <c r="G235" s="21">
        <v>0</v>
      </c>
      <c r="H235" s="21">
        <v>0</v>
      </c>
      <c r="I235" s="14" t="s">
        <v>1561</v>
      </c>
      <c r="J235" s="21">
        <v>0</v>
      </c>
      <c r="K235" s="21">
        <v>0</v>
      </c>
      <c r="L235" s="24">
        <f t="shared" si="6"/>
        <v>0</v>
      </c>
    </row>
    <row r="236" spans="1:12" x14ac:dyDescent="0.25">
      <c r="A236" s="15">
        <f t="shared" si="7"/>
        <v>231</v>
      </c>
      <c r="B236" s="17">
        <v>3296</v>
      </c>
      <c r="C236" s="18" t="s">
        <v>174</v>
      </c>
      <c r="D236" s="20" t="s">
        <v>1556</v>
      </c>
      <c r="E236" s="19">
        <v>0</v>
      </c>
      <c r="F236" s="20" t="s">
        <v>1556</v>
      </c>
      <c r="G236" s="21">
        <v>2.039898</v>
      </c>
      <c r="H236" s="21">
        <v>2.039898</v>
      </c>
      <c r="I236" s="14" t="s">
        <v>1561</v>
      </c>
      <c r="J236" s="21">
        <v>0.26391080681586021</v>
      </c>
      <c r="K236" s="21">
        <v>2.1612174999999998</v>
      </c>
      <c r="L236" s="24">
        <f t="shared" si="6"/>
        <v>1.059473316803095</v>
      </c>
    </row>
    <row r="237" spans="1:12" x14ac:dyDescent="0.25">
      <c r="A237" s="15">
        <f t="shared" si="7"/>
        <v>232</v>
      </c>
      <c r="B237" s="17">
        <v>3302</v>
      </c>
      <c r="C237" s="18" t="s">
        <v>1030</v>
      </c>
      <c r="D237" s="20" t="s">
        <v>1556</v>
      </c>
      <c r="E237" s="19">
        <v>0</v>
      </c>
      <c r="F237" s="20" t="s">
        <v>1556</v>
      </c>
      <c r="G237" s="21">
        <v>0</v>
      </c>
      <c r="H237" s="21">
        <v>0</v>
      </c>
      <c r="I237" s="14" t="s">
        <v>1561</v>
      </c>
      <c r="J237" s="21">
        <v>0</v>
      </c>
      <c r="K237" s="21">
        <v>0</v>
      </c>
      <c r="L237" s="24">
        <f t="shared" si="6"/>
        <v>0</v>
      </c>
    </row>
    <row r="238" spans="1:12" x14ac:dyDescent="0.25">
      <c r="A238" s="15">
        <f t="shared" si="7"/>
        <v>233</v>
      </c>
      <c r="B238" s="17">
        <v>3305</v>
      </c>
      <c r="C238" s="18" t="s">
        <v>1031</v>
      </c>
      <c r="D238" s="20">
        <v>9.7709999999999984E-4</v>
      </c>
      <c r="E238" s="19">
        <v>0</v>
      </c>
      <c r="F238" s="20">
        <v>9.7709999999999984E-4</v>
      </c>
      <c r="G238" s="21">
        <v>0</v>
      </c>
      <c r="H238" s="21">
        <v>0</v>
      </c>
      <c r="I238" s="14" t="s">
        <v>1561</v>
      </c>
      <c r="J238" s="21">
        <v>0</v>
      </c>
      <c r="K238" s="21">
        <v>0</v>
      </c>
      <c r="L238" s="24">
        <f t="shared" si="6"/>
        <v>0</v>
      </c>
    </row>
    <row r="239" spans="1:12" x14ac:dyDescent="0.25">
      <c r="A239" s="15">
        <f t="shared" si="7"/>
        <v>234</v>
      </c>
      <c r="B239" s="17">
        <v>3307</v>
      </c>
      <c r="C239" s="18" t="s">
        <v>65</v>
      </c>
      <c r="D239" s="20">
        <v>2.52789E-2</v>
      </c>
      <c r="E239" s="19">
        <v>0</v>
      </c>
      <c r="F239" s="20">
        <v>2.52789E-2</v>
      </c>
      <c r="G239" s="21">
        <v>4.9097545</v>
      </c>
      <c r="H239" s="21">
        <v>4.9097545</v>
      </c>
      <c r="I239" s="14" t="s">
        <v>1561</v>
      </c>
      <c r="J239" s="21">
        <v>0.60006929966469524</v>
      </c>
      <c r="K239" s="21">
        <v>5.1934974</v>
      </c>
      <c r="L239" s="24">
        <f t="shared" si="6"/>
        <v>1.0577916675874528</v>
      </c>
    </row>
    <row r="240" spans="1:12" x14ac:dyDescent="0.25">
      <c r="A240" s="15">
        <f t="shared" si="7"/>
        <v>235</v>
      </c>
      <c r="B240" s="17">
        <v>3308</v>
      </c>
      <c r="C240" s="18" t="s">
        <v>435</v>
      </c>
      <c r="D240" s="20" t="s">
        <v>1556</v>
      </c>
      <c r="E240" s="19">
        <v>0</v>
      </c>
      <c r="F240" s="20" t="s">
        <v>1556</v>
      </c>
      <c r="G240" s="21">
        <v>0</v>
      </c>
      <c r="H240" s="21">
        <v>0</v>
      </c>
      <c r="I240" s="14" t="s">
        <v>1561</v>
      </c>
      <c r="J240" s="21">
        <v>0</v>
      </c>
      <c r="K240" s="21">
        <v>0</v>
      </c>
      <c r="L240" s="24">
        <f t="shared" si="6"/>
        <v>0</v>
      </c>
    </row>
    <row r="241" spans="1:12" x14ac:dyDescent="0.25">
      <c r="A241" s="15">
        <f t="shared" si="7"/>
        <v>236</v>
      </c>
      <c r="B241" s="17">
        <v>3315</v>
      </c>
      <c r="C241" s="18" t="s">
        <v>1032</v>
      </c>
      <c r="D241" s="20" t="s">
        <v>1556</v>
      </c>
      <c r="E241" s="19">
        <v>0</v>
      </c>
      <c r="F241" s="20" t="s">
        <v>1556</v>
      </c>
      <c r="G241" s="21">
        <v>0</v>
      </c>
      <c r="H241" s="21">
        <v>0</v>
      </c>
      <c r="I241" s="14" t="s">
        <v>1561</v>
      </c>
      <c r="J241" s="21">
        <v>0</v>
      </c>
      <c r="K241" s="21">
        <v>0</v>
      </c>
      <c r="L241" s="24">
        <f t="shared" si="6"/>
        <v>0</v>
      </c>
    </row>
    <row r="242" spans="1:12" x14ac:dyDescent="0.25">
      <c r="A242" s="15">
        <f t="shared" si="7"/>
        <v>237</v>
      </c>
      <c r="B242" s="17">
        <v>3350</v>
      </c>
      <c r="C242" s="18" t="s">
        <v>260</v>
      </c>
      <c r="D242" s="20">
        <v>2.6043999999999998E-3</v>
      </c>
      <c r="E242" s="19">
        <v>0</v>
      </c>
      <c r="F242" s="20">
        <v>2.6043999999999998E-3</v>
      </c>
      <c r="G242" s="21">
        <v>2.8498575000000002</v>
      </c>
      <c r="H242" s="21">
        <v>2.8498575000000002</v>
      </c>
      <c r="I242" s="14" t="s">
        <v>1561</v>
      </c>
      <c r="J242" s="21">
        <v>0.38418679728602156</v>
      </c>
      <c r="K242" s="21">
        <v>3.1047715999999999</v>
      </c>
      <c r="L242" s="24">
        <f t="shared" si="6"/>
        <v>1.0894480162604621</v>
      </c>
    </row>
    <row r="243" spans="1:12" x14ac:dyDescent="0.25">
      <c r="A243" s="15">
        <f t="shared" si="7"/>
        <v>238</v>
      </c>
      <c r="B243" s="17">
        <v>3439</v>
      </c>
      <c r="C243" s="18" t="s">
        <v>598</v>
      </c>
      <c r="D243" s="20" t="s">
        <v>1556</v>
      </c>
      <c r="E243" s="19">
        <v>0</v>
      </c>
      <c r="F243" s="20" t="s">
        <v>1556</v>
      </c>
      <c r="G243" s="21">
        <v>0</v>
      </c>
      <c r="H243" s="21">
        <v>0</v>
      </c>
      <c r="I243" s="14" t="s">
        <v>1561</v>
      </c>
      <c r="J243" s="21">
        <v>0</v>
      </c>
      <c r="K243" s="21">
        <v>0</v>
      </c>
      <c r="L243" s="24">
        <f t="shared" si="6"/>
        <v>0</v>
      </c>
    </row>
    <row r="244" spans="1:12" x14ac:dyDescent="0.25">
      <c r="A244" s="15">
        <f t="shared" si="7"/>
        <v>239</v>
      </c>
      <c r="B244" s="17">
        <v>3463</v>
      </c>
      <c r="C244" s="18" t="s">
        <v>1033</v>
      </c>
      <c r="D244" s="20" t="s">
        <v>1556</v>
      </c>
      <c r="E244" s="19">
        <v>0</v>
      </c>
      <c r="F244" s="20" t="s">
        <v>1556</v>
      </c>
      <c r="G244" s="21">
        <v>0</v>
      </c>
      <c r="H244" s="21">
        <v>0</v>
      </c>
      <c r="I244" s="14" t="s">
        <v>1561</v>
      </c>
      <c r="J244" s="21">
        <v>0</v>
      </c>
      <c r="K244" s="21">
        <v>0</v>
      </c>
      <c r="L244" s="24">
        <f t="shared" si="6"/>
        <v>0</v>
      </c>
    </row>
    <row r="245" spans="1:12" x14ac:dyDescent="0.25">
      <c r="A245" s="15">
        <f t="shared" si="7"/>
        <v>240</v>
      </c>
      <c r="B245" s="17">
        <v>3485</v>
      </c>
      <c r="C245" s="18" t="s">
        <v>175</v>
      </c>
      <c r="D245" s="20" t="s">
        <v>1556</v>
      </c>
      <c r="E245" s="19">
        <v>0</v>
      </c>
      <c r="F245" s="20" t="s">
        <v>1556</v>
      </c>
      <c r="G245" s="21">
        <v>0</v>
      </c>
      <c r="H245" s="21">
        <v>0</v>
      </c>
      <c r="I245" s="14" t="s">
        <v>1561</v>
      </c>
      <c r="J245" s="21">
        <v>0</v>
      </c>
      <c r="K245" s="21">
        <v>0</v>
      </c>
      <c r="L245" s="24">
        <f t="shared" si="6"/>
        <v>0</v>
      </c>
    </row>
    <row r="246" spans="1:12" x14ac:dyDescent="0.25">
      <c r="A246" s="15">
        <f t="shared" si="7"/>
        <v>241</v>
      </c>
      <c r="B246" s="17">
        <v>3489</v>
      </c>
      <c r="C246" s="18" t="s">
        <v>599</v>
      </c>
      <c r="D246" s="20" t="s">
        <v>1556</v>
      </c>
      <c r="E246" s="19">
        <v>0</v>
      </c>
      <c r="F246" s="20" t="s">
        <v>1556</v>
      </c>
      <c r="G246" s="21">
        <v>0</v>
      </c>
      <c r="H246" s="21">
        <v>0</v>
      </c>
      <c r="I246" s="14" t="s">
        <v>1561</v>
      </c>
      <c r="J246" s="21">
        <v>0</v>
      </c>
      <c r="K246" s="21">
        <v>0</v>
      </c>
      <c r="L246" s="24">
        <f t="shared" si="6"/>
        <v>0</v>
      </c>
    </row>
    <row r="247" spans="1:12" x14ac:dyDescent="0.25">
      <c r="A247" s="15">
        <f t="shared" si="7"/>
        <v>242</v>
      </c>
      <c r="B247" s="17">
        <v>3490</v>
      </c>
      <c r="C247" s="18" t="s">
        <v>1034</v>
      </c>
      <c r="D247" s="20" t="s">
        <v>1556</v>
      </c>
      <c r="E247" s="19">
        <v>0</v>
      </c>
      <c r="F247" s="20" t="s">
        <v>1556</v>
      </c>
      <c r="G247" s="21">
        <v>0</v>
      </c>
      <c r="H247" s="21">
        <v>0</v>
      </c>
      <c r="I247" s="14" t="s">
        <v>1561</v>
      </c>
      <c r="J247" s="21">
        <v>0.28774483263333339</v>
      </c>
      <c r="K247" s="21">
        <v>1.1661155000000001</v>
      </c>
      <c r="L247" s="24">
        <f t="shared" si="6"/>
        <v>0</v>
      </c>
    </row>
    <row r="248" spans="1:12" x14ac:dyDescent="0.25">
      <c r="A248" s="15">
        <f t="shared" si="7"/>
        <v>243</v>
      </c>
      <c r="B248" s="17">
        <v>3492</v>
      </c>
      <c r="C248" s="18" t="s">
        <v>600</v>
      </c>
      <c r="D248" s="20" t="s">
        <v>1556</v>
      </c>
      <c r="E248" s="19">
        <v>0</v>
      </c>
      <c r="F248" s="20" t="s">
        <v>1556</v>
      </c>
      <c r="G248" s="21">
        <v>0</v>
      </c>
      <c r="H248" s="21">
        <v>0</v>
      </c>
      <c r="I248" s="14" t="s">
        <v>1561</v>
      </c>
      <c r="J248" s="21">
        <v>0</v>
      </c>
      <c r="K248" s="21">
        <v>0</v>
      </c>
      <c r="L248" s="24">
        <f t="shared" si="6"/>
        <v>0</v>
      </c>
    </row>
    <row r="249" spans="1:12" x14ac:dyDescent="0.25">
      <c r="A249" s="15">
        <f t="shared" si="7"/>
        <v>244</v>
      </c>
      <c r="B249" s="17">
        <v>3511</v>
      </c>
      <c r="C249" s="18" t="s">
        <v>1035</v>
      </c>
      <c r="D249" s="20" t="s">
        <v>1556</v>
      </c>
      <c r="E249" s="19">
        <v>0</v>
      </c>
      <c r="F249" s="20" t="s">
        <v>1556</v>
      </c>
      <c r="G249" s="21">
        <v>0</v>
      </c>
      <c r="H249" s="21">
        <v>0</v>
      </c>
      <c r="I249" s="14" t="s">
        <v>1561</v>
      </c>
      <c r="J249" s="21">
        <v>0</v>
      </c>
      <c r="K249" s="21">
        <v>0</v>
      </c>
      <c r="L249" s="24">
        <f t="shared" si="6"/>
        <v>0</v>
      </c>
    </row>
    <row r="250" spans="1:12" x14ac:dyDescent="0.25">
      <c r="A250" s="15">
        <f t="shared" si="7"/>
        <v>245</v>
      </c>
      <c r="B250" s="17">
        <v>3515</v>
      </c>
      <c r="C250" s="18" t="s">
        <v>214</v>
      </c>
      <c r="D250" s="20">
        <v>1.0137E-3</v>
      </c>
      <c r="E250" s="19">
        <v>0</v>
      </c>
      <c r="F250" s="20">
        <v>1.0137E-3</v>
      </c>
      <c r="G250" s="21">
        <v>11.449427500000001</v>
      </c>
      <c r="H250" s="21">
        <v>10.449427500000001</v>
      </c>
      <c r="I250" s="14" t="s">
        <v>1561</v>
      </c>
      <c r="J250" s="21">
        <v>1.1112264144833333</v>
      </c>
      <c r="K250" s="21">
        <v>10.8386905</v>
      </c>
      <c r="L250" s="24">
        <f t="shared" si="6"/>
        <v>0.94665785691031279</v>
      </c>
    </row>
    <row r="251" spans="1:12" x14ac:dyDescent="0.25">
      <c r="A251" s="15">
        <f t="shared" si="7"/>
        <v>246</v>
      </c>
      <c r="B251" s="17">
        <v>3517</v>
      </c>
      <c r="C251" s="18" t="s">
        <v>601</v>
      </c>
      <c r="D251" s="20">
        <v>7.4948000000000002E-3</v>
      </c>
      <c r="E251" s="19">
        <v>0</v>
      </c>
      <c r="F251" s="20">
        <v>7.4948000000000002E-3</v>
      </c>
      <c r="G251" s="21">
        <v>15.396137400000001</v>
      </c>
      <c r="H251" s="21">
        <v>12.684199699999999</v>
      </c>
      <c r="I251" s="14" t="s">
        <v>1561</v>
      </c>
      <c r="J251" s="21">
        <v>1.8585559083939964</v>
      </c>
      <c r="K251" s="21">
        <v>12.913331599999999</v>
      </c>
      <c r="L251" s="24">
        <f t="shared" si="6"/>
        <v>0.83873839681373585</v>
      </c>
    </row>
    <row r="252" spans="1:12" x14ac:dyDescent="0.25">
      <c r="A252" s="15">
        <f t="shared" si="7"/>
        <v>247</v>
      </c>
      <c r="B252" s="17">
        <v>3524</v>
      </c>
      <c r="C252" s="18" t="s">
        <v>66</v>
      </c>
      <c r="D252" s="20">
        <v>19.7940176</v>
      </c>
      <c r="E252" s="19">
        <v>0</v>
      </c>
      <c r="F252" s="20">
        <v>19.7940176</v>
      </c>
      <c r="G252" s="21">
        <v>3070.3087426999996</v>
      </c>
      <c r="H252" s="21">
        <v>2487.9277865999998</v>
      </c>
      <c r="I252" s="14" t="s">
        <v>1561</v>
      </c>
      <c r="J252" s="21">
        <v>1788.8107211446256</v>
      </c>
      <c r="K252" s="21">
        <v>3055.0684694000001</v>
      </c>
      <c r="L252" s="24">
        <f t="shared" si="6"/>
        <v>0.99503624078971376</v>
      </c>
    </row>
    <row r="253" spans="1:12" x14ac:dyDescent="0.25">
      <c r="A253" s="15">
        <f t="shared" si="7"/>
        <v>248</v>
      </c>
      <c r="B253" s="17">
        <v>3528</v>
      </c>
      <c r="C253" s="18" t="s">
        <v>67</v>
      </c>
      <c r="D253" s="20" t="s">
        <v>1556</v>
      </c>
      <c r="E253" s="19">
        <v>0</v>
      </c>
      <c r="F253" s="20" t="s">
        <v>1556</v>
      </c>
      <c r="G253" s="21">
        <v>0.34998249999999997</v>
      </c>
      <c r="H253" s="21">
        <v>0.34998249999999997</v>
      </c>
      <c r="I253" s="14" t="s">
        <v>1561</v>
      </c>
      <c r="J253" s="21">
        <v>4.0025930425000002E-2</v>
      </c>
      <c r="K253" s="21">
        <v>0.35714010000000002</v>
      </c>
      <c r="L253" s="24">
        <f t="shared" si="6"/>
        <v>1.0204513082796998</v>
      </c>
    </row>
    <row r="254" spans="1:12" x14ac:dyDescent="0.25">
      <c r="A254" s="15">
        <f t="shared" si="7"/>
        <v>249</v>
      </c>
      <c r="B254" s="17">
        <v>3529</v>
      </c>
      <c r="C254" s="18" t="s">
        <v>602</v>
      </c>
      <c r="D254" s="20" t="s">
        <v>1556</v>
      </c>
      <c r="E254" s="19">
        <v>0</v>
      </c>
      <c r="F254" s="20" t="s">
        <v>1556</v>
      </c>
      <c r="G254" s="21">
        <v>0</v>
      </c>
      <c r="H254" s="21">
        <v>0</v>
      </c>
      <c r="I254" s="14" t="s">
        <v>1561</v>
      </c>
      <c r="J254" s="21">
        <v>0</v>
      </c>
      <c r="K254" s="21">
        <v>0</v>
      </c>
      <c r="L254" s="24">
        <f t="shared" si="6"/>
        <v>0</v>
      </c>
    </row>
    <row r="255" spans="1:12" x14ac:dyDescent="0.25">
      <c r="A255" s="15">
        <f t="shared" si="7"/>
        <v>250</v>
      </c>
      <c r="B255" s="17">
        <v>3535</v>
      </c>
      <c r="C255" s="18" t="s">
        <v>436</v>
      </c>
      <c r="D255" s="20">
        <v>4.5970999999999998E-3</v>
      </c>
      <c r="E255" s="19">
        <v>0</v>
      </c>
      <c r="F255" s="20">
        <v>4.5970999999999998E-3</v>
      </c>
      <c r="G255" s="21">
        <v>0.99995000000000001</v>
      </c>
      <c r="H255" s="21">
        <v>0.99995000000000001</v>
      </c>
      <c r="I255" s="14" t="s">
        <v>1561</v>
      </c>
      <c r="J255" s="21">
        <v>0.46263165419534047</v>
      </c>
      <c r="K255" s="21">
        <v>1.0754057000000001</v>
      </c>
      <c r="L255" s="24">
        <f t="shared" si="6"/>
        <v>1.0754594729736489</v>
      </c>
    </row>
    <row r="256" spans="1:12" x14ac:dyDescent="0.25">
      <c r="A256" s="15">
        <f t="shared" si="7"/>
        <v>251</v>
      </c>
      <c r="B256" s="17">
        <v>3537</v>
      </c>
      <c r="C256" s="18" t="s">
        <v>1036</v>
      </c>
      <c r="D256" s="20" t="s">
        <v>1556</v>
      </c>
      <c r="E256" s="19">
        <v>0</v>
      </c>
      <c r="F256" s="20" t="s">
        <v>1556</v>
      </c>
      <c r="G256" s="21">
        <v>0</v>
      </c>
      <c r="H256" s="21">
        <v>0</v>
      </c>
      <c r="I256" s="14" t="s">
        <v>1561</v>
      </c>
      <c r="J256" s="21">
        <v>0</v>
      </c>
      <c r="K256" s="21">
        <v>0</v>
      </c>
      <c r="L256" s="24">
        <f t="shared" si="6"/>
        <v>0</v>
      </c>
    </row>
    <row r="257" spans="1:12" x14ac:dyDescent="0.25">
      <c r="A257" s="15">
        <f t="shared" si="7"/>
        <v>252</v>
      </c>
      <c r="B257" s="17">
        <v>3543</v>
      </c>
      <c r="C257" s="18" t="s">
        <v>68</v>
      </c>
      <c r="D257" s="20" t="s">
        <v>1556</v>
      </c>
      <c r="E257" s="19">
        <v>0</v>
      </c>
      <c r="F257" s="20" t="s">
        <v>1556</v>
      </c>
      <c r="G257" s="21">
        <v>79.546022500000007</v>
      </c>
      <c r="H257" s="21">
        <v>79.546022500000007</v>
      </c>
      <c r="I257" s="14" t="s">
        <v>1561</v>
      </c>
      <c r="J257" s="21">
        <v>216.24746519062469</v>
      </c>
      <c r="K257" s="21">
        <v>260.88734519999997</v>
      </c>
      <c r="L257" s="24">
        <f t="shared" si="6"/>
        <v>3.2797032082905209</v>
      </c>
    </row>
    <row r="258" spans="1:12" x14ac:dyDescent="0.25">
      <c r="A258" s="15">
        <f t="shared" si="7"/>
        <v>253</v>
      </c>
      <c r="B258" s="17">
        <v>3676</v>
      </c>
      <c r="C258" s="18" t="s">
        <v>603</v>
      </c>
      <c r="D258" s="20" t="s">
        <v>1556</v>
      </c>
      <c r="E258" s="19">
        <v>0</v>
      </c>
      <c r="F258" s="20" t="s">
        <v>1556</v>
      </c>
      <c r="G258" s="21">
        <v>0</v>
      </c>
      <c r="H258" s="21">
        <v>0</v>
      </c>
      <c r="I258" s="14" t="s">
        <v>1561</v>
      </c>
      <c r="J258" s="21">
        <v>0</v>
      </c>
      <c r="K258" s="21">
        <v>0</v>
      </c>
      <c r="L258" s="24">
        <f t="shared" si="6"/>
        <v>0</v>
      </c>
    </row>
    <row r="259" spans="1:12" x14ac:dyDescent="0.25">
      <c r="A259" s="15">
        <f t="shared" si="7"/>
        <v>254</v>
      </c>
      <c r="B259" s="17">
        <v>3677</v>
      </c>
      <c r="C259" s="18" t="s">
        <v>176</v>
      </c>
      <c r="D259" s="20" t="s">
        <v>1556</v>
      </c>
      <c r="E259" s="19">
        <v>0</v>
      </c>
      <c r="F259" s="20" t="s">
        <v>1556</v>
      </c>
      <c r="G259" s="21">
        <v>0.39998</v>
      </c>
      <c r="H259" s="21">
        <v>0.39998</v>
      </c>
      <c r="I259" s="14" t="s">
        <v>1561</v>
      </c>
      <c r="J259" s="21">
        <v>0.10961550872034051</v>
      </c>
      <c r="K259" s="21">
        <v>0.42252089999999998</v>
      </c>
      <c r="L259" s="24">
        <f t="shared" si="6"/>
        <v>1.0563550677533875</v>
      </c>
    </row>
    <row r="260" spans="1:12" x14ac:dyDescent="0.25">
      <c r="A260" s="15">
        <f t="shared" si="7"/>
        <v>255</v>
      </c>
      <c r="B260" s="17">
        <v>3689</v>
      </c>
      <c r="C260" s="18" t="s">
        <v>70</v>
      </c>
      <c r="D260" s="20" t="s">
        <v>1556</v>
      </c>
      <c r="E260" s="19">
        <v>0</v>
      </c>
      <c r="F260" s="20" t="s">
        <v>1556</v>
      </c>
      <c r="G260" s="21">
        <v>0</v>
      </c>
      <c r="H260" s="21">
        <v>0</v>
      </c>
      <c r="I260" s="14" t="s">
        <v>1561</v>
      </c>
      <c r="J260" s="21">
        <v>1.8654570856256274</v>
      </c>
      <c r="K260" s="21">
        <v>2.0307045000000001</v>
      </c>
      <c r="L260" s="24">
        <f t="shared" si="6"/>
        <v>0</v>
      </c>
    </row>
    <row r="261" spans="1:12" x14ac:dyDescent="0.25">
      <c r="A261" s="15">
        <f t="shared" si="7"/>
        <v>256</v>
      </c>
      <c r="B261" s="17">
        <v>3721</v>
      </c>
      <c r="C261" s="18" t="s">
        <v>604</v>
      </c>
      <c r="D261" s="20" t="s">
        <v>1556</v>
      </c>
      <c r="E261" s="19">
        <v>0</v>
      </c>
      <c r="F261" s="20" t="s">
        <v>1556</v>
      </c>
      <c r="G261" s="21">
        <v>0</v>
      </c>
      <c r="H261" s="21">
        <v>0</v>
      </c>
      <c r="I261" s="14" t="s">
        <v>1561</v>
      </c>
      <c r="J261" s="21">
        <v>0</v>
      </c>
      <c r="K261" s="21">
        <v>0</v>
      </c>
      <c r="L261" s="24">
        <f t="shared" si="6"/>
        <v>0</v>
      </c>
    </row>
    <row r="262" spans="1:12" x14ac:dyDescent="0.25">
      <c r="A262" s="15">
        <f t="shared" si="7"/>
        <v>257</v>
      </c>
      <c r="B262" s="17">
        <v>3729</v>
      </c>
      <c r="C262" s="18" t="s">
        <v>261</v>
      </c>
      <c r="D262" s="20">
        <v>2.6111316000000002</v>
      </c>
      <c r="E262" s="19">
        <v>0</v>
      </c>
      <c r="F262" s="20">
        <v>2.6111316000000002</v>
      </c>
      <c r="G262" s="21">
        <v>680.66321069999992</v>
      </c>
      <c r="H262" s="21">
        <v>643.52324779999992</v>
      </c>
      <c r="I262" s="14" t="s">
        <v>1561</v>
      </c>
      <c r="J262" s="21">
        <v>197.86339127679105</v>
      </c>
      <c r="K262" s="21">
        <v>677.49382049999997</v>
      </c>
      <c r="L262" s="24">
        <f t="shared" si="6"/>
        <v>0.99534367342001562</v>
      </c>
    </row>
    <row r="263" spans="1:12" x14ac:dyDescent="0.25">
      <c r="A263" s="15">
        <f t="shared" si="7"/>
        <v>258</v>
      </c>
      <c r="B263" s="17">
        <v>3798</v>
      </c>
      <c r="C263" s="18" t="s">
        <v>605</v>
      </c>
      <c r="D263" s="20">
        <v>2.908E-3</v>
      </c>
      <c r="E263" s="19">
        <v>0</v>
      </c>
      <c r="F263" s="20">
        <v>2.908E-3</v>
      </c>
      <c r="G263" s="21">
        <v>0.499975</v>
      </c>
      <c r="H263" s="21">
        <v>0.499975</v>
      </c>
      <c r="I263" s="14" t="s">
        <v>1561</v>
      </c>
      <c r="J263" s="21">
        <v>0.27683685730143365</v>
      </c>
      <c r="K263" s="21">
        <v>0.54341539999999999</v>
      </c>
      <c r="L263" s="24">
        <f t="shared" ref="L263:L326" si="8">+IFERROR(K263/G263,0)</f>
        <v>1.0868851442572129</v>
      </c>
    </row>
    <row r="264" spans="1:12" x14ac:dyDescent="0.25">
      <c r="A264" s="15">
        <f t="shared" ref="A264:A327" si="9">A263+1</f>
        <v>259</v>
      </c>
      <c r="B264" s="17">
        <v>3821</v>
      </c>
      <c r="C264" s="18" t="s">
        <v>71</v>
      </c>
      <c r="D264" s="20">
        <v>3.7535499999999999E-2</v>
      </c>
      <c r="E264" s="19">
        <v>0</v>
      </c>
      <c r="F264" s="20">
        <v>3.7535499999999999E-2</v>
      </c>
      <c r="G264" s="21">
        <v>5.0097494999999999</v>
      </c>
      <c r="H264" s="21">
        <v>5.0097494999999999</v>
      </c>
      <c r="I264" s="14" t="s">
        <v>1561</v>
      </c>
      <c r="J264" s="21">
        <v>3.2208027161899646</v>
      </c>
      <c r="K264" s="21">
        <v>5.5740325999999998</v>
      </c>
      <c r="L264" s="24">
        <f t="shared" si="8"/>
        <v>1.112636989134886</v>
      </c>
    </row>
    <row r="265" spans="1:12" x14ac:dyDescent="0.25">
      <c r="A265" s="15">
        <f t="shared" si="9"/>
        <v>260</v>
      </c>
      <c r="B265" s="17">
        <v>3845</v>
      </c>
      <c r="C265" s="18" t="s">
        <v>606</v>
      </c>
      <c r="D265" s="20" t="s">
        <v>1556</v>
      </c>
      <c r="E265" s="19">
        <v>0</v>
      </c>
      <c r="F265" s="20" t="s">
        <v>1556</v>
      </c>
      <c r="G265" s="21">
        <v>0</v>
      </c>
      <c r="H265" s="21">
        <v>0</v>
      </c>
      <c r="I265" s="14" t="s">
        <v>1561</v>
      </c>
      <c r="J265" s="21">
        <v>0</v>
      </c>
      <c r="K265" s="21">
        <v>0</v>
      </c>
      <c r="L265" s="24">
        <f t="shared" si="8"/>
        <v>0</v>
      </c>
    </row>
    <row r="266" spans="1:12" x14ac:dyDescent="0.25">
      <c r="A266" s="15">
        <f t="shared" si="9"/>
        <v>261</v>
      </c>
      <c r="B266" s="17">
        <v>3852</v>
      </c>
      <c r="C266" s="18" t="s">
        <v>607</v>
      </c>
      <c r="D266" s="20">
        <v>0.209457</v>
      </c>
      <c r="E266" s="19">
        <v>0</v>
      </c>
      <c r="F266" s="20">
        <v>0.209457</v>
      </c>
      <c r="G266" s="21">
        <v>45.123747899999998</v>
      </c>
      <c r="H266" s="21">
        <v>43.998733700000003</v>
      </c>
      <c r="I266" s="14" t="s">
        <v>1561</v>
      </c>
      <c r="J266" s="21">
        <v>17.578018811512457</v>
      </c>
      <c r="K266" s="21">
        <v>49.321727599999996</v>
      </c>
      <c r="L266" s="24">
        <f t="shared" si="8"/>
        <v>1.0930326024625272</v>
      </c>
    </row>
    <row r="267" spans="1:12" x14ac:dyDescent="0.25">
      <c r="A267" s="15">
        <f t="shared" si="9"/>
        <v>262</v>
      </c>
      <c r="B267" s="17">
        <v>3858</v>
      </c>
      <c r="C267" s="18" t="s">
        <v>340</v>
      </c>
      <c r="D267" s="20">
        <v>0.72266449999999993</v>
      </c>
      <c r="E267" s="19">
        <v>0</v>
      </c>
      <c r="F267" s="20">
        <v>0.72266449999999993</v>
      </c>
      <c r="G267" s="21">
        <v>152.54259569999999</v>
      </c>
      <c r="H267" s="21">
        <v>126.29806000000001</v>
      </c>
      <c r="I267" s="14" t="s">
        <v>1561</v>
      </c>
      <c r="J267" s="21">
        <v>57.954906633824791</v>
      </c>
      <c r="K267" s="21">
        <v>146.40491710000001</v>
      </c>
      <c r="L267" s="24">
        <f t="shared" si="8"/>
        <v>0.9597641657280388</v>
      </c>
    </row>
    <row r="268" spans="1:12" x14ac:dyDescent="0.25">
      <c r="A268" s="15">
        <f t="shared" si="9"/>
        <v>263</v>
      </c>
      <c r="B268" s="17">
        <v>3870</v>
      </c>
      <c r="C268" s="18" t="s">
        <v>1037</v>
      </c>
      <c r="D268" s="20" t="s">
        <v>1556</v>
      </c>
      <c r="E268" s="19">
        <v>0</v>
      </c>
      <c r="F268" s="20" t="s">
        <v>1556</v>
      </c>
      <c r="G268" s="21">
        <v>0</v>
      </c>
      <c r="H268" s="21">
        <v>0</v>
      </c>
      <c r="I268" s="14" t="s">
        <v>1561</v>
      </c>
      <c r="J268" s="21">
        <v>0</v>
      </c>
      <c r="K268" s="21">
        <v>0</v>
      </c>
      <c r="L268" s="24">
        <f t="shared" si="8"/>
        <v>0</v>
      </c>
    </row>
    <row r="269" spans="1:12" x14ac:dyDescent="0.25">
      <c r="A269" s="15">
        <f t="shared" si="9"/>
        <v>264</v>
      </c>
      <c r="B269" s="17">
        <v>3912</v>
      </c>
      <c r="C269" s="18" t="s">
        <v>1038</v>
      </c>
      <c r="D269" s="20" t="s">
        <v>1556</v>
      </c>
      <c r="E269" s="19">
        <v>0</v>
      </c>
      <c r="F269" s="20" t="s">
        <v>1556</v>
      </c>
      <c r="G269" s="21">
        <v>0</v>
      </c>
      <c r="H269" s="21">
        <v>0</v>
      </c>
      <c r="I269" s="14" t="s">
        <v>1561</v>
      </c>
      <c r="J269" s="21">
        <v>0</v>
      </c>
      <c r="K269" s="21">
        <v>0</v>
      </c>
      <c r="L269" s="24">
        <f t="shared" si="8"/>
        <v>0</v>
      </c>
    </row>
    <row r="270" spans="1:12" x14ac:dyDescent="0.25">
      <c r="A270" s="15">
        <f t="shared" si="9"/>
        <v>265</v>
      </c>
      <c r="B270" s="17">
        <v>3941</v>
      </c>
      <c r="C270" s="18" t="s">
        <v>1039</v>
      </c>
      <c r="D270" s="20" t="s">
        <v>1556</v>
      </c>
      <c r="E270" s="19">
        <v>0</v>
      </c>
      <c r="F270" s="20" t="s">
        <v>1556</v>
      </c>
      <c r="G270" s="21">
        <v>0</v>
      </c>
      <c r="H270" s="21">
        <v>0</v>
      </c>
      <c r="I270" s="14" t="s">
        <v>1561</v>
      </c>
      <c r="J270" s="21">
        <v>0</v>
      </c>
      <c r="K270" s="21">
        <v>0</v>
      </c>
      <c r="L270" s="24">
        <f t="shared" si="8"/>
        <v>0</v>
      </c>
    </row>
    <row r="271" spans="1:12" x14ac:dyDescent="0.25">
      <c r="A271" s="15">
        <f t="shared" si="9"/>
        <v>266</v>
      </c>
      <c r="B271" s="17">
        <v>3963</v>
      </c>
      <c r="C271" s="18" t="s">
        <v>262</v>
      </c>
      <c r="D271" s="20" t="s">
        <v>1556</v>
      </c>
      <c r="E271" s="19">
        <v>0</v>
      </c>
      <c r="F271" s="20" t="s">
        <v>1556</v>
      </c>
      <c r="G271" s="21">
        <v>0</v>
      </c>
      <c r="H271" s="21">
        <v>0</v>
      </c>
      <c r="I271" s="14" t="s">
        <v>1561</v>
      </c>
      <c r="J271" s="21">
        <v>0</v>
      </c>
      <c r="K271" s="21">
        <v>0</v>
      </c>
      <c r="L271" s="24">
        <f t="shared" si="8"/>
        <v>0</v>
      </c>
    </row>
    <row r="272" spans="1:12" x14ac:dyDescent="0.25">
      <c r="A272" s="15">
        <f t="shared" si="9"/>
        <v>267</v>
      </c>
      <c r="B272" s="17">
        <v>4042</v>
      </c>
      <c r="C272" s="18" t="s">
        <v>341</v>
      </c>
      <c r="D272" s="20" t="s">
        <v>1556</v>
      </c>
      <c r="E272" s="19">
        <v>0</v>
      </c>
      <c r="F272" s="20" t="s">
        <v>1556</v>
      </c>
      <c r="G272" s="21">
        <v>0</v>
      </c>
      <c r="H272" s="21">
        <v>0</v>
      </c>
      <c r="I272" s="14" t="s">
        <v>1561</v>
      </c>
      <c r="J272" s="21">
        <v>0</v>
      </c>
      <c r="K272" s="21">
        <v>0</v>
      </c>
      <c r="L272" s="24">
        <f t="shared" si="8"/>
        <v>0</v>
      </c>
    </row>
    <row r="273" spans="1:12" x14ac:dyDescent="0.25">
      <c r="A273" s="15">
        <f t="shared" si="9"/>
        <v>268</v>
      </c>
      <c r="B273" s="17">
        <v>4055</v>
      </c>
      <c r="C273" s="18" t="s">
        <v>1040</v>
      </c>
      <c r="D273" s="20" t="s">
        <v>1556</v>
      </c>
      <c r="E273" s="19">
        <v>0</v>
      </c>
      <c r="F273" s="20" t="s">
        <v>1556</v>
      </c>
      <c r="G273" s="21">
        <v>0</v>
      </c>
      <c r="H273" s="21">
        <v>0</v>
      </c>
      <c r="I273" s="14" t="s">
        <v>1561</v>
      </c>
      <c r="J273" s="21">
        <v>0</v>
      </c>
      <c r="K273" s="21">
        <v>0</v>
      </c>
      <c r="L273" s="24">
        <f t="shared" si="8"/>
        <v>0</v>
      </c>
    </row>
    <row r="274" spans="1:12" x14ac:dyDescent="0.25">
      <c r="A274" s="15">
        <f t="shared" si="9"/>
        <v>269</v>
      </c>
      <c r="B274" s="17">
        <v>4137</v>
      </c>
      <c r="C274" s="18" t="s">
        <v>608</v>
      </c>
      <c r="D274" s="20" t="s">
        <v>1556</v>
      </c>
      <c r="E274" s="19">
        <v>0</v>
      </c>
      <c r="F274" s="20" t="s">
        <v>1556</v>
      </c>
      <c r="G274" s="21">
        <v>0</v>
      </c>
      <c r="H274" s="21">
        <v>0</v>
      </c>
      <c r="I274" s="14" t="s">
        <v>1561</v>
      </c>
      <c r="J274" s="21">
        <v>0</v>
      </c>
      <c r="K274" s="21">
        <v>0</v>
      </c>
      <c r="L274" s="24">
        <f t="shared" si="8"/>
        <v>0</v>
      </c>
    </row>
    <row r="275" spans="1:12" x14ac:dyDescent="0.25">
      <c r="A275" s="15">
        <f t="shared" si="9"/>
        <v>270</v>
      </c>
      <c r="B275" s="17">
        <v>4159</v>
      </c>
      <c r="C275" s="18" t="s">
        <v>215</v>
      </c>
      <c r="D275" s="20">
        <v>7.0540000000000002E-4</v>
      </c>
      <c r="E275" s="19">
        <v>0</v>
      </c>
      <c r="F275" s="20">
        <v>7.0540000000000002E-4</v>
      </c>
      <c r="G275" s="21">
        <v>0.19999040000000001</v>
      </c>
      <c r="H275" s="21">
        <v>0.19999040000000001</v>
      </c>
      <c r="I275" s="14" t="s">
        <v>1561</v>
      </c>
      <c r="J275" s="21">
        <v>6.6824570569534059E-2</v>
      </c>
      <c r="K275" s="21">
        <v>0.22054560000000001</v>
      </c>
      <c r="L275" s="24">
        <f t="shared" si="8"/>
        <v>1.1027809334848073</v>
      </c>
    </row>
    <row r="276" spans="1:12" x14ac:dyDescent="0.25">
      <c r="A276" s="15">
        <f t="shared" si="9"/>
        <v>271</v>
      </c>
      <c r="B276" s="17">
        <v>4188</v>
      </c>
      <c r="C276" s="18" t="s">
        <v>1041</v>
      </c>
      <c r="D276" s="20">
        <v>0.13098120000000002</v>
      </c>
      <c r="E276" s="19">
        <v>0</v>
      </c>
      <c r="F276" s="20">
        <v>0.13098120000000002</v>
      </c>
      <c r="G276" s="21">
        <v>50.897795000000002</v>
      </c>
      <c r="H276" s="21">
        <v>2.8642787999999988</v>
      </c>
      <c r="I276" s="14" t="s">
        <v>1561</v>
      </c>
      <c r="J276" s="21">
        <v>10.515987174871059</v>
      </c>
      <c r="K276" s="21">
        <v>5.6706187999999997</v>
      </c>
      <c r="L276" s="24">
        <f t="shared" si="8"/>
        <v>0.11141187550462647</v>
      </c>
    </row>
    <row r="277" spans="1:12" x14ac:dyDescent="0.25">
      <c r="A277" s="15">
        <f t="shared" si="9"/>
        <v>272</v>
      </c>
      <c r="B277" s="17">
        <v>4193</v>
      </c>
      <c r="C277" s="18" t="s">
        <v>263</v>
      </c>
      <c r="D277" s="20" t="s">
        <v>1556</v>
      </c>
      <c r="E277" s="19">
        <v>0</v>
      </c>
      <c r="F277" s="20" t="s">
        <v>1556</v>
      </c>
      <c r="G277" s="21">
        <v>0</v>
      </c>
      <c r="H277" s="21">
        <v>0</v>
      </c>
      <c r="I277" s="14" t="s">
        <v>1561</v>
      </c>
      <c r="J277" s="21">
        <v>0</v>
      </c>
      <c r="K277" s="21">
        <v>0</v>
      </c>
      <c r="L277" s="24">
        <f t="shared" si="8"/>
        <v>0</v>
      </c>
    </row>
    <row r="278" spans="1:12" x14ac:dyDescent="0.25">
      <c r="A278" s="15">
        <f t="shared" si="9"/>
        <v>273</v>
      </c>
      <c r="B278" s="17">
        <v>4216</v>
      </c>
      <c r="C278" s="18" t="s">
        <v>264</v>
      </c>
      <c r="D278" s="20" t="s">
        <v>1556</v>
      </c>
      <c r="E278" s="19">
        <v>0</v>
      </c>
      <c r="F278" s="20" t="s">
        <v>1556</v>
      </c>
      <c r="G278" s="21">
        <v>0</v>
      </c>
      <c r="H278" s="21">
        <v>0</v>
      </c>
      <c r="I278" s="14" t="s">
        <v>1561</v>
      </c>
      <c r="J278" s="21">
        <v>0</v>
      </c>
      <c r="K278" s="21">
        <v>0</v>
      </c>
      <c r="L278" s="24">
        <f t="shared" si="8"/>
        <v>0</v>
      </c>
    </row>
    <row r="279" spans="1:12" x14ac:dyDescent="0.25">
      <c r="A279" s="15">
        <f t="shared" si="9"/>
        <v>274</v>
      </c>
      <c r="B279" s="17">
        <v>4327</v>
      </c>
      <c r="C279" s="18" t="s">
        <v>1042</v>
      </c>
      <c r="D279" s="20" t="s">
        <v>1556</v>
      </c>
      <c r="E279" s="19">
        <v>0</v>
      </c>
      <c r="F279" s="20" t="s">
        <v>1556</v>
      </c>
      <c r="G279" s="21">
        <v>0</v>
      </c>
      <c r="H279" s="21">
        <v>0</v>
      </c>
      <c r="I279" s="14" t="s">
        <v>1561</v>
      </c>
      <c r="J279" s="21">
        <v>0</v>
      </c>
      <c r="K279" s="21">
        <v>0</v>
      </c>
      <c r="L279" s="24">
        <f t="shared" si="8"/>
        <v>0</v>
      </c>
    </row>
    <row r="280" spans="1:12" x14ac:dyDescent="0.25">
      <c r="A280" s="15">
        <f t="shared" si="9"/>
        <v>275</v>
      </c>
      <c r="B280" s="17">
        <v>4353</v>
      </c>
      <c r="C280" s="18" t="s">
        <v>609</v>
      </c>
      <c r="D280" s="20" t="s">
        <v>1556</v>
      </c>
      <c r="E280" s="19">
        <v>0</v>
      </c>
      <c r="F280" s="20" t="s">
        <v>1556</v>
      </c>
      <c r="G280" s="21">
        <v>1.4599270000000002</v>
      </c>
      <c r="H280" s="21">
        <v>1.4599270000000002</v>
      </c>
      <c r="I280" s="14" t="s">
        <v>1561</v>
      </c>
      <c r="J280" s="21">
        <v>0.12081646424166667</v>
      </c>
      <c r="K280" s="21">
        <v>1.5585310000000001</v>
      </c>
      <c r="L280" s="24">
        <f t="shared" si="8"/>
        <v>1.0675403633195357</v>
      </c>
    </row>
    <row r="281" spans="1:12" x14ac:dyDescent="0.25">
      <c r="A281" s="15">
        <f t="shared" si="9"/>
        <v>276</v>
      </c>
      <c r="B281" s="17">
        <v>4360</v>
      </c>
      <c r="C281" s="18" t="s">
        <v>518</v>
      </c>
      <c r="D281" s="20">
        <v>3.0898000000000002E-3</v>
      </c>
      <c r="E281" s="19">
        <v>0</v>
      </c>
      <c r="F281" s="20">
        <v>3.0898000000000002E-3</v>
      </c>
      <c r="G281" s="21">
        <v>0.89495589999999992</v>
      </c>
      <c r="H281" s="21">
        <v>0.89495589999999992</v>
      </c>
      <c r="I281" s="14" t="s">
        <v>1561</v>
      </c>
      <c r="J281" s="21">
        <v>0.36289342509892469</v>
      </c>
      <c r="K281" s="21">
        <v>0.92955080000000001</v>
      </c>
      <c r="L281" s="24">
        <f t="shared" si="8"/>
        <v>1.0386554242505135</v>
      </c>
    </row>
    <row r="282" spans="1:12" x14ac:dyDescent="0.25">
      <c r="A282" s="15">
        <f t="shared" si="9"/>
        <v>277</v>
      </c>
      <c r="B282" s="17">
        <v>4449</v>
      </c>
      <c r="C282" s="18" t="s">
        <v>610</v>
      </c>
      <c r="D282" s="20" t="s">
        <v>1556</v>
      </c>
      <c r="E282" s="19">
        <v>0</v>
      </c>
      <c r="F282" s="20" t="s">
        <v>1556</v>
      </c>
      <c r="G282" s="21">
        <v>0</v>
      </c>
      <c r="H282" s="21">
        <v>0</v>
      </c>
      <c r="I282" s="14" t="s">
        <v>1561</v>
      </c>
      <c r="J282" s="21">
        <v>0</v>
      </c>
      <c r="K282" s="21">
        <v>0</v>
      </c>
      <c r="L282" s="24">
        <f t="shared" si="8"/>
        <v>0</v>
      </c>
    </row>
    <row r="283" spans="1:12" x14ac:dyDescent="0.25">
      <c r="A283" s="15">
        <f t="shared" si="9"/>
        <v>278</v>
      </c>
      <c r="B283" s="17">
        <v>4452</v>
      </c>
      <c r="C283" s="18" t="s">
        <v>506</v>
      </c>
      <c r="D283" s="20" t="s">
        <v>1556</v>
      </c>
      <c r="E283" s="19">
        <v>0</v>
      </c>
      <c r="F283" s="20" t="s">
        <v>1556</v>
      </c>
      <c r="G283" s="21">
        <v>0</v>
      </c>
      <c r="H283" s="21">
        <v>0</v>
      </c>
      <c r="I283" s="14" t="s">
        <v>1561</v>
      </c>
      <c r="J283" s="21">
        <v>0</v>
      </c>
      <c r="K283" s="21">
        <v>0</v>
      </c>
      <c r="L283" s="24">
        <f t="shared" si="8"/>
        <v>0</v>
      </c>
    </row>
    <row r="284" spans="1:12" x14ac:dyDescent="0.25">
      <c r="A284" s="15">
        <f t="shared" si="9"/>
        <v>279</v>
      </c>
      <c r="B284" s="17">
        <v>4461</v>
      </c>
      <c r="C284" s="18" t="s">
        <v>265</v>
      </c>
      <c r="D284" s="20" t="s">
        <v>1556</v>
      </c>
      <c r="E284" s="19">
        <v>0</v>
      </c>
      <c r="F284" s="20" t="s">
        <v>1556</v>
      </c>
      <c r="G284" s="21">
        <v>0.299985</v>
      </c>
      <c r="H284" s="21">
        <v>0.299985</v>
      </c>
      <c r="I284" s="14" t="s">
        <v>1561</v>
      </c>
      <c r="J284" s="21">
        <v>0.13330526691102151</v>
      </c>
      <c r="K284" s="21">
        <v>0.31771460000000001</v>
      </c>
      <c r="L284" s="24">
        <f t="shared" si="8"/>
        <v>1.059101621747754</v>
      </c>
    </row>
    <row r="285" spans="1:12" x14ac:dyDescent="0.25">
      <c r="A285" s="15">
        <f t="shared" si="9"/>
        <v>280</v>
      </c>
      <c r="B285" s="17">
        <v>4464</v>
      </c>
      <c r="C285" s="18" t="s">
        <v>1043</v>
      </c>
      <c r="D285" s="20" t="s">
        <v>1556</v>
      </c>
      <c r="E285" s="19">
        <v>0</v>
      </c>
      <c r="F285" s="20" t="s">
        <v>1556</v>
      </c>
      <c r="G285" s="21">
        <v>0</v>
      </c>
      <c r="H285" s="21">
        <v>-4.4008400000000003E-2</v>
      </c>
      <c r="I285" s="14" t="s">
        <v>1561</v>
      </c>
      <c r="J285" s="21">
        <v>1.6944770510752688E-2</v>
      </c>
      <c r="K285" s="21">
        <v>0</v>
      </c>
      <c r="L285" s="24">
        <f t="shared" si="8"/>
        <v>0</v>
      </c>
    </row>
    <row r="286" spans="1:12" x14ac:dyDescent="0.25">
      <c r="A286" s="15">
        <f t="shared" si="9"/>
        <v>281</v>
      </c>
      <c r="B286" s="17">
        <v>4478</v>
      </c>
      <c r="C286" s="18" t="s">
        <v>266</v>
      </c>
      <c r="D286" s="20">
        <v>0.80454250000000005</v>
      </c>
      <c r="E286" s="19">
        <v>0</v>
      </c>
      <c r="F286" s="20">
        <v>0.80454250000000005</v>
      </c>
      <c r="G286" s="21">
        <v>133.58032310000002</v>
      </c>
      <c r="H286" s="21">
        <v>126.7896318</v>
      </c>
      <c r="I286" s="14" t="s">
        <v>1561</v>
      </c>
      <c r="J286" s="21">
        <v>61.348371559394039</v>
      </c>
      <c r="K286" s="21">
        <v>154.11248760000001</v>
      </c>
      <c r="L286" s="24">
        <f t="shared" si="8"/>
        <v>1.1537065042478549</v>
      </c>
    </row>
    <row r="287" spans="1:12" x14ac:dyDescent="0.25">
      <c r="A287" s="15">
        <f t="shared" si="9"/>
        <v>282</v>
      </c>
      <c r="B287" s="17">
        <v>4480</v>
      </c>
      <c r="C287" s="18" t="s">
        <v>72</v>
      </c>
      <c r="D287" s="20" t="s">
        <v>1556</v>
      </c>
      <c r="E287" s="19">
        <v>0</v>
      </c>
      <c r="F287" s="20" t="s">
        <v>1556</v>
      </c>
      <c r="G287" s="21">
        <v>2.9998499999999997E-2</v>
      </c>
      <c r="H287" s="21">
        <v>-2.3359999999999991E-3</v>
      </c>
      <c r="I287" s="14" t="s">
        <v>1561</v>
      </c>
      <c r="J287" s="21">
        <v>0.14458146244283157</v>
      </c>
      <c r="K287" s="21">
        <v>0.15101889999999998</v>
      </c>
      <c r="L287" s="24">
        <f t="shared" si="8"/>
        <v>5.0342150440855375</v>
      </c>
    </row>
    <row r="288" spans="1:12" x14ac:dyDescent="0.25">
      <c r="A288" s="15">
        <f t="shared" si="9"/>
        <v>283</v>
      </c>
      <c r="B288" s="17">
        <v>4481</v>
      </c>
      <c r="C288" s="18" t="s">
        <v>73</v>
      </c>
      <c r="D288" s="20" t="s">
        <v>1556</v>
      </c>
      <c r="E288" s="19">
        <v>0</v>
      </c>
      <c r="F288" s="20" t="s">
        <v>1556</v>
      </c>
      <c r="G288" s="21">
        <v>0</v>
      </c>
      <c r="H288" s="21">
        <v>0</v>
      </c>
      <c r="I288" s="14" t="s">
        <v>1561</v>
      </c>
      <c r="J288" s="21">
        <v>0</v>
      </c>
      <c r="K288" s="21">
        <v>0</v>
      </c>
      <c r="L288" s="24">
        <f t="shared" si="8"/>
        <v>0</v>
      </c>
    </row>
    <row r="289" spans="1:12" x14ac:dyDescent="0.25">
      <c r="A289" s="15">
        <f t="shared" si="9"/>
        <v>284</v>
      </c>
      <c r="B289" s="17">
        <v>4483</v>
      </c>
      <c r="C289" s="18" t="s">
        <v>74</v>
      </c>
      <c r="D289" s="20">
        <v>1.2786700000000002E-2</v>
      </c>
      <c r="E289" s="19">
        <v>0</v>
      </c>
      <c r="F289" s="20">
        <v>1.2786700000000002E-2</v>
      </c>
      <c r="G289" s="21">
        <v>0.499975</v>
      </c>
      <c r="H289" s="21">
        <v>0.499975</v>
      </c>
      <c r="I289" s="14" t="s">
        <v>1561</v>
      </c>
      <c r="J289" s="21">
        <v>0.76531920581227608</v>
      </c>
      <c r="K289" s="21">
        <v>1.2086276</v>
      </c>
      <c r="L289" s="24">
        <f t="shared" si="8"/>
        <v>2.4173760688034402</v>
      </c>
    </row>
    <row r="290" spans="1:12" x14ac:dyDescent="0.25">
      <c r="A290" s="15">
        <f t="shared" si="9"/>
        <v>285</v>
      </c>
      <c r="B290" s="17">
        <v>4484</v>
      </c>
      <c r="C290" s="18" t="s">
        <v>75</v>
      </c>
      <c r="D290" s="20" t="s">
        <v>1556</v>
      </c>
      <c r="E290" s="19">
        <v>0</v>
      </c>
      <c r="F290" s="20" t="s">
        <v>1556</v>
      </c>
      <c r="G290" s="21">
        <v>0</v>
      </c>
      <c r="H290" s="21">
        <v>0</v>
      </c>
      <c r="I290" s="14" t="s">
        <v>1561</v>
      </c>
      <c r="J290" s="21">
        <v>0</v>
      </c>
      <c r="K290" s="21">
        <v>0</v>
      </c>
      <c r="L290" s="24">
        <f t="shared" si="8"/>
        <v>0</v>
      </c>
    </row>
    <row r="291" spans="1:12" x14ac:dyDescent="0.25">
      <c r="A291" s="15">
        <f t="shared" si="9"/>
        <v>286</v>
      </c>
      <c r="B291" s="17">
        <v>4803</v>
      </c>
      <c r="C291" s="18" t="s">
        <v>1044</v>
      </c>
      <c r="D291" s="20" t="s">
        <v>1556</v>
      </c>
      <c r="E291" s="19">
        <v>0</v>
      </c>
      <c r="F291" s="20" t="s">
        <v>1556</v>
      </c>
      <c r="G291" s="21">
        <v>0</v>
      </c>
      <c r="H291" s="21">
        <v>0</v>
      </c>
      <c r="I291" s="14" t="s">
        <v>1561</v>
      </c>
      <c r="J291" s="21">
        <v>0</v>
      </c>
      <c r="K291" s="21">
        <v>0</v>
      </c>
      <c r="L291" s="24">
        <f t="shared" si="8"/>
        <v>0</v>
      </c>
    </row>
    <row r="292" spans="1:12" x14ac:dyDescent="0.25">
      <c r="A292" s="15">
        <f t="shared" si="9"/>
        <v>287</v>
      </c>
      <c r="B292" s="17">
        <v>4815</v>
      </c>
      <c r="C292" s="18" t="s">
        <v>342</v>
      </c>
      <c r="D292" s="20" t="s">
        <v>1556</v>
      </c>
      <c r="E292" s="19">
        <v>0</v>
      </c>
      <c r="F292" s="20" t="s">
        <v>1556</v>
      </c>
      <c r="G292" s="21">
        <v>0</v>
      </c>
      <c r="H292" s="21">
        <v>0</v>
      </c>
      <c r="I292" s="14" t="s">
        <v>1561</v>
      </c>
      <c r="J292" s="21">
        <v>0</v>
      </c>
      <c r="K292" s="21">
        <v>0</v>
      </c>
      <c r="L292" s="24">
        <f t="shared" si="8"/>
        <v>0</v>
      </c>
    </row>
    <row r="293" spans="1:12" x14ac:dyDescent="0.25">
      <c r="A293" s="15">
        <f t="shared" si="9"/>
        <v>288</v>
      </c>
      <c r="B293" s="17">
        <v>4843</v>
      </c>
      <c r="C293" s="18" t="s">
        <v>343</v>
      </c>
      <c r="D293" s="20">
        <v>0.43738500000000002</v>
      </c>
      <c r="E293" s="19">
        <v>0</v>
      </c>
      <c r="F293" s="20">
        <v>0.43738500000000002</v>
      </c>
      <c r="G293" s="21">
        <v>110.0115232</v>
      </c>
      <c r="H293" s="21">
        <v>104.33037290000001</v>
      </c>
      <c r="I293" s="14" t="s">
        <v>1561</v>
      </c>
      <c r="J293" s="21">
        <v>32.160079839280286</v>
      </c>
      <c r="K293" s="21">
        <v>108.81727070000001</v>
      </c>
      <c r="L293" s="24">
        <f t="shared" si="8"/>
        <v>0.98914429629495404</v>
      </c>
    </row>
    <row r="294" spans="1:12" x14ac:dyDescent="0.25">
      <c r="A294" s="15">
        <f t="shared" si="9"/>
        <v>289</v>
      </c>
      <c r="B294" s="17">
        <v>4873</v>
      </c>
      <c r="C294" s="18" t="s">
        <v>1045</v>
      </c>
      <c r="D294" s="20" t="s">
        <v>1556</v>
      </c>
      <c r="E294" s="19">
        <v>0</v>
      </c>
      <c r="F294" s="20" t="s">
        <v>1556</v>
      </c>
      <c r="G294" s="21">
        <v>0</v>
      </c>
      <c r="H294" s="21">
        <v>0</v>
      </c>
      <c r="I294" s="14" t="s">
        <v>1561</v>
      </c>
      <c r="J294" s="21">
        <v>0</v>
      </c>
      <c r="K294" s="21">
        <v>0</v>
      </c>
      <c r="L294" s="24">
        <f t="shared" si="8"/>
        <v>0</v>
      </c>
    </row>
    <row r="295" spans="1:12" x14ac:dyDescent="0.25">
      <c r="A295" s="15">
        <f t="shared" si="9"/>
        <v>290</v>
      </c>
      <c r="B295" s="17">
        <v>4937</v>
      </c>
      <c r="C295" s="18" t="s">
        <v>1046</v>
      </c>
      <c r="D295" s="20" t="s">
        <v>1556</v>
      </c>
      <c r="E295" s="19">
        <v>0</v>
      </c>
      <c r="F295" s="20" t="s">
        <v>1556</v>
      </c>
      <c r="G295" s="21">
        <v>0</v>
      </c>
      <c r="H295" s="21">
        <v>0</v>
      </c>
      <c r="I295" s="14" t="s">
        <v>1561</v>
      </c>
      <c r="J295" s="21">
        <v>0</v>
      </c>
      <c r="K295" s="21">
        <v>0</v>
      </c>
      <c r="L295" s="24">
        <f t="shared" si="8"/>
        <v>0</v>
      </c>
    </row>
    <row r="296" spans="1:12" x14ac:dyDescent="0.25">
      <c r="A296" s="15">
        <f t="shared" si="9"/>
        <v>291</v>
      </c>
      <c r="B296" s="17">
        <v>4979</v>
      </c>
      <c r="C296" s="18" t="s">
        <v>611</v>
      </c>
      <c r="D296" s="20">
        <v>3.4161700000000003E-2</v>
      </c>
      <c r="E296" s="19">
        <v>0</v>
      </c>
      <c r="F296" s="20">
        <v>3.4161700000000003E-2</v>
      </c>
      <c r="G296" s="21">
        <v>15.6022348</v>
      </c>
      <c r="H296" s="21">
        <v>5.0423621999999995</v>
      </c>
      <c r="I296" s="14" t="s">
        <v>1561</v>
      </c>
      <c r="J296" s="21">
        <v>5.6422684989819896</v>
      </c>
      <c r="K296" s="21">
        <v>5.7778839</v>
      </c>
      <c r="L296" s="24">
        <f t="shared" si="8"/>
        <v>0.3703241217726066</v>
      </c>
    </row>
    <row r="297" spans="1:12" x14ac:dyDescent="0.25">
      <c r="A297" s="15">
        <f t="shared" si="9"/>
        <v>292</v>
      </c>
      <c r="B297" s="17">
        <v>5042</v>
      </c>
      <c r="C297" s="18" t="s">
        <v>1047</v>
      </c>
      <c r="D297" s="20">
        <v>3.9621016999999998</v>
      </c>
      <c r="E297" s="19">
        <v>0</v>
      </c>
      <c r="F297" s="20">
        <v>3.9621016999999998</v>
      </c>
      <c r="G297" s="21">
        <v>744.39733099999989</v>
      </c>
      <c r="H297" s="21">
        <v>357.92325569999991</v>
      </c>
      <c r="I297" s="14" t="s">
        <v>1561</v>
      </c>
      <c r="J297" s="21">
        <v>332.80802181477043</v>
      </c>
      <c r="K297" s="21">
        <v>562.62567530000001</v>
      </c>
      <c r="L297" s="24">
        <f t="shared" si="8"/>
        <v>0.75581366545764805</v>
      </c>
    </row>
    <row r="298" spans="1:12" x14ac:dyDescent="0.25">
      <c r="A298" s="15">
        <f t="shared" si="9"/>
        <v>293</v>
      </c>
      <c r="B298" s="17">
        <v>5084</v>
      </c>
      <c r="C298" s="18" t="s">
        <v>78</v>
      </c>
      <c r="D298" s="20">
        <v>0.75482179999999988</v>
      </c>
      <c r="E298" s="19">
        <v>0</v>
      </c>
      <c r="F298" s="20">
        <v>0.75482179999999988</v>
      </c>
      <c r="G298" s="21">
        <v>100.6806668</v>
      </c>
      <c r="H298" s="21">
        <v>84.491727400000002</v>
      </c>
      <c r="I298" s="14" t="s">
        <v>1561</v>
      </c>
      <c r="J298" s="21">
        <v>59.960911933616039</v>
      </c>
      <c r="K298" s="21">
        <v>93.114391400000002</v>
      </c>
      <c r="L298" s="24">
        <f t="shared" si="8"/>
        <v>0.92484877543540467</v>
      </c>
    </row>
    <row r="299" spans="1:12" x14ac:dyDescent="0.25">
      <c r="A299" s="15">
        <f t="shared" si="9"/>
        <v>294</v>
      </c>
      <c r="B299" s="17">
        <v>5205</v>
      </c>
      <c r="C299" s="18" t="s">
        <v>267</v>
      </c>
      <c r="D299" s="20" t="s">
        <v>1556</v>
      </c>
      <c r="E299" s="19">
        <v>0</v>
      </c>
      <c r="F299" s="20" t="s">
        <v>1556</v>
      </c>
      <c r="G299" s="21">
        <v>0</v>
      </c>
      <c r="H299" s="21">
        <v>0</v>
      </c>
      <c r="I299" s="14" t="s">
        <v>1561</v>
      </c>
      <c r="J299" s="21">
        <v>0</v>
      </c>
      <c r="K299" s="21">
        <v>0</v>
      </c>
      <c r="L299" s="24">
        <f t="shared" si="8"/>
        <v>0</v>
      </c>
    </row>
    <row r="300" spans="1:12" x14ac:dyDescent="0.25">
      <c r="A300" s="15">
        <f t="shared" si="9"/>
        <v>295</v>
      </c>
      <c r="B300" s="17">
        <v>5207</v>
      </c>
      <c r="C300" s="18" t="s">
        <v>268</v>
      </c>
      <c r="D300" s="20" t="s">
        <v>1556</v>
      </c>
      <c r="E300" s="19">
        <v>0</v>
      </c>
      <c r="F300" s="20" t="s">
        <v>1556</v>
      </c>
      <c r="G300" s="21">
        <v>0</v>
      </c>
      <c r="H300" s="21">
        <v>0</v>
      </c>
      <c r="I300" s="14" t="s">
        <v>1561</v>
      </c>
      <c r="J300" s="21">
        <v>0</v>
      </c>
      <c r="K300" s="21">
        <v>0</v>
      </c>
      <c r="L300" s="24">
        <f t="shared" si="8"/>
        <v>0</v>
      </c>
    </row>
    <row r="301" spans="1:12" x14ac:dyDescent="0.25">
      <c r="A301" s="15">
        <f t="shared" si="9"/>
        <v>296</v>
      </c>
      <c r="B301" s="17">
        <v>5298</v>
      </c>
      <c r="C301" s="18" t="s">
        <v>612</v>
      </c>
      <c r="D301" s="20">
        <v>0.27568369999999998</v>
      </c>
      <c r="E301" s="19">
        <v>0</v>
      </c>
      <c r="F301" s="20">
        <v>0.27568369999999998</v>
      </c>
      <c r="G301" s="21">
        <v>109.55452220000001</v>
      </c>
      <c r="H301" s="21">
        <v>109.55452220000001</v>
      </c>
      <c r="I301" s="14" t="s">
        <v>1561</v>
      </c>
      <c r="J301" s="21">
        <v>27.587454120163169</v>
      </c>
      <c r="K301" s="21">
        <v>121.345456</v>
      </c>
      <c r="L301" s="24">
        <f t="shared" si="8"/>
        <v>1.1076261715465725</v>
      </c>
    </row>
    <row r="302" spans="1:12" x14ac:dyDescent="0.25">
      <c r="A302" s="15">
        <f t="shared" si="9"/>
        <v>297</v>
      </c>
      <c r="B302" s="17">
        <v>5388</v>
      </c>
      <c r="C302" s="18" t="s">
        <v>613</v>
      </c>
      <c r="D302" s="20" t="s">
        <v>1556</v>
      </c>
      <c r="E302" s="19">
        <v>0</v>
      </c>
      <c r="F302" s="20" t="s">
        <v>1556</v>
      </c>
      <c r="G302" s="21">
        <v>0</v>
      </c>
      <c r="H302" s="21">
        <v>0</v>
      </c>
      <c r="I302" s="14" t="s">
        <v>1561</v>
      </c>
      <c r="J302" s="21">
        <v>0</v>
      </c>
      <c r="K302" s="21">
        <v>0</v>
      </c>
      <c r="L302" s="24">
        <f t="shared" si="8"/>
        <v>0</v>
      </c>
    </row>
    <row r="303" spans="1:12" x14ac:dyDescent="0.25">
      <c r="A303" s="15">
        <f t="shared" si="9"/>
        <v>298</v>
      </c>
      <c r="B303" s="17">
        <v>5487</v>
      </c>
      <c r="C303" s="18" t="s">
        <v>1048</v>
      </c>
      <c r="D303" s="20">
        <v>6.908439999999999E-2</v>
      </c>
      <c r="E303" s="19">
        <v>0</v>
      </c>
      <c r="F303" s="20">
        <v>6.908439999999999E-2</v>
      </c>
      <c r="G303" s="21">
        <v>145.9313138</v>
      </c>
      <c r="H303" s="21">
        <v>94.427366100000015</v>
      </c>
      <c r="I303" s="14" t="s">
        <v>1561</v>
      </c>
      <c r="J303" s="21">
        <v>13.287738685408335</v>
      </c>
      <c r="K303" s="21">
        <v>98.361268100000004</v>
      </c>
      <c r="L303" s="24">
        <f t="shared" si="8"/>
        <v>0.67402441284675119</v>
      </c>
    </row>
    <row r="304" spans="1:12" x14ac:dyDescent="0.25">
      <c r="A304" s="15">
        <f t="shared" si="9"/>
        <v>299</v>
      </c>
      <c r="B304" s="17">
        <v>5503</v>
      </c>
      <c r="C304" s="18" t="s">
        <v>79</v>
      </c>
      <c r="D304" s="20" t="s">
        <v>1556</v>
      </c>
      <c r="E304" s="19">
        <v>0</v>
      </c>
      <c r="F304" s="20" t="s">
        <v>1556</v>
      </c>
      <c r="G304" s="21">
        <v>0</v>
      </c>
      <c r="H304" s="21">
        <v>0</v>
      </c>
      <c r="I304" s="14" t="s">
        <v>1561</v>
      </c>
      <c r="J304" s="21">
        <v>0</v>
      </c>
      <c r="K304" s="21">
        <v>0</v>
      </c>
      <c r="L304" s="24">
        <f t="shared" si="8"/>
        <v>0</v>
      </c>
    </row>
    <row r="305" spans="1:12" x14ac:dyDescent="0.25">
      <c r="A305" s="15">
        <f t="shared" si="9"/>
        <v>300</v>
      </c>
      <c r="B305" s="17">
        <v>5544</v>
      </c>
      <c r="C305" s="18" t="s">
        <v>614</v>
      </c>
      <c r="D305" s="20" t="s">
        <v>1556</v>
      </c>
      <c r="E305" s="19">
        <v>0</v>
      </c>
      <c r="F305" s="20" t="s">
        <v>1556</v>
      </c>
      <c r="G305" s="21">
        <v>0</v>
      </c>
      <c r="H305" s="21">
        <v>0</v>
      </c>
      <c r="I305" s="14" t="s">
        <v>1561</v>
      </c>
      <c r="J305" s="21">
        <v>0</v>
      </c>
      <c r="K305" s="21">
        <v>0</v>
      </c>
      <c r="L305" s="24">
        <f t="shared" si="8"/>
        <v>0</v>
      </c>
    </row>
    <row r="306" spans="1:12" x14ac:dyDescent="0.25">
      <c r="A306" s="15">
        <f t="shared" si="9"/>
        <v>301</v>
      </c>
      <c r="B306" s="17">
        <v>5592</v>
      </c>
      <c r="C306" s="18" t="s">
        <v>216</v>
      </c>
      <c r="D306" s="20" t="s">
        <v>1556</v>
      </c>
      <c r="E306" s="19">
        <v>0</v>
      </c>
      <c r="F306" s="20" t="s">
        <v>1556</v>
      </c>
      <c r="G306" s="21">
        <v>0</v>
      </c>
      <c r="H306" s="21">
        <v>0</v>
      </c>
      <c r="I306" s="14" t="s">
        <v>1561</v>
      </c>
      <c r="J306" s="21">
        <v>0</v>
      </c>
      <c r="K306" s="21">
        <v>0</v>
      </c>
      <c r="L306" s="24">
        <f t="shared" si="8"/>
        <v>0</v>
      </c>
    </row>
    <row r="307" spans="1:12" x14ac:dyDescent="0.25">
      <c r="A307" s="15">
        <f t="shared" si="9"/>
        <v>302</v>
      </c>
      <c r="B307" s="17">
        <v>5593</v>
      </c>
      <c r="C307" s="18" t="s">
        <v>615</v>
      </c>
      <c r="D307" s="20">
        <v>2.7813995</v>
      </c>
      <c r="E307" s="19">
        <v>0</v>
      </c>
      <c r="F307" s="20">
        <v>2.7813995</v>
      </c>
      <c r="G307" s="21">
        <v>509.39458100000002</v>
      </c>
      <c r="H307" s="21">
        <v>410.34429700000004</v>
      </c>
      <c r="I307" s="14" t="s">
        <v>1561</v>
      </c>
      <c r="J307" s="21">
        <v>248.23896403245735</v>
      </c>
      <c r="K307" s="21">
        <v>457.0742808</v>
      </c>
      <c r="L307" s="24">
        <f t="shared" si="8"/>
        <v>0.89728924854817016</v>
      </c>
    </row>
    <row r="308" spans="1:12" x14ac:dyDescent="0.25">
      <c r="A308" s="15">
        <f t="shared" si="9"/>
        <v>303</v>
      </c>
      <c r="B308" s="17">
        <v>5596</v>
      </c>
      <c r="C308" s="18" t="s">
        <v>269</v>
      </c>
      <c r="D308" s="20" t="s">
        <v>1556</v>
      </c>
      <c r="E308" s="19">
        <v>0</v>
      </c>
      <c r="F308" s="20" t="s">
        <v>1556</v>
      </c>
      <c r="G308" s="21">
        <v>0</v>
      </c>
      <c r="H308" s="21">
        <v>0</v>
      </c>
      <c r="I308" s="14" t="s">
        <v>1561</v>
      </c>
      <c r="J308" s="21">
        <v>0</v>
      </c>
      <c r="K308" s="21">
        <v>0</v>
      </c>
      <c r="L308" s="24">
        <f t="shared" si="8"/>
        <v>0</v>
      </c>
    </row>
    <row r="309" spans="1:12" x14ac:dyDescent="0.25">
      <c r="A309" s="15">
        <f t="shared" si="9"/>
        <v>304</v>
      </c>
      <c r="B309" s="17">
        <v>5599</v>
      </c>
      <c r="C309" s="18" t="s">
        <v>616</v>
      </c>
      <c r="D309" s="20" t="s">
        <v>1556</v>
      </c>
      <c r="E309" s="19">
        <v>0</v>
      </c>
      <c r="F309" s="20" t="s">
        <v>1556</v>
      </c>
      <c r="G309" s="21">
        <v>0.3049849</v>
      </c>
      <c r="H309" s="21">
        <v>0.3049849</v>
      </c>
      <c r="I309" s="14" t="s">
        <v>1561</v>
      </c>
      <c r="J309" s="21">
        <v>6.237112042500001E-2</v>
      </c>
      <c r="K309" s="21">
        <v>0.30525089999999999</v>
      </c>
      <c r="L309" s="24">
        <f t="shared" si="8"/>
        <v>1.000872174327319</v>
      </c>
    </row>
    <row r="310" spans="1:12" x14ac:dyDescent="0.25">
      <c r="A310" s="15">
        <f t="shared" si="9"/>
        <v>305</v>
      </c>
      <c r="B310" s="17">
        <v>5603</v>
      </c>
      <c r="C310" s="18" t="s">
        <v>1049</v>
      </c>
      <c r="D310" s="20" t="s">
        <v>1556</v>
      </c>
      <c r="E310" s="19">
        <v>0</v>
      </c>
      <c r="F310" s="20" t="s">
        <v>1556</v>
      </c>
      <c r="G310" s="21">
        <v>7.9996</v>
      </c>
      <c r="H310" s="21">
        <v>7.9996</v>
      </c>
      <c r="I310" s="14" t="s">
        <v>1561</v>
      </c>
      <c r="J310" s="21">
        <v>0.85837256668333328</v>
      </c>
      <c r="K310" s="21">
        <v>8.2963476000000007</v>
      </c>
      <c r="L310" s="24">
        <f t="shared" si="8"/>
        <v>1.0370953047652383</v>
      </c>
    </row>
    <row r="311" spans="1:12" x14ac:dyDescent="0.25">
      <c r="A311" s="15">
        <f t="shared" si="9"/>
        <v>306</v>
      </c>
      <c r="B311" s="17">
        <v>5776</v>
      </c>
      <c r="C311" s="18" t="s">
        <v>270</v>
      </c>
      <c r="D311" s="20" t="s">
        <v>1556</v>
      </c>
      <c r="E311" s="19">
        <v>0</v>
      </c>
      <c r="F311" s="20" t="s">
        <v>1556</v>
      </c>
      <c r="G311" s="21">
        <v>0</v>
      </c>
      <c r="H311" s="21">
        <v>0</v>
      </c>
      <c r="I311" s="14" t="s">
        <v>1561</v>
      </c>
      <c r="J311" s="21">
        <v>0</v>
      </c>
      <c r="K311" s="21">
        <v>0</v>
      </c>
      <c r="L311" s="24">
        <f t="shared" si="8"/>
        <v>0</v>
      </c>
    </row>
    <row r="312" spans="1:12" x14ac:dyDescent="0.25">
      <c r="A312" s="15">
        <f t="shared" si="9"/>
        <v>307</v>
      </c>
      <c r="B312" s="17">
        <v>5781</v>
      </c>
      <c r="C312" s="18" t="s">
        <v>1050</v>
      </c>
      <c r="D312" s="20">
        <v>11.538453000000001</v>
      </c>
      <c r="E312" s="19">
        <v>0</v>
      </c>
      <c r="F312" s="20">
        <v>11.538453000000001</v>
      </c>
      <c r="G312" s="21">
        <v>2519.0206534999998</v>
      </c>
      <c r="H312" s="21">
        <v>2357.7114105999999</v>
      </c>
      <c r="I312" s="14" t="s">
        <v>1561</v>
      </c>
      <c r="J312" s="21">
        <v>773.39153978410468</v>
      </c>
      <c r="K312" s="21">
        <v>2579.34809</v>
      </c>
      <c r="L312" s="24">
        <f t="shared" si="8"/>
        <v>1.0239487661270976</v>
      </c>
    </row>
    <row r="313" spans="1:12" x14ac:dyDescent="0.25">
      <c r="A313" s="15">
        <f t="shared" si="9"/>
        <v>308</v>
      </c>
      <c r="B313" s="17">
        <v>5867</v>
      </c>
      <c r="C313" s="18" t="s">
        <v>1051</v>
      </c>
      <c r="D313" s="20" t="s">
        <v>1556</v>
      </c>
      <c r="E313" s="19">
        <v>0</v>
      </c>
      <c r="F313" s="20" t="s">
        <v>1556</v>
      </c>
      <c r="G313" s="21">
        <v>0</v>
      </c>
      <c r="H313" s="21">
        <v>0</v>
      </c>
      <c r="I313" s="14" t="s">
        <v>1561</v>
      </c>
      <c r="J313" s="21">
        <v>0</v>
      </c>
      <c r="K313" s="21">
        <v>0</v>
      </c>
      <c r="L313" s="24">
        <f t="shared" si="8"/>
        <v>0</v>
      </c>
    </row>
    <row r="314" spans="1:12" x14ac:dyDescent="0.25">
      <c r="A314" s="15">
        <f t="shared" si="9"/>
        <v>309</v>
      </c>
      <c r="B314" s="17">
        <v>5873</v>
      </c>
      <c r="C314" s="18" t="s">
        <v>1052</v>
      </c>
      <c r="D314" s="20" t="s">
        <v>1556</v>
      </c>
      <c r="E314" s="19">
        <v>0</v>
      </c>
      <c r="F314" s="20" t="s">
        <v>1556</v>
      </c>
      <c r="G314" s="21">
        <v>0</v>
      </c>
      <c r="H314" s="21">
        <v>0</v>
      </c>
      <c r="I314" s="14" t="s">
        <v>1561</v>
      </c>
      <c r="J314" s="21">
        <v>0</v>
      </c>
      <c r="K314" s="21">
        <v>0</v>
      </c>
      <c r="L314" s="24">
        <f t="shared" si="8"/>
        <v>0</v>
      </c>
    </row>
    <row r="315" spans="1:12" x14ac:dyDescent="0.25">
      <c r="A315" s="15">
        <f t="shared" si="9"/>
        <v>310</v>
      </c>
      <c r="B315" s="17">
        <v>5875</v>
      </c>
      <c r="C315" s="18" t="s">
        <v>1053</v>
      </c>
      <c r="D315" s="20" t="s">
        <v>1556</v>
      </c>
      <c r="E315" s="19">
        <v>0</v>
      </c>
      <c r="F315" s="20" t="s">
        <v>1556</v>
      </c>
      <c r="G315" s="21">
        <v>0</v>
      </c>
      <c r="H315" s="21">
        <v>0</v>
      </c>
      <c r="I315" s="14" t="s">
        <v>1561</v>
      </c>
      <c r="J315" s="21">
        <v>0</v>
      </c>
      <c r="K315" s="21">
        <v>0</v>
      </c>
      <c r="L315" s="24">
        <f t="shared" si="8"/>
        <v>0</v>
      </c>
    </row>
    <row r="316" spans="1:12" x14ac:dyDescent="0.25">
      <c r="A316" s="15">
        <f t="shared" si="9"/>
        <v>311</v>
      </c>
      <c r="B316" s="17">
        <v>5877</v>
      </c>
      <c r="C316" s="18" t="s">
        <v>617</v>
      </c>
      <c r="D316" s="20">
        <v>0.14298620000000001</v>
      </c>
      <c r="E316" s="19">
        <v>0</v>
      </c>
      <c r="F316" s="20">
        <v>0.14298620000000001</v>
      </c>
      <c r="G316" s="21">
        <v>194.6507671</v>
      </c>
      <c r="H316" s="21">
        <v>151.95058460000001</v>
      </c>
      <c r="I316" s="14" t="s">
        <v>1561</v>
      </c>
      <c r="J316" s="21">
        <v>26.517120550851697</v>
      </c>
      <c r="K316" s="21">
        <v>157.76797490000001</v>
      </c>
      <c r="L316" s="24">
        <f t="shared" si="8"/>
        <v>0.81051812561801106</v>
      </c>
    </row>
    <row r="317" spans="1:12" x14ac:dyDescent="0.25">
      <c r="A317" s="15">
        <f t="shared" si="9"/>
        <v>312</v>
      </c>
      <c r="B317" s="17">
        <v>5882</v>
      </c>
      <c r="C317" s="18" t="s">
        <v>80</v>
      </c>
      <c r="D317" s="20">
        <v>5.0087700000000006E-2</v>
      </c>
      <c r="E317" s="19">
        <v>0</v>
      </c>
      <c r="F317" s="20">
        <v>5.0087700000000006E-2</v>
      </c>
      <c r="G317" s="21">
        <v>17.801488500000001</v>
      </c>
      <c r="H317" s="21">
        <v>9.0322449000000002</v>
      </c>
      <c r="I317" s="14" t="s">
        <v>1561</v>
      </c>
      <c r="J317" s="21">
        <v>6.8460043691270602</v>
      </c>
      <c r="K317" s="21">
        <v>10.104429</v>
      </c>
      <c r="L317" s="24">
        <f t="shared" si="8"/>
        <v>0.56761708438033143</v>
      </c>
    </row>
    <row r="318" spans="1:12" x14ac:dyDescent="0.25">
      <c r="A318" s="15">
        <f t="shared" si="9"/>
        <v>313</v>
      </c>
      <c r="B318" s="17">
        <v>5889</v>
      </c>
      <c r="C318" s="18" t="s">
        <v>344</v>
      </c>
      <c r="D318" s="20" t="s">
        <v>1556</v>
      </c>
      <c r="E318" s="19">
        <v>0</v>
      </c>
      <c r="F318" s="20" t="s">
        <v>1556</v>
      </c>
      <c r="G318" s="21">
        <v>0.499975</v>
      </c>
      <c r="H318" s="21">
        <v>0.499975</v>
      </c>
      <c r="I318" s="14" t="s">
        <v>1561</v>
      </c>
      <c r="J318" s="21">
        <v>2.397998925E-2</v>
      </c>
      <c r="K318" s="21">
        <v>0.54539879999999996</v>
      </c>
      <c r="L318" s="24">
        <f t="shared" si="8"/>
        <v>1.0908521426071303</v>
      </c>
    </row>
    <row r="319" spans="1:12" x14ac:dyDescent="0.25">
      <c r="A319" s="15">
        <f t="shared" si="9"/>
        <v>314</v>
      </c>
      <c r="B319" s="17">
        <v>5958</v>
      </c>
      <c r="C319" s="18" t="s">
        <v>217</v>
      </c>
      <c r="D319" s="20" t="s">
        <v>1556</v>
      </c>
      <c r="E319" s="19">
        <v>0</v>
      </c>
      <c r="F319" s="20" t="s">
        <v>1556</v>
      </c>
      <c r="G319" s="21">
        <v>0</v>
      </c>
      <c r="H319" s="21">
        <v>0</v>
      </c>
      <c r="I319" s="14" t="s">
        <v>1561</v>
      </c>
      <c r="J319" s="21">
        <v>0</v>
      </c>
      <c r="K319" s="21">
        <v>0</v>
      </c>
      <c r="L319" s="24">
        <f t="shared" si="8"/>
        <v>0</v>
      </c>
    </row>
    <row r="320" spans="1:12" x14ac:dyDescent="0.25">
      <c r="A320" s="15">
        <f t="shared" si="9"/>
        <v>315</v>
      </c>
      <c r="B320" s="17">
        <v>5962</v>
      </c>
      <c r="C320" s="18" t="s">
        <v>177</v>
      </c>
      <c r="D320" s="20" t="s">
        <v>1556</v>
      </c>
      <c r="E320" s="19">
        <v>0</v>
      </c>
      <c r="F320" s="20" t="s">
        <v>1556</v>
      </c>
      <c r="G320" s="21">
        <v>0</v>
      </c>
      <c r="H320" s="21">
        <v>0</v>
      </c>
      <c r="I320" s="14" t="s">
        <v>1561</v>
      </c>
      <c r="J320" s="21">
        <v>0</v>
      </c>
      <c r="K320" s="21">
        <v>0</v>
      </c>
      <c r="L320" s="24">
        <f t="shared" si="8"/>
        <v>0</v>
      </c>
    </row>
    <row r="321" spans="1:12" x14ac:dyDescent="0.25">
      <c r="A321" s="15">
        <f t="shared" si="9"/>
        <v>316</v>
      </c>
      <c r="B321" s="17">
        <v>5975</v>
      </c>
      <c r="C321" s="18" t="s">
        <v>271</v>
      </c>
      <c r="D321" s="20" t="s">
        <v>1556</v>
      </c>
      <c r="E321" s="19">
        <v>0</v>
      </c>
      <c r="F321" s="20" t="s">
        <v>1556</v>
      </c>
      <c r="G321" s="21">
        <v>5.3297334999999997</v>
      </c>
      <c r="H321" s="21">
        <v>5.1297334999999995</v>
      </c>
      <c r="I321" s="14" t="s">
        <v>1561</v>
      </c>
      <c r="J321" s="21">
        <v>1.6797222383532258</v>
      </c>
      <c r="K321" s="21">
        <v>5.4369743000000001</v>
      </c>
      <c r="L321" s="24">
        <f t="shared" si="8"/>
        <v>1.0201212312022732</v>
      </c>
    </row>
    <row r="322" spans="1:12" x14ac:dyDescent="0.25">
      <c r="A322" s="15">
        <f t="shared" si="9"/>
        <v>317</v>
      </c>
      <c r="B322" s="17">
        <v>5990</v>
      </c>
      <c r="C322" s="18" t="s">
        <v>345</v>
      </c>
      <c r="D322" s="20" t="s">
        <v>1556</v>
      </c>
      <c r="E322" s="19">
        <v>0</v>
      </c>
      <c r="F322" s="20" t="s">
        <v>1556</v>
      </c>
      <c r="G322" s="21">
        <v>0</v>
      </c>
      <c r="H322" s="21">
        <v>0</v>
      </c>
      <c r="I322" s="14" t="s">
        <v>1561</v>
      </c>
      <c r="J322" s="21">
        <v>0</v>
      </c>
      <c r="K322" s="21">
        <v>0</v>
      </c>
      <c r="L322" s="24">
        <f t="shared" si="8"/>
        <v>0</v>
      </c>
    </row>
    <row r="323" spans="1:12" x14ac:dyDescent="0.25">
      <c r="A323" s="15">
        <f t="shared" si="9"/>
        <v>318</v>
      </c>
      <c r="B323" s="17">
        <v>6083</v>
      </c>
      <c r="C323" s="18" t="s">
        <v>1054</v>
      </c>
      <c r="D323" s="20" t="s">
        <v>1556</v>
      </c>
      <c r="E323" s="19">
        <v>0</v>
      </c>
      <c r="F323" s="20" t="s">
        <v>1556</v>
      </c>
      <c r="G323" s="21">
        <v>0</v>
      </c>
      <c r="H323" s="21">
        <v>0</v>
      </c>
      <c r="I323" s="14" t="s">
        <v>1561</v>
      </c>
      <c r="J323" s="21">
        <v>0</v>
      </c>
      <c r="K323" s="21">
        <v>0</v>
      </c>
      <c r="L323" s="24">
        <f t="shared" si="8"/>
        <v>0</v>
      </c>
    </row>
    <row r="324" spans="1:12" x14ac:dyDescent="0.25">
      <c r="A324" s="15">
        <f t="shared" si="9"/>
        <v>319</v>
      </c>
      <c r="B324" s="17">
        <v>6085</v>
      </c>
      <c r="C324" s="18" t="s">
        <v>346</v>
      </c>
      <c r="D324" s="20">
        <v>0.13530059999999999</v>
      </c>
      <c r="E324" s="19">
        <v>0</v>
      </c>
      <c r="F324" s="20">
        <v>0.13530059999999999</v>
      </c>
      <c r="G324" s="21">
        <v>236.98880210000002</v>
      </c>
      <c r="H324" s="21">
        <v>187.2567564</v>
      </c>
      <c r="I324" s="14" t="s">
        <v>1561</v>
      </c>
      <c r="J324" s="21">
        <v>38.135570434646851</v>
      </c>
      <c r="K324" s="21">
        <v>190.73010539999999</v>
      </c>
      <c r="L324" s="24">
        <f t="shared" si="8"/>
        <v>0.80480640312920493</v>
      </c>
    </row>
    <row r="325" spans="1:12" x14ac:dyDescent="0.25">
      <c r="A325" s="15">
        <f t="shared" si="9"/>
        <v>320</v>
      </c>
      <c r="B325" s="17">
        <v>6089</v>
      </c>
      <c r="C325" s="18" t="s">
        <v>1055</v>
      </c>
      <c r="D325" s="20" t="s">
        <v>1556</v>
      </c>
      <c r="E325" s="19">
        <v>0</v>
      </c>
      <c r="F325" s="20" t="s">
        <v>1556</v>
      </c>
      <c r="G325" s="21">
        <v>0</v>
      </c>
      <c r="H325" s="21">
        <v>0</v>
      </c>
      <c r="I325" s="14" t="s">
        <v>1561</v>
      </c>
      <c r="J325" s="21">
        <v>0</v>
      </c>
      <c r="K325" s="21">
        <v>0</v>
      </c>
      <c r="L325" s="24">
        <f t="shared" si="8"/>
        <v>0</v>
      </c>
    </row>
    <row r="326" spans="1:12" x14ac:dyDescent="0.25">
      <c r="A326" s="15">
        <f t="shared" si="9"/>
        <v>321</v>
      </c>
      <c r="B326" s="17">
        <v>6233</v>
      </c>
      <c r="C326" s="18" t="s">
        <v>178</v>
      </c>
      <c r="D326" s="20">
        <v>2.60763E-2</v>
      </c>
      <c r="E326" s="19">
        <v>0</v>
      </c>
      <c r="F326" s="20">
        <v>2.60763E-2</v>
      </c>
      <c r="G326" s="21">
        <v>7.5996199999999998</v>
      </c>
      <c r="H326" s="21">
        <v>7.5996199999999998</v>
      </c>
      <c r="I326" s="14" t="s">
        <v>1561</v>
      </c>
      <c r="J326" s="21">
        <v>3.196211674449462</v>
      </c>
      <c r="K326" s="21">
        <v>7.9963043000000003</v>
      </c>
      <c r="L326" s="24">
        <f t="shared" si="8"/>
        <v>1.0521979125272054</v>
      </c>
    </row>
    <row r="327" spans="1:12" x14ac:dyDescent="0.25">
      <c r="A327" s="15">
        <f t="shared" si="9"/>
        <v>322</v>
      </c>
      <c r="B327" s="17">
        <v>6336</v>
      </c>
      <c r="C327" s="18" t="s">
        <v>1056</v>
      </c>
      <c r="D327" s="20" t="s">
        <v>1556</v>
      </c>
      <c r="E327" s="19">
        <v>0</v>
      </c>
      <c r="F327" s="20" t="s">
        <v>1556</v>
      </c>
      <c r="G327" s="21">
        <v>0</v>
      </c>
      <c r="H327" s="21">
        <v>0</v>
      </c>
      <c r="I327" s="14" t="s">
        <v>1561</v>
      </c>
      <c r="J327" s="21">
        <v>0</v>
      </c>
      <c r="K327" s="21">
        <v>0</v>
      </c>
      <c r="L327" s="24">
        <f t="shared" ref="L327:L390" si="10">+IFERROR(K327/G327,0)</f>
        <v>0</v>
      </c>
    </row>
    <row r="328" spans="1:12" x14ac:dyDescent="0.25">
      <c r="A328" s="15">
        <f t="shared" ref="A328:A391" si="11">A327+1</f>
        <v>323</v>
      </c>
      <c r="B328" s="17">
        <v>6353</v>
      </c>
      <c r="C328" s="18" t="s">
        <v>101</v>
      </c>
      <c r="D328" s="20">
        <v>1.4509900000000001E-2</v>
      </c>
      <c r="E328" s="19">
        <v>0</v>
      </c>
      <c r="F328" s="20">
        <v>1.4509900000000001E-2</v>
      </c>
      <c r="G328" s="21">
        <v>12.5093745</v>
      </c>
      <c r="H328" s="21">
        <v>12.5093745</v>
      </c>
      <c r="I328" s="14" t="s">
        <v>1561</v>
      </c>
      <c r="J328" s="21">
        <v>2.1117213800109322</v>
      </c>
      <c r="K328" s="21">
        <v>13.919893600000002</v>
      </c>
      <c r="L328" s="24">
        <f t="shared" si="10"/>
        <v>1.1127569647866888</v>
      </c>
    </row>
    <row r="329" spans="1:12" x14ac:dyDescent="0.25">
      <c r="A329" s="15">
        <f t="shared" si="11"/>
        <v>324</v>
      </c>
      <c r="B329" s="17">
        <v>6531</v>
      </c>
      <c r="C329" s="18" t="s">
        <v>618</v>
      </c>
      <c r="D329" s="20">
        <v>0.69174139999999995</v>
      </c>
      <c r="E329" s="19">
        <v>0</v>
      </c>
      <c r="F329" s="20">
        <v>0.69174139999999995</v>
      </c>
      <c r="G329" s="21">
        <v>73.420600199999996</v>
      </c>
      <c r="H329" s="21">
        <v>52.197508899999995</v>
      </c>
      <c r="I329" s="14" t="s">
        <v>1561</v>
      </c>
      <c r="J329" s="21">
        <v>29.408756221876796</v>
      </c>
      <c r="K329" s="21">
        <v>56.579564699999999</v>
      </c>
      <c r="L329" s="24">
        <f t="shared" si="10"/>
        <v>0.77062247578847776</v>
      </c>
    </row>
    <row r="330" spans="1:12" x14ac:dyDescent="0.25">
      <c r="A330" s="15">
        <f t="shared" si="11"/>
        <v>325</v>
      </c>
      <c r="B330" s="17">
        <v>6575</v>
      </c>
      <c r="C330" s="18" t="s">
        <v>437</v>
      </c>
      <c r="D330" s="20" t="s">
        <v>1556</v>
      </c>
      <c r="E330" s="19">
        <v>0</v>
      </c>
      <c r="F330" s="20" t="s">
        <v>1556</v>
      </c>
      <c r="G330" s="21">
        <v>0</v>
      </c>
      <c r="H330" s="21">
        <v>0</v>
      </c>
      <c r="I330" s="14" t="s">
        <v>1561</v>
      </c>
      <c r="J330" s="21">
        <v>0</v>
      </c>
      <c r="K330" s="21">
        <v>0</v>
      </c>
      <c r="L330" s="24">
        <f t="shared" si="10"/>
        <v>0</v>
      </c>
    </row>
    <row r="331" spans="1:12" x14ac:dyDescent="0.25">
      <c r="A331" s="15">
        <f t="shared" si="11"/>
        <v>326</v>
      </c>
      <c r="B331" s="17">
        <v>6613</v>
      </c>
      <c r="C331" s="18" t="s">
        <v>619</v>
      </c>
      <c r="D331" s="20" t="s">
        <v>1556</v>
      </c>
      <c r="E331" s="19">
        <v>0</v>
      </c>
      <c r="F331" s="20" t="s">
        <v>1556</v>
      </c>
      <c r="G331" s="21">
        <v>0</v>
      </c>
      <c r="H331" s="21">
        <v>0</v>
      </c>
      <c r="I331" s="14" t="s">
        <v>1561</v>
      </c>
      <c r="J331" s="21">
        <v>0</v>
      </c>
      <c r="K331" s="21">
        <v>0</v>
      </c>
      <c r="L331" s="24">
        <f t="shared" si="10"/>
        <v>0</v>
      </c>
    </row>
    <row r="332" spans="1:12" x14ac:dyDescent="0.25">
      <c r="A332" s="15">
        <f t="shared" si="11"/>
        <v>327</v>
      </c>
      <c r="B332" s="17">
        <v>6623</v>
      </c>
      <c r="C332" s="18" t="s">
        <v>620</v>
      </c>
      <c r="D332" s="20" t="s">
        <v>1556</v>
      </c>
      <c r="E332" s="19">
        <v>0</v>
      </c>
      <c r="F332" s="20" t="s">
        <v>1556</v>
      </c>
      <c r="G332" s="21">
        <v>0</v>
      </c>
      <c r="H332" s="21">
        <v>0</v>
      </c>
      <c r="I332" s="14" t="s">
        <v>1561</v>
      </c>
      <c r="J332" s="21">
        <v>0</v>
      </c>
      <c r="K332" s="21">
        <v>0</v>
      </c>
      <c r="L332" s="24">
        <f t="shared" si="10"/>
        <v>0</v>
      </c>
    </row>
    <row r="333" spans="1:12" x14ac:dyDescent="0.25">
      <c r="A333" s="15">
        <f t="shared" si="11"/>
        <v>328</v>
      </c>
      <c r="B333" s="17">
        <v>6711</v>
      </c>
      <c r="C333" s="18" t="s">
        <v>1057</v>
      </c>
      <c r="D333" s="20" t="s">
        <v>1556</v>
      </c>
      <c r="E333" s="19">
        <v>0</v>
      </c>
      <c r="F333" s="20" t="s">
        <v>1556</v>
      </c>
      <c r="G333" s="21">
        <v>0</v>
      </c>
      <c r="H333" s="21">
        <v>0</v>
      </c>
      <c r="I333" s="14" t="s">
        <v>1561</v>
      </c>
      <c r="J333" s="21">
        <v>0</v>
      </c>
      <c r="K333" s="21">
        <v>0</v>
      </c>
      <c r="L333" s="24">
        <f t="shared" si="10"/>
        <v>0</v>
      </c>
    </row>
    <row r="334" spans="1:12" x14ac:dyDescent="0.25">
      <c r="A334" s="15">
        <f t="shared" si="11"/>
        <v>329</v>
      </c>
      <c r="B334" s="17">
        <v>6714</v>
      </c>
      <c r="C334" s="18" t="s">
        <v>347</v>
      </c>
      <c r="D334" s="20" t="s">
        <v>1556</v>
      </c>
      <c r="E334" s="19">
        <v>0</v>
      </c>
      <c r="F334" s="20" t="s">
        <v>1556</v>
      </c>
      <c r="G334" s="21">
        <v>0</v>
      </c>
      <c r="H334" s="21">
        <v>0</v>
      </c>
      <c r="I334" s="14" t="s">
        <v>1561</v>
      </c>
      <c r="J334" s="21">
        <v>0</v>
      </c>
      <c r="K334" s="21">
        <v>0</v>
      </c>
      <c r="L334" s="24">
        <f t="shared" si="10"/>
        <v>0</v>
      </c>
    </row>
    <row r="335" spans="1:12" x14ac:dyDescent="0.25">
      <c r="A335" s="15">
        <f t="shared" si="11"/>
        <v>330</v>
      </c>
      <c r="B335" s="17">
        <v>6941</v>
      </c>
      <c r="C335" s="18" t="s">
        <v>1058</v>
      </c>
      <c r="D335" s="20" t="s">
        <v>1556</v>
      </c>
      <c r="E335" s="19">
        <v>0</v>
      </c>
      <c r="F335" s="20" t="s">
        <v>1556</v>
      </c>
      <c r="G335" s="21">
        <v>0</v>
      </c>
      <c r="H335" s="21">
        <v>0</v>
      </c>
      <c r="I335" s="14" t="s">
        <v>1561</v>
      </c>
      <c r="J335" s="21">
        <v>0</v>
      </c>
      <c r="K335" s="21">
        <v>0</v>
      </c>
      <c r="L335" s="24">
        <f t="shared" si="10"/>
        <v>0</v>
      </c>
    </row>
    <row r="336" spans="1:12" x14ac:dyDescent="0.25">
      <c r="A336" s="15">
        <f t="shared" si="11"/>
        <v>331</v>
      </c>
      <c r="B336" s="17">
        <v>6948</v>
      </c>
      <c r="C336" s="18" t="s">
        <v>1059</v>
      </c>
      <c r="D336" s="20" t="s">
        <v>1556</v>
      </c>
      <c r="E336" s="19">
        <v>0</v>
      </c>
      <c r="F336" s="20" t="s">
        <v>1556</v>
      </c>
      <c r="G336" s="21">
        <v>0</v>
      </c>
      <c r="H336" s="21">
        <v>0</v>
      </c>
      <c r="I336" s="14" t="s">
        <v>1561</v>
      </c>
      <c r="J336" s="21">
        <v>0</v>
      </c>
      <c r="K336" s="21">
        <v>0</v>
      </c>
      <c r="L336" s="24">
        <f t="shared" si="10"/>
        <v>0</v>
      </c>
    </row>
    <row r="337" spans="1:12" x14ac:dyDescent="0.25">
      <c r="A337" s="15">
        <f t="shared" si="11"/>
        <v>332</v>
      </c>
      <c r="B337" s="17">
        <v>7007</v>
      </c>
      <c r="C337" s="18" t="s">
        <v>81</v>
      </c>
      <c r="D337" s="20" t="s">
        <v>1556</v>
      </c>
      <c r="E337" s="19">
        <v>0</v>
      </c>
      <c r="F337" s="20" t="s">
        <v>1556</v>
      </c>
      <c r="G337" s="21">
        <v>0</v>
      </c>
      <c r="H337" s="21">
        <v>0</v>
      </c>
      <c r="I337" s="14" t="s">
        <v>1561</v>
      </c>
      <c r="J337" s="21">
        <v>0</v>
      </c>
      <c r="K337" s="21">
        <v>0</v>
      </c>
      <c r="L337" s="24">
        <f t="shared" si="10"/>
        <v>0</v>
      </c>
    </row>
    <row r="338" spans="1:12" x14ac:dyDescent="0.25">
      <c r="A338" s="15">
        <f t="shared" si="11"/>
        <v>333</v>
      </c>
      <c r="B338" s="17">
        <v>7011</v>
      </c>
      <c r="C338" s="18" t="s">
        <v>218</v>
      </c>
      <c r="D338" s="20" t="s">
        <v>1556</v>
      </c>
      <c r="E338" s="19">
        <v>0</v>
      </c>
      <c r="F338" s="20" t="s">
        <v>1556</v>
      </c>
      <c r="G338" s="21">
        <v>0</v>
      </c>
      <c r="H338" s="21">
        <v>0</v>
      </c>
      <c r="I338" s="14" t="s">
        <v>1561</v>
      </c>
      <c r="J338" s="21">
        <v>0</v>
      </c>
      <c r="K338" s="21">
        <v>0</v>
      </c>
      <c r="L338" s="24">
        <f t="shared" si="10"/>
        <v>0</v>
      </c>
    </row>
    <row r="339" spans="1:12" x14ac:dyDescent="0.25">
      <c r="A339" s="15">
        <f t="shared" si="11"/>
        <v>334</v>
      </c>
      <c r="B339" s="17">
        <v>7151</v>
      </c>
      <c r="C339" s="18" t="s">
        <v>102</v>
      </c>
      <c r="D339" s="20" t="s">
        <v>1556</v>
      </c>
      <c r="E339" s="19">
        <v>0</v>
      </c>
      <c r="F339" s="20" t="s">
        <v>1556</v>
      </c>
      <c r="G339" s="21">
        <v>0</v>
      </c>
      <c r="H339" s="21">
        <v>0</v>
      </c>
      <c r="I339" s="14" t="s">
        <v>1561</v>
      </c>
      <c r="J339" s="21">
        <v>0</v>
      </c>
      <c r="K339" s="21">
        <v>0</v>
      </c>
      <c r="L339" s="24">
        <f t="shared" si="10"/>
        <v>0</v>
      </c>
    </row>
    <row r="340" spans="1:12" x14ac:dyDescent="0.25">
      <c r="A340" s="15">
        <f t="shared" si="11"/>
        <v>335</v>
      </c>
      <c r="B340" s="17">
        <v>7160</v>
      </c>
      <c r="C340" s="18" t="s">
        <v>1060</v>
      </c>
      <c r="D340" s="20" t="s">
        <v>1556</v>
      </c>
      <c r="E340" s="19">
        <v>0</v>
      </c>
      <c r="F340" s="20" t="s">
        <v>1556</v>
      </c>
      <c r="G340" s="21">
        <v>0</v>
      </c>
      <c r="H340" s="21">
        <v>0</v>
      </c>
      <c r="I340" s="14" t="s">
        <v>1561</v>
      </c>
      <c r="J340" s="21">
        <v>0</v>
      </c>
      <c r="K340" s="21">
        <v>0</v>
      </c>
      <c r="L340" s="24">
        <f t="shared" si="10"/>
        <v>0</v>
      </c>
    </row>
    <row r="341" spans="1:12" x14ac:dyDescent="0.25">
      <c r="A341" s="15">
        <f t="shared" si="11"/>
        <v>336</v>
      </c>
      <c r="B341" s="17">
        <v>7319</v>
      </c>
      <c r="C341" s="18" t="s">
        <v>1061</v>
      </c>
      <c r="D341" s="20">
        <v>3.2757600000000005E-2</v>
      </c>
      <c r="E341" s="19">
        <v>0</v>
      </c>
      <c r="F341" s="20">
        <v>3.2757600000000005E-2</v>
      </c>
      <c r="G341" s="21">
        <v>50.157492000000005</v>
      </c>
      <c r="H341" s="21">
        <v>50.157492000000005</v>
      </c>
      <c r="I341" s="14" t="s">
        <v>1561</v>
      </c>
      <c r="J341" s="21">
        <v>4.5904664610273302</v>
      </c>
      <c r="K341" s="21">
        <v>51.758909199999998</v>
      </c>
      <c r="L341" s="24">
        <f t="shared" si="10"/>
        <v>1.031927776612116</v>
      </c>
    </row>
    <row r="342" spans="1:12" x14ac:dyDescent="0.25">
      <c r="A342" s="15">
        <f t="shared" si="11"/>
        <v>337</v>
      </c>
      <c r="B342" s="17">
        <v>7434</v>
      </c>
      <c r="C342" s="18" t="s">
        <v>621</v>
      </c>
      <c r="D342" s="20">
        <v>1.7153399999999999E-2</v>
      </c>
      <c r="E342" s="19">
        <v>0</v>
      </c>
      <c r="F342" s="20">
        <v>1.7153399999999999E-2</v>
      </c>
      <c r="G342" s="21">
        <v>9.8395080000000004</v>
      </c>
      <c r="H342" s="21">
        <v>8.3195072999999997</v>
      </c>
      <c r="I342" s="14" t="s">
        <v>1561</v>
      </c>
      <c r="J342" s="21">
        <v>2.5447471522512548</v>
      </c>
      <c r="K342" s="21">
        <v>8.5561696999999999</v>
      </c>
      <c r="L342" s="24">
        <f t="shared" si="10"/>
        <v>0.86957291970289563</v>
      </c>
    </row>
    <row r="343" spans="1:12" x14ac:dyDescent="0.25">
      <c r="A343" s="15">
        <f t="shared" si="11"/>
        <v>338</v>
      </c>
      <c r="B343" s="17">
        <v>7466</v>
      </c>
      <c r="C343" s="18" t="s">
        <v>1062</v>
      </c>
      <c r="D343" s="20" t="s">
        <v>1556</v>
      </c>
      <c r="E343" s="19">
        <v>0</v>
      </c>
      <c r="F343" s="20" t="s">
        <v>1556</v>
      </c>
      <c r="G343" s="21">
        <v>0</v>
      </c>
      <c r="H343" s="21">
        <v>0</v>
      </c>
      <c r="I343" s="14" t="s">
        <v>1561</v>
      </c>
      <c r="J343" s="21">
        <v>0</v>
      </c>
      <c r="K343" s="21">
        <v>0</v>
      </c>
      <c r="L343" s="24">
        <f t="shared" si="10"/>
        <v>0</v>
      </c>
    </row>
    <row r="344" spans="1:12" x14ac:dyDescent="0.25">
      <c r="A344" s="15">
        <f t="shared" si="11"/>
        <v>339</v>
      </c>
      <c r="B344" s="17">
        <v>7493</v>
      </c>
      <c r="C344" s="18" t="s">
        <v>507</v>
      </c>
      <c r="D344" s="20">
        <v>119.7977437</v>
      </c>
      <c r="E344" s="19">
        <v>0</v>
      </c>
      <c r="F344" s="20">
        <v>119.7977437</v>
      </c>
      <c r="G344" s="21">
        <v>4970.5544106999996</v>
      </c>
      <c r="H344" s="21">
        <v>4419.1914067999996</v>
      </c>
      <c r="I344" s="14" t="s">
        <v>1561</v>
      </c>
      <c r="J344" s="21">
        <v>7449.2225951552455</v>
      </c>
      <c r="K344" s="21">
        <v>8517.9809879999993</v>
      </c>
      <c r="L344" s="24">
        <f t="shared" si="10"/>
        <v>1.7136883100330891</v>
      </c>
    </row>
    <row r="345" spans="1:12" x14ac:dyDescent="0.25">
      <c r="A345" s="15">
        <f t="shared" si="11"/>
        <v>340</v>
      </c>
      <c r="B345" s="17">
        <v>7518</v>
      </c>
      <c r="C345" s="18" t="s">
        <v>348</v>
      </c>
      <c r="D345" s="20">
        <v>1.4937600000000001E-2</v>
      </c>
      <c r="E345" s="19">
        <v>0</v>
      </c>
      <c r="F345" s="20">
        <v>1.4937600000000001E-2</v>
      </c>
      <c r="G345" s="21">
        <v>6.4960224000000002</v>
      </c>
      <c r="H345" s="21">
        <v>4.0996663</v>
      </c>
      <c r="I345" s="14" t="s">
        <v>1561</v>
      </c>
      <c r="J345" s="21">
        <v>2.4038154416307345</v>
      </c>
      <c r="K345" s="21">
        <v>4.4677040999999997</v>
      </c>
      <c r="L345" s="24">
        <f t="shared" si="10"/>
        <v>0.68775995907895882</v>
      </c>
    </row>
    <row r="346" spans="1:12" x14ac:dyDescent="0.25">
      <c r="A346" s="15">
        <f t="shared" si="11"/>
        <v>341</v>
      </c>
      <c r="B346" s="17">
        <v>7584</v>
      </c>
      <c r="C346" s="18" t="s">
        <v>833</v>
      </c>
      <c r="D346" s="20">
        <v>0.1496884</v>
      </c>
      <c r="E346" s="19">
        <v>0</v>
      </c>
      <c r="F346" s="20">
        <v>0.1496884</v>
      </c>
      <c r="G346" s="21">
        <v>31.008449500000001</v>
      </c>
      <c r="H346" s="21">
        <v>31.008449500000001</v>
      </c>
      <c r="I346" s="14" t="s">
        <v>1561</v>
      </c>
      <c r="J346" s="21">
        <v>12.954255289479031</v>
      </c>
      <c r="K346" s="21">
        <v>42.288623700000002</v>
      </c>
      <c r="L346" s="24">
        <f t="shared" si="10"/>
        <v>1.363777434276422</v>
      </c>
    </row>
    <row r="347" spans="1:12" x14ac:dyDescent="0.25">
      <c r="A347" s="15">
        <f t="shared" si="11"/>
        <v>342</v>
      </c>
      <c r="B347" s="17">
        <v>7632</v>
      </c>
      <c r="C347" s="18" t="s">
        <v>349</v>
      </c>
      <c r="D347" s="20">
        <v>9.6501999999999994E-3</v>
      </c>
      <c r="E347" s="19">
        <v>0</v>
      </c>
      <c r="F347" s="20">
        <v>9.6501999999999994E-3</v>
      </c>
      <c r="G347" s="21">
        <v>0.99895009999999995</v>
      </c>
      <c r="H347" s="21">
        <v>0.99895009999999995</v>
      </c>
      <c r="I347" s="14" t="s">
        <v>1561</v>
      </c>
      <c r="J347" s="21">
        <v>0.78468575474578839</v>
      </c>
      <c r="K347" s="21">
        <v>1.1847958000000001</v>
      </c>
      <c r="L347" s="24">
        <f t="shared" si="10"/>
        <v>1.1860410244715929</v>
      </c>
    </row>
    <row r="348" spans="1:12" x14ac:dyDescent="0.25">
      <c r="A348" s="15">
        <f t="shared" si="11"/>
        <v>343</v>
      </c>
      <c r="B348" s="17">
        <v>7743</v>
      </c>
      <c r="C348" s="18" t="s">
        <v>622</v>
      </c>
      <c r="D348" s="20">
        <v>7.4884199999999998E-2</v>
      </c>
      <c r="E348" s="19">
        <v>0</v>
      </c>
      <c r="F348" s="20">
        <v>7.4884199999999998E-2</v>
      </c>
      <c r="G348" s="21">
        <v>14.499275000000001</v>
      </c>
      <c r="H348" s="21">
        <v>14.499275000000001</v>
      </c>
      <c r="I348" s="14" t="s">
        <v>1561</v>
      </c>
      <c r="J348" s="21">
        <v>8.5113186279348536</v>
      </c>
      <c r="K348" s="21">
        <v>16.5148969</v>
      </c>
      <c r="L348" s="24">
        <f t="shared" si="10"/>
        <v>1.1390153576644348</v>
      </c>
    </row>
    <row r="349" spans="1:12" x14ac:dyDescent="0.25">
      <c r="A349" s="15">
        <f t="shared" si="11"/>
        <v>344</v>
      </c>
      <c r="B349" s="17">
        <v>7839</v>
      </c>
      <c r="C349" s="18" t="s">
        <v>623</v>
      </c>
      <c r="D349" s="20" t="s">
        <v>1556</v>
      </c>
      <c r="E349" s="19">
        <v>0</v>
      </c>
      <c r="F349" s="20" t="s">
        <v>1556</v>
      </c>
      <c r="G349" s="21">
        <v>0</v>
      </c>
      <c r="H349" s="21">
        <v>0</v>
      </c>
      <c r="I349" s="14" t="s">
        <v>1561</v>
      </c>
      <c r="J349" s="21">
        <v>0</v>
      </c>
      <c r="K349" s="21">
        <v>0</v>
      </c>
      <c r="L349" s="24">
        <f t="shared" si="10"/>
        <v>0</v>
      </c>
    </row>
    <row r="350" spans="1:12" x14ac:dyDescent="0.25">
      <c r="A350" s="15">
        <f t="shared" si="11"/>
        <v>345</v>
      </c>
      <c r="B350" s="17">
        <v>7858</v>
      </c>
      <c r="C350" s="18" t="s">
        <v>82</v>
      </c>
      <c r="D350" s="20">
        <v>2.2579999999999999E-2</v>
      </c>
      <c r="E350" s="19">
        <v>0</v>
      </c>
      <c r="F350" s="20">
        <v>2.2579999999999999E-2</v>
      </c>
      <c r="G350" s="21">
        <v>12.242256100000001</v>
      </c>
      <c r="H350" s="21">
        <v>11.639387900000001</v>
      </c>
      <c r="I350" s="14" t="s">
        <v>1561</v>
      </c>
      <c r="J350" s="21">
        <v>6.0766833314716848</v>
      </c>
      <c r="K350" s="21">
        <v>11.9841292</v>
      </c>
      <c r="L350" s="24">
        <f t="shared" si="10"/>
        <v>0.97891508739144895</v>
      </c>
    </row>
    <row r="351" spans="1:12" x14ac:dyDescent="0.25">
      <c r="A351" s="15">
        <f t="shared" si="11"/>
        <v>346</v>
      </c>
      <c r="B351" s="17">
        <v>7893</v>
      </c>
      <c r="C351" s="18" t="s">
        <v>83</v>
      </c>
      <c r="D351" s="20" t="s">
        <v>1556</v>
      </c>
      <c r="E351" s="19">
        <v>0</v>
      </c>
      <c r="F351" s="20" t="s">
        <v>1556</v>
      </c>
      <c r="G351" s="21">
        <v>0</v>
      </c>
      <c r="H351" s="21">
        <v>0</v>
      </c>
      <c r="I351" s="14" t="s">
        <v>1561</v>
      </c>
      <c r="J351" s="21">
        <v>0</v>
      </c>
      <c r="K351" s="21">
        <v>0</v>
      </c>
      <c r="L351" s="24">
        <f t="shared" si="10"/>
        <v>0</v>
      </c>
    </row>
    <row r="352" spans="1:12" x14ac:dyDescent="0.25">
      <c r="A352" s="15">
        <f t="shared" si="11"/>
        <v>347</v>
      </c>
      <c r="B352" s="17">
        <v>7895</v>
      </c>
      <c r="C352" s="18" t="s">
        <v>624</v>
      </c>
      <c r="D352" s="20">
        <v>2.47642E-2</v>
      </c>
      <c r="E352" s="19">
        <v>0</v>
      </c>
      <c r="F352" s="20">
        <v>2.47642E-2</v>
      </c>
      <c r="G352" s="21">
        <v>4.5497725000000004</v>
      </c>
      <c r="H352" s="21">
        <v>4.5497725000000004</v>
      </c>
      <c r="I352" s="14" t="s">
        <v>1561</v>
      </c>
      <c r="J352" s="21">
        <v>1.2014896253698926</v>
      </c>
      <c r="K352" s="21">
        <v>4.5599125000000003</v>
      </c>
      <c r="L352" s="24">
        <f t="shared" si="10"/>
        <v>1.0022286828627145</v>
      </c>
    </row>
    <row r="353" spans="1:12" x14ac:dyDescent="0.25">
      <c r="A353" s="15">
        <f t="shared" si="11"/>
        <v>348</v>
      </c>
      <c r="B353" s="17">
        <v>8061</v>
      </c>
      <c r="C353" s="18" t="s">
        <v>1063</v>
      </c>
      <c r="D353" s="20" t="s">
        <v>1556</v>
      </c>
      <c r="E353" s="19">
        <v>0</v>
      </c>
      <c r="F353" s="20" t="s">
        <v>1556</v>
      </c>
      <c r="G353" s="21">
        <v>0</v>
      </c>
      <c r="H353" s="21">
        <v>0</v>
      </c>
      <c r="I353" s="14" t="s">
        <v>1561</v>
      </c>
      <c r="J353" s="21">
        <v>0</v>
      </c>
      <c r="K353" s="21">
        <v>0</v>
      </c>
      <c r="L353" s="24">
        <f t="shared" si="10"/>
        <v>0</v>
      </c>
    </row>
    <row r="354" spans="1:12" x14ac:dyDescent="0.25">
      <c r="A354" s="15">
        <f t="shared" si="11"/>
        <v>349</v>
      </c>
      <c r="B354" s="17">
        <v>8181</v>
      </c>
      <c r="C354" s="18" t="s">
        <v>84</v>
      </c>
      <c r="D354" s="20">
        <v>2.8975999999999997E-3</v>
      </c>
      <c r="E354" s="19">
        <v>0</v>
      </c>
      <c r="F354" s="20">
        <v>2.8975999999999997E-3</v>
      </c>
      <c r="G354" s="21">
        <v>6.6197000000000001E-3</v>
      </c>
      <c r="H354" s="21">
        <v>6.6197000000000001E-3</v>
      </c>
      <c r="I354" s="14" t="s">
        <v>1561</v>
      </c>
      <c r="J354" s="21">
        <v>0.8062306331108422</v>
      </c>
      <c r="K354" s="21">
        <v>0.87170100000000006</v>
      </c>
      <c r="L354" s="24">
        <f t="shared" si="10"/>
        <v>131.6828557185371</v>
      </c>
    </row>
    <row r="355" spans="1:12" x14ac:dyDescent="0.25">
      <c r="A355" s="15">
        <f t="shared" si="11"/>
        <v>350</v>
      </c>
      <c r="B355" s="17">
        <v>8229</v>
      </c>
      <c r="C355" s="18" t="s">
        <v>625</v>
      </c>
      <c r="D355" s="20" t="s">
        <v>1556</v>
      </c>
      <c r="E355" s="19">
        <v>0</v>
      </c>
      <c r="F355" s="20" t="s">
        <v>1556</v>
      </c>
      <c r="G355" s="21">
        <v>0</v>
      </c>
      <c r="H355" s="21">
        <v>0</v>
      </c>
      <c r="I355" s="14" t="s">
        <v>1561</v>
      </c>
      <c r="J355" s="21">
        <v>0</v>
      </c>
      <c r="K355" s="21">
        <v>0</v>
      </c>
      <c r="L355" s="24">
        <f t="shared" si="10"/>
        <v>0</v>
      </c>
    </row>
    <row r="356" spans="1:12" x14ac:dyDescent="0.25">
      <c r="A356" s="15">
        <f t="shared" si="11"/>
        <v>351</v>
      </c>
      <c r="B356" s="17">
        <v>8337</v>
      </c>
      <c r="C356" s="18" t="s">
        <v>1064</v>
      </c>
      <c r="D356" s="20" t="s">
        <v>1556</v>
      </c>
      <c r="E356" s="19">
        <v>0</v>
      </c>
      <c r="F356" s="20" t="s">
        <v>1556</v>
      </c>
      <c r="G356" s="21">
        <v>1.9999</v>
      </c>
      <c r="H356" s="21">
        <v>1.9999</v>
      </c>
      <c r="I356" s="14" t="s">
        <v>1561</v>
      </c>
      <c r="J356" s="21">
        <v>0.14498034976666668</v>
      </c>
      <c r="K356" s="21">
        <v>2.0586545000000003</v>
      </c>
      <c r="L356" s="24">
        <f t="shared" si="10"/>
        <v>1.0293787189359469</v>
      </c>
    </row>
    <row r="357" spans="1:12" x14ac:dyDescent="0.25">
      <c r="A357" s="15">
        <f t="shared" si="11"/>
        <v>352</v>
      </c>
      <c r="B357" s="17">
        <v>8418</v>
      </c>
      <c r="C357" s="18" t="s">
        <v>179</v>
      </c>
      <c r="D357" s="20" t="s">
        <v>1556</v>
      </c>
      <c r="E357" s="19">
        <v>0</v>
      </c>
      <c r="F357" s="20" t="s">
        <v>1556</v>
      </c>
      <c r="G357" s="21">
        <v>0</v>
      </c>
      <c r="H357" s="21">
        <v>0</v>
      </c>
      <c r="I357" s="14" t="s">
        <v>1561</v>
      </c>
      <c r="J357" s="21">
        <v>0</v>
      </c>
      <c r="K357" s="21">
        <v>0</v>
      </c>
      <c r="L357" s="24">
        <f t="shared" si="10"/>
        <v>0</v>
      </c>
    </row>
    <row r="358" spans="1:12" x14ac:dyDescent="0.25">
      <c r="A358" s="15">
        <f t="shared" si="11"/>
        <v>353</v>
      </c>
      <c r="B358" s="17">
        <v>8466</v>
      </c>
      <c r="C358" s="18" t="s">
        <v>626</v>
      </c>
      <c r="D358" s="20" t="s">
        <v>1556</v>
      </c>
      <c r="E358" s="19">
        <v>0</v>
      </c>
      <c r="F358" s="20" t="s">
        <v>1556</v>
      </c>
      <c r="G358" s="21">
        <v>0</v>
      </c>
      <c r="H358" s="21">
        <v>0</v>
      </c>
      <c r="I358" s="14" t="s">
        <v>1561</v>
      </c>
      <c r="J358" s="21">
        <v>0</v>
      </c>
      <c r="K358" s="21">
        <v>0</v>
      </c>
      <c r="L358" s="24">
        <f t="shared" si="10"/>
        <v>0</v>
      </c>
    </row>
    <row r="359" spans="1:12" x14ac:dyDescent="0.25">
      <c r="A359" s="15">
        <f t="shared" si="11"/>
        <v>354</v>
      </c>
      <c r="B359" s="17">
        <v>8490</v>
      </c>
      <c r="C359" s="18" t="s">
        <v>1065</v>
      </c>
      <c r="D359" s="20" t="s">
        <v>1556</v>
      </c>
      <c r="E359" s="19">
        <v>0</v>
      </c>
      <c r="F359" s="20" t="s">
        <v>1556</v>
      </c>
      <c r="G359" s="21">
        <v>0</v>
      </c>
      <c r="H359" s="21">
        <v>0</v>
      </c>
      <c r="I359" s="14" t="s">
        <v>1561</v>
      </c>
      <c r="J359" s="21">
        <v>0</v>
      </c>
      <c r="K359" s="21">
        <v>0</v>
      </c>
      <c r="L359" s="24">
        <f t="shared" si="10"/>
        <v>0</v>
      </c>
    </row>
    <row r="360" spans="1:12" x14ac:dyDescent="0.25">
      <c r="A360" s="15">
        <f t="shared" si="11"/>
        <v>355</v>
      </c>
      <c r="B360" s="17">
        <v>8596</v>
      </c>
      <c r="C360" s="18" t="s">
        <v>1066</v>
      </c>
      <c r="D360" s="20" t="s">
        <v>1556</v>
      </c>
      <c r="E360" s="19">
        <v>0</v>
      </c>
      <c r="F360" s="20" t="s">
        <v>1556</v>
      </c>
      <c r="G360" s="21">
        <v>0</v>
      </c>
      <c r="H360" s="21">
        <v>0</v>
      </c>
      <c r="I360" s="14" t="s">
        <v>1561</v>
      </c>
      <c r="J360" s="21">
        <v>0</v>
      </c>
      <c r="K360" s="21">
        <v>0</v>
      </c>
      <c r="L360" s="24">
        <f t="shared" si="10"/>
        <v>0</v>
      </c>
    </row>
    <row r="361" spans="1:12" x14ac:dyDescent="0.25">
      <c r="A361" s="15">
        <f t="shared" si="11"/>
        <v>356</v>
      </c>
      <c r="B361" s="17">
        <v>8664</v>
      </c>
      <c r="C361" s="18" t="s">
        <v>627</v>
      </c>
      <c r="D361" s="20" t="s">
        <v>1556</v>
      </c>
      <c r="E361" s="19">
        <v>0</v>
      </c>
      <c r="F361" s="20" t="s">
        <v>1556</v>
      </c>
      <c r="G361" s="21">
        <v>0</v>
      </c>
      <c r="H361" s="21">
        <v>0</v>
      </c>
      <c r="I361" s="14" t="s">
        <v>1561</v>
      </c>
      <c r="J361" s="21">
        <v>0</v>
      </c>
      <c r="K361" s="21">
        <v>0</v>
      </c>
      <c r="L361" s="24">
        <f t="shared" si="10"/>
        <v>0</v>
      </c>
    </row>
    <row r="362" spans="1:12" x14ac:dyDescent="0.25">
      <c r="A362" s="15">
        <f t="shared" si="11"/>
        <v>357</v>
      </c>
      <c r="B362" s="17">
        <v>8718</v>
      </c>
      <c r="C362" s="18" t="s">
        <v>1067</v>
      </c>
      <c r="D362" s="20" t="s">
        <v>1556</v>
      </c>
      <c r="E362" s="19">
        <v>0</v>
      </c>
      <c r="F362" s="20" t="s">
        <v>1556</v>
      </c>
      <c r="G362" s="21">
        <v>0</v>
      </c>
      <c r="H362" s="21">
        <v>0</v>
      </c>
      <c r="I362" s="14" t="s">
        <v>1561</v>
      </c>
      <c r="J362" s="21">
        <v>0</v>
      </c>
      <c r="K362" s="21">
        <v>0</v>
      </c>
      <c r="L362" s="24">
        <f t="shared" si="10"/>
        <v>0</v>
      </c>
    </row>
    <row r="363" spans="1:12" x14ac:dyDescent="0.25">
      <c r="A363" s="15">
        <f t="shared" si="11"/>
        <v>358</v>
      </c>
      <c r="B363" s="17">
        <v>8783</v>
      </c>
      <c r="C363" s="18" t="s">
        <v>272</v>
      </c>
      <c r="D363" s="20">
        <v>3.9149999999999998E-4</v>
      </c>
      <c r="E363" s="19">
        <v>0</v>
      </c>
      <c r="F363" s="20">
        <v>3.9149999999999998E-4</v>
      </c>
      <c r="G363" s="21">
        <v>0.19999</v>
      </c>
      <c r="H363" s="21">
        <v>0.19999</v>
      </c>
      <c r="I363" s="14" t="s">
        <v>1561</v>
      </c>
      <c r="J363" s="21">
        <v>3.5006942155734758E-2</v>
      </c>
      <c r="K363" s="21">
        <v>0.21078069999999999</v>
      </c>
      <c r="L363" s="24">
        <f t="shared" si="10"/>
        <v>1.0539561978098904</v>
      </c>
    </row>
    <row r="364" spans="1:12" x14ac:dyDescent="0.25">
      <c r="A364" s="15">
        <f t="shared" si="11"/>
        <v>359</v>
      </c>
      <c r="B364" s="17">
        <v>8798</v>
      </c>
      <c r="C364" s="18" t="s">
        <v>1068</v>
      </c>
      <c r="D364" s="20" t="s">
        <v>1556</v>
      </c>
      <c r="E364" s="19">
        <v>0</v>
      </c>
      <c r="F364" s="20" t="s">
        <v>1556</v>
      </c>
      <c r="G364" s="21">
        <v>0</v>
      </c>
      <c r="H364" s="21">
        <v>0</v>
      </c>
      <c r="I364" s="14" t="s">
        <v>1561</v>
      </c>
      <c r="J364" s="21">
        <v>0</v>
      </c>
      <c r="K364" s="21">
        <v>0</v>
      </c>
      <c r="L364" s="24">
        <f t="shared" si="10"/>
        <v>0</v>
      </c>
    </row>
    <row r="365" spans="1:12" x14ac:dyDescent="0.25">
      <c r="A365" s="15">
        <f t="shared" si="11"/>
        <v>360</v>
      </c>
      <c r="B365" s="17">
        <v>8812</v>
      </c>
      <c r="C365" s="18" t="s">
        <v>628</v>
      </c>
      <c r="D365" s="20">
        <v>2.9488200000000003E-2</v>
      </c>
      <c r="E365" s="19">
        <v>0</v>
      </c>
      <c r="F365" s="20">
        <v>2.9488200000000003E-2</v>
      </c>
      <c r="G365" s="21">
        <v>10.1544927</v>
      </c>
      <c r="H365" s="21">
        <v>9.4717995999999989</v>
      </c>
      <c r="I365" s="14" t="s">
        <v>1561</v>
      </c>
      <c r="J365" s="21">
        <v>3.4044043374370063</v>
      </c>
      <c r="K365" s="21">
        <v>11.3317677</v>
      </c>
      <c r="L365" s="24">
        <f t="shared" si="10"/>
        <v>1.1159363677517833</v>
      </c>
    </row>
    <row r="366" spans="1:12" x14ac:dyDescent="0.25">
      <c r="A366" s="15">
        <f t="shared" si="11"/>
        <v>361</v>
      </c>
      <c r="B366" s="17">
        <v>9095</v>
      </c>
      <c r="C366" s="18" t="s">
        <v>1069</v>
      </c>
      <c r="D366" s="20">
        <v>0.4802014</v>
      </c>
      <c r="E366" s="19">
        <v>0</v>
      </c>
      <c r="F366" s="20">
        <v>0.4802014</v>
      </c>
      <c r="G366" s="21">
        <v>78.591885899999994</v>
      </c>
      <c r="H366" s="21">
        <v>43.046216099999995</v>
      </c>
      <c r="I366" s="14" t="s">
        <v>1561</v>
      </c>
      <c r="J366" s="21">
        <v>37.653836956063515</v>
      </c>
      <c r="K366" s="21">
        <v>54.164265899999997</v>
      </c>
      <c r="L366" s="24">
        <f t="shared" si="10"/>
        <v>0.6891839441150247</v>
      </c>
    </row>
    <row r="367" spans="1:12" x14ac:dyDescent="0.25">
      <c r="A367" s="15">
        <f t="shared" si="11"/>
        <v>362</v>
      </c>
      <c r="B367" s="17">
        <v>9156</v>
      </c>
      <c r="C367" s="18" t="s">
        <v>350</v>
      </c>
      <c r="D367" s="20" t="s">
        <v>1556</v>
      </c>
      <c r="E367" s="19">
        <v>0</v>
      </c>
      <c r="F367" s="20" t="s">
        <v>1556</v>
      </c>
      <c r="G367" s="21">
        <v>0</v>
      </c>
      <c r="H367" s="21">
        <v>0</v>
      </c>
      <c r="I367" s="14" t="s">
        <v>1561</v>
      </c>
      <c r="J367" s="21">
        <v>0</v>
      </c>
      <c r="K367" s="21">
        <v>0</v>
      </c>
      <c r="L367" s="24">
        <f t="shared" si="10"/>
        <v>0</v>
      </c>
    </row>
    <row r="368" spans="1:12" x14ac:dyDescent="0.25">
      <c r="A368" s="15">
        <f t="shared" si="11"/>
        <v>363</v>
      </c>
      <c r="B368" s="17">
        <v>9244</v>
      </c>
      <c r="C368" s="18" t="s">
        <v>629</v>
      </c>
      <c r="D368" s="20" t="s">
        <v>1556</v>
      </c>
      <c r="E368" s="19">
        <v>0</v>
      </c>
      <c r="F368" s="20" t="s">
        <v>1556</v>
      </c>
      <c r="G368" s="21">
        <v>0</v>
      </c>
      <c r="H368" s="21">
        <v>0</v>
      </c>
      <c r="I368" s="14" t="s">
        <v>1561</v>
      </c>
      <c r="J368" s="21">
        <v>0</v>
      </c>
      <c r="K368" s="21">
        <v>0</v>
      </c>
      <c r="L368" s="24">
        <f t="shared" si="10"/>
        <v>0</v>
      </c>
    </row>
    <row r="369" spans="1:12" x14ac:dyDescent="0.25">
      <c r="A369" s="15">
        <f t="shared" si="11"/>
        <v>364</v>
      </c>
      <c r="B369" s="17">
        <v>9270</v>
      </c>
      <c r="C369" s="18" t="s">
        <v>219</v>
      </c>
      <c r="D369" s="20">
        <v>0.88624330000000007</v>
      </c>
      <c r="E369" s="19">
        <v>0</v>
      </c>
      <c r="F369" s="20">
        <v>0.88624330000000007</v>
      </c>
      <c r="G369" s="21">
        <v>91.49589970000001</v>
      </c>
      <c r="H369" s="21">
        <v>72.943052500000007</v>
      </c>
      <c r="I369" s="14" t="s">
        <v>1561</v>
      </c>
      <c r="J369" s="21">
        <v>52.75236934919468</v>
      </c>
      <c r="K369" s="21">
        <v>80.149527199999994</v>
      </c>
      <c r="L369" s="24">
        <f t="shared" si="10"/>
        <v>0.87599037183958073</v>
      </c>
    </row>
    <row r="370" spans="1:12" x14ac:dyDescent="0.25">
      <c r="A370" s="15">
        <f t="shared" si="11"/>
        <v>365</v>
      </c>
      <c r="B370" s="17">
        <v>9308</v>
      </c>
      <c r="C370" s="18" t="s">
        <v>273</v>
      </c>
      <c r="D370" s="20" t="s">
        <v>1556</v>
      </c>
      <c r="E370" s="19">
        <v>0</v>
      </c>
      <c r="F370" s="20" t="s">
        <v>1556</v>
      </c>
      <c r="G370" s="21">
        <v>0</v>
      </c>
      <c r="H370" s="21">
        <v>0</v>
      </c>
      <c r="I370" s="14" t="s">
        <v>1561</v>
      </c>
      <c r="J370" s="21">
        <v>0</v>
      </c>
      <c r="K370" s="21">
        <v>0</v>
      </c>
      <c r="L370" s="24">
        <f t="shared" si="10"/>
        <v>0</v>
      </c>
    </row>
    <row r="371" spans="1:12" x14ac:dyDescent="0.25">
      <c r="A371" s="15">
        <f t="shared" si="11"/>
        <v>366</v>
      </c>
      <c r="B371" s="17">
        <v>9342</v>
      </c>
      <c r="C371" s="18" t="s">
        <v>508</v>
      </c>
      <c r="D371" s="20" t="s">
        <v>1556</v>
      </c>
      <c r="E371" s="19">
        <v>0</v>
      </c>
      <c r="F371" s="20" t="s">
        <v>1556</v>
      </c>
      <c r="G371" s="21">
        <v>0</v>
      </c>
      <c r="H371" s="21">
        <v>0</v>
      </c>
      <c r="I371" s="14" t="s">
        <v>1561</v>
      </c>
      <c r="J371" s="21">
        <v>0</v>
      </c>
      <c r="K371" s="21">
        <v>0</v>
      </c>
      <c r="L371" s="24">
        <f t="shared" si="10"/>
        <v>0</v>
      </c>
    </row>
    <row r="372" spans="1:12" x14ac:dyDescent="0.25">
      <c r="A372" s="15">
        <f t="shared" si="11"/>
        <v>367</v>
      </c>
      <c r="B372" s="17">
        <v>9348</v>
      </c>
      <c r="C372" s="18" t="s">
        <v>630</v>
      </c>
      <c r="D372" s="20" t="s">
        <v>1556</v>
      </c>
      <c r="E372" s="19">
        <v>0</v>
      </c>
      <c r="F372" s="20" t="s">
        <v>1556</v>
      </c>
      <c r="G372" s="21">
        <v>0</v>
      </c>
      <c r="H372" s="21">
        <v>0</v>
      </c>
      <c r="I372" s="14" t="s">
        <v>1561</v>
      </c>
      <c r="J372" s="21">
        <v>0</v>
      </c>
      <c r="K372" s="21">
        <v>0</v>
      </c>
      <c r="L372" s="24">
        <f t="shared" si="10"/>
        <v>0</v>
      </c>
    </row>
    <row r="373" spans="1:12" x14ac:dyDescent="0.25">
      <c r="A373" s="15">
        <f t="shared" si="11"/>
        <v>368</v>
      </c>
      <c r="B373" s="17">
        <v>9374</v>
      </c>
      <c r="C373" s="18" t="s">
        <v>631</v>
      </c>
      <c r="D373" s="20">
        <v>2.68393E-2</v>
      </c>
      <c r="E373" s="19">
        <v>0</v>
      </c>
      <c r="F373" s="20">
        <v>2.68393E-2</v>
      </c>
      <c r="G373" s="21">
        <v>4.9997499999999997</v>
      </c>
      <c r="H373" s="21">
        <v>4.9997499999999997</v>
      </c>
      <c r="I373" s="14" t="s">
        <v>1561</v>
      </c>
      <c r="J373" s="21">
        <v>3.1212841902866488</v>
      </c>
      <c r="K373" s="21">
        <v>5.1848698999999998</v>
      </c>
      <c r="L373" s="24">
        <f t="shared" si="10"/>
        <v>1.0370258312915646</v>
      </c>
    </row>
    <row r="374" spans="1:12" x14ac:dyDescent="0.25">
      <c r="A374" s="15">
        <f t="shared" si="11"/>
        <v>369</v>
      </c>
      <c r="B374" s="17">
        <v>9534</v>
      </c>
      <c r="C374" s="18" t="s">
        <v>351</v>
      </c>
      <c r="D374" s="20" t="s">
        <v>1556</v>
      </c>
      <c r="E374" s="19">
        <v>0</v>
      </c>
      <c r="F374" s="20" t="s">
        <v>1556</v>
      </c>
      <c r="G374" s="21">
        <v>0</v>
      </c>
      <c r="H374" s="21">
        <v>0</v>
      </c>
      <c r="I374" s="14" t="s">
        <v>1561</v>
      </c>
      <c r="J374" s="21">
        <v>0</v>
      </c>
      <c r="K374" s="21">
        <v>0</v>
      </c>
      <c r="L374" s="24">
        <f t="shared" si="10"/>
        <v>0</v>
      </c>
    </row>
    <row r="375" spans="1:12" x14ac:dyDescent="0.25">
      <c r="A375" s="15">
        <f t="shared" si="11"/>
        <v>370</v>
      </c>
      <c r="B375" s="17">
        <v>9587</v>
      </c>
      <c r="C375" s="18" t="s">
        <v>632</v>
      </c>
      <c r="D375" s="20" t="s">
        <v>1556</v>
      </c>
      <c r="E375" s="19">
        <v>0</v>
      </c>
      <c r="F375" s="20" t="s">
        <v>1556</v>
      </c>
      <c r="G375" s="21">
        <v>3.9998</v>
      </c>
      <c r="H375" s="21">
        <v>3.9998</v>
      </c>
      <c r="I375" s="14" t="s">
        <v>1561</v>
      </c>
      <c r="J375" s="21">
        <v>2.1612733600000003E-2</v>
      </c>
      <c r="K375" s="21">
        <v>4.0401368</v>
      </c>
      <c r="L375" s="24">
        <f t="shared" si="10"/>
        <v>1.0100847042352117</v>
      </c>
    </row>
    <row r="376" spans="1:12" x14ac:dyDescent="0.25">
      <c r="A376" s="15">
        <f t="shared" si="11"/>
        <v>371</v>
      </c>
      <c r="B376" s="17">
        <v>9611</v>
      </c>
      <c r="C376" s="18" t="s">
        <v>1070</v>
      </c>
      <c r="D376" s="20" t="s">
        <v>1556</v>
      </c>
      <c r="E376" s="19">
        <v>0</v>
      </c>
      <c r="F376" s="20" t="s">
        <v>1556</v>
      </c>
      <c r="G376" s="21">
        <v>0</v>
      </c>
      <c r="H376" s="21">
        <v>0</v>
      </c>
      <c r="I376" s="14" t="s">
        <v>1561</v>
      </c>
      <c r="J376" s="21">
        <v>0</v>
      </c>
      <c r="K376" s="21">
        <v>0</v>
      </c>
      <c r="L376" s="24">
        <f t="shared" si="10"/>
        <v>0</v>
      </c>
    </row>
    <row r="377" spans="1:12" x14ac:dyDescent="0.25">
      <c r="A377" s="15">
        <f t="shared" si="11"/>
        <v>372</v>
      </c>
      <c r="B377" s="17">
        <v>9635</v>
      </c>
      <c r="C377" s="18" t="s">
        <v>1071</v>
      </c>
      <c r="D377" s="20">
        <v>8.244099999999999E-3</v>
      </c>
      <c r="E377" s="19">
        <v>0</v>
      </c>
      <c r="F377" s="20">
        <v>8.244099999999999E-3</v>
      </c>
      <c r="G377" s="21">
        <v>0</v>
      </c>
      <c r="H377" s="21">
        <v>0</v>
      </c>
      <c r="I377" s="14" t="s">
        <v>1561</v>
      </c>
      <c r="J377" s="21">
        <v>0.79243385498933683</v>
      </c>
      <c r="K377" s="21">
        <v>0.90700119999999995</v>
      </c>
      <c r="L377" s="24">
        <f t="shared" si="10"/>
        <v>0</v>
      </c>
    </row>
    <row r="378" spans="1:12" x14ac:dyDescent="0.25">
      <c r="A378" s="15">
        <f t="shared" si="11"/>
        <v>373</v>
      </c>
      <c r="B378" s="17">
        <v>9760</v>
      </c>
      <c r="C378" s="18" t="s">
        <v>85</v>
      </c>
      <c r="D378" s="20" t="s">
        <v>1556</v>
      </c>
      <c r="E378" s="19">
        <v>0</v>
      </c>
      <c r="F378" s="20" t="s">
        <v>1556</v>
      </c>
      <c r="G378" s="21">
        <v>0.99895009999999995</v>
      </c>
      <c r="H378" s="21">
        <v>0.99895009999999995</v>
      </c>
      <c r="I378" s="14" t="s">
        <v>1561</v>
      </c>
      <c r="J378" s="21">
        <v>0.75072741206648741</v>
      </c>
      <c r="K378" s="21">
        <v>1.1523599</v>
      </c>
      <c r="L378" s="24">
        <f t="shared" si="10"/>
        <v>1.153571034228837</v>
      </c>
    </row>
    <row r="379" spans="1:12" x14ac:dyDescent="0.25">
      <c r="A379" s="15">
        <f t="shared" si="11"/>
        <v>374</v>
      </c>
      <c r="B379" s="17">
        <v>9794</v>
      </c>
      <c r="C379" s="18" t="s">
        <v>633</v>
      </c>
      <c r="D379" s="20" t="s">
        <v>1556</v>
      </c>
      <c r="E379" s="19">
        <v>0</v>
      </c>
      <c r="F379" s="20" t="s">
        <v>1556</v>
      </c>
      <c r="G379" s="21">
        <v>0</v>
      </c>
      <c r="H379" s="21">
        <v>0</v>
      </c>
      <c r="I379" s="14" t="s">
        <v>1561</v>
      </c>
      <c r="J379" s="21">
        <v>0</v>
      </c>
      <c r="K379" s="21">
        <v>0</v>
      </c>
      <c r="L379" s="24">
        <f t="shared" si="10"/>
        <v>0</v>
      </c>
    </row>
    <row r="380" spans="1:12" x14ac:dyDescent="0.25">
      <c r="A380" s="15">
        <f t="shared" si="11"/>
        <v>375</v>
      </c>
      <c r="B380" s="17">
        <v>9807</v>
      </c>
      <c r="C380" s="18" t="s">
        <v>86</v>
      </c>
      <c r="D380" s="20">
        <v>6.5471668000000003</v>
      </c>
      <c r="E380" s="19">
        <v>0</v>
      </c>
      <c r="F380" s="20">
        <v>6.5471668000000003</v>
      </c>
      <c r="G380" s="21">
        <v>925.16084549999994</v>
      </c>
      <c r="H380" s="21">
        <v>797.79803069999991</v>
      </c>
      <c r="I380" s="14" t="s">
        <v>1561</v>
      </c>
      <c r="J380" s="21">
        <v>455.2869517707756</v>
      </c>
      <c r="K380" s="21">
        <v>941.5044934</v>
      </c>
      <c r="L380" s="24">
        <f t="shared" si="10"/>
        <v>1.0176657366981059</v>
      </c>
    </row>
    <row r="381" spans="1:12" x14ac:dyDescent="0.25">
      <c r="A381" s="15">
        <f t="shared" si="11"/>
        <v>376</v>
      </c>
      <c r="B381" s="17">
        <v>9859</v>
      </c>
      <c r="C381" s="18" t="s">
        <v>634</v>
      </c>
      <c r="D381" s="20" t="s">
        <v>1556</v>
      </c>
      <c r="E381" s="19">
        <v>0</v>
      </c>
      <c r="F381" s="20" t="s">
        <v>1556</v>
      </c>
      <c r="G381" s="21">
        <v>19.644128200000001</v>
      </c>
      <c r="H381" s="21">
        <v>18.944121200000001</v>
      </c>
      <c r="I381" s="14" t="s">
        <v>1561</v>
      </c>
      <c r="J381" s="21">
        <v>8.2328320236107526</v>
      </c>
      <c r="K381" s="21">
        <v>21.537176800000001</v>
      </c>
      <c r="L381" s="24">
        <f t="shared" si="10"/>
        <v>1.0963671475123034</v>
      </c>
    </row>
    <row r="382" spans="1:12" x14ac:dyDescent="0.25">
      <c r="A382" s="15">
        <f t="shared" si="11"/>
        <v>377</v>
      </c>
      <c r="B382" s="17">
        <v>9945</v>
      </c>
      <c r="C382" s="18" t="s">
        <v>1072</v>
      </c>
      <c r="D382" s="20" t="s">
        <v>1556</v>
      </c>
      <c r="E382" s="19">
        <v>0</v>
      </c>
      <c r="F382" s="20" t="s">
        <v>1556</v>
      </c>
      <c r="G382" s="21">
        <v>0</v>
      </c>
      <c r="H382" s="21">
        <v>0</v>
      </c>
      <c r="I382" s="14" t="s">
        <v>1561</v>
      </c>
      <c r="J382" s="21">
        <v>0</v>
      </c>
      <c r="K382" s="21">
        <v>0</v>
      </c>
      <c r="L382" s="24">
        <f t="shared" si="10"/>
        <v>0</v>
      </c>
    </row>
    <row r="383" spans="1:12" x14ac:dyDescent="0.25">
      <c r="A383" s="15">
        <f t="shared" si="11"/>
        <v>378</v>
      </c>
      <c r="B383" s="17">
        <v>9951</v>
      </c>
      <c r="C383" s="18" t="s">
        <v>1073</v>
      </c>
      <c r="D383" s="20" t="s">
        <v>1556</v>
      </c>
      <c r="E383" s="19">
        <v>0</v>
      </c>
      <c r="F383" s="20" t="s">
        <v>1556</v>
      </c>
      <c r="G383" s="21">
        <v>0</v>
      </c>
      <c r="H383" s="21">
        <v>0</v>
      </c>
      <c r="I383" s="14" t="s">
        <v>1561</v>
      </c>
      <c r="J383" s="21">
        <v>0</v>
      </c>
      <c r="K383" s="21">
        <v>0</v>
      </c>
      <c r="L383" s="24">
        <f t="shared" si="10"/>
        <v>0</v>
      </c>
    </row>
    <row r="384" spans="1:12" x14ac:dyDescent="0.25">
      <c r="A384" s="15">
        <f t="shared" si="11"/>
        <v>379</v>
      </c>
      <c r="B384" s="17">
        <v>9992</v>
      </c>
      <c r="C384" s="18" t="s">
        <v>87</v>
      </c>
      <c r="D384" s="20">
        <v>12.776962900000001</v>
      </c>
      <c r="E384" s="19">
        <v>0</v>
      </c>
      <c r="F384" s="20">
        <v>12.776962900000001</v>
      </c>
      <c r="G384" s="21">
        <v>2173.7116147000002</v>
      </c>
      <c r="H384" s="21">
        <v>1374.1775782999998</v>
      </c>
      <c r="I384" s="14" t="s">
        <v>1561</v>
      </c>
      <c r="J384" s="21">
        <v>898.78335886770549</v>
      </c>
      <c r="K384" s="21">
        <v>1932.3093753000001</v>
      </c>
      <c r="L384" s="24">
        <f t="shared" si="10"/>
        <v>0.88894467979676473</v>
      </c>
    </row>
    <row r="385" spans="1:12" x14ac:dyDescent="0.25">
      <c r="A385" s="15">
        <f t="shared" si="11"/>
        <v>380</v>
      </c>
      <c r="B385" s="17">
        <v>10021</v>
      </c>
      <c r="C385" s="18" t="s">
        <v>635</v>
      </c>
      <c r="D385" s="20">
        <v>4.4837000000000002E-3</v>
      </c>
      <c r="E385" s="19">
        <v>0</v>
      </c>
      <c r="F385" s="20">
        <v>4.4837000000000002E-3</v>
      </c>
      <c r="G385" s="21">
        <v>1.499925</v>
      </c>
      <c r="H385" s="21">
        <v>1.499925</v>
      </c>
      <c r="I385" s="14" t="s">
        <v>1561</v>
      </c>
      <c r="J385" s="21">
        <v>0.52195074128396057</v>
      </c>
      <c r="K385" s="21">
        <v>1.5178737</v>
      </c>
      <c r="L385" s="24">
        <f t="shared" si="10"/>
        <v>1.0119663983199161</v>
      </c>
    </row>
    <row r="386" spans="1:12" x14ac:dyDescent="0.25">
      <c r="A386" s="15">
        <f t="shared" si="11"/>
        <v>381</v>
      </c>
      <c r="B386" s="17">
        <v>10164</v>
      </c>
      <c r="C386" s="18" t="s">
        <v>636</v>
      </c>
      <c r="D386" s="20" t="s">
        <v>1556</v>
      </c>
      <c r="E386" s="19">
        <v>0</v>
      </c>
      <c r="F386" s="20" t="s">
        <v>1556</v>
      </c>
      <c r="G386" s="21">
        <v>0</v>
      </c>
      <c r="H386" s="21">
        <v>0</v>
      </c>
      <c r="I386" s="14" t="s">
        <v>1561</v>
      </c>
      <c r="J386" s="21">
        <v>0</v>
      </c>
      <c r="K386" s="21">
        <v>0</v>
      </c>
      <c r="L386" s="24">
        <f t="shared" si="10"/>
        <v>0</v>
      </c>
    </row>
    <row r="387" spans="1:12" x14ac:dyDescent="0.25">
      <c r="A387" s="15">
        <f t="shared" si="11"/>
        <v>382</v>
      </c>
      <c r="B387" s="17">
        <v>10170</v>
      </c>
      <c r="C387" s="18" t="s">
        <v>1074</v>
      </c>
      <c r="D387" s="20" t="s">
        <v>1556</v>
      </c>
      <c r="E387" s="19">
        <v>0</v>
      </c>
      <c r="F387" s="20" t="s">
        <v>1556</v>
      </c>
      <c r="G387" s="21">
        <v>0</v>
      </c>
      <c r="H387" s="21">
        <v>0</v>
      </c>
      <c r="I387" s="14" t="s">
        <v>1561</v>
      </c>
      <c r="J387" s="21">
        <v>0</v>
      </c>
      <c r="K387" s="21">
        <v>0</v>
      </c>
      <c r="L387" s="24">
        <f t="shared" si="10"/>
        <v>0</v>
      </c>
    </row>
    <row r="388" spans="1:12" x14ac:dyDescent="0.25">
      <c r="A388" s="15">
        <f t="shared" si="11"/>
        <v>383</v>
      </c>
      <c r="B388" s="17">
        <v>10195</v>
      </c>
      <c r="C388" s="18" t="s">
        <v>1075</v>
      </c>
      <c r="D388" s="20" t="s">
        <v>1556</v>
      </c>
      <c r="E388" s="19">
        <v>0</v>
      </c>
      <c r="F388" s="20" t="s">
        <v>1556</v>
      </c>
      <c r="G388" s="21">
        <v>1.899905</v>
      </c>
      <c r="H388" s="21">
        <v>1.6445363</v>
      </c>
      <c r="I388" s="14" t="s">
        <v>1561</v>
      </c>
      <c r="J388" s="21">
        <v>0.27334742000681</v>
      </c>
      <c r="K388" s="21">
        <v>1.7256220999999998</v>
      </c>
      <c r="L388" s="24">
        <f t="shared" si="10"/>
        <v>0.90826757127330049</v>
      </c>
    </row>
    <row r="389" spans="1:12" x14ac:dyDescent="0.25">
      <c r="A389" s="15">
        <f t="shared" si="11"/>
        <v>384</v>
      </c>
      <c r="B389" s="17">
        <v>10229</v>
      </c>
      <c r="C389" s="18" t="s">
        <v>1076</v>
      </c>
      <c r="D389" s="20" t="s">
        <v>1556</v>
      </c>
      <c r="E389" s="19">
        <v>0</v>
      </c>
      <c r="F389" s="20" t="s">
        <v>1556</v>
      </c>
      <c r="G389" s="21">
        <v>0</v>
      </c>
      <c r="H389" s="21">
        <v>0</v>
      </c>
      <c r="I389" s="14" t="s">
        <v>1561</v>
      </c>
      <c r="J389" s="21">
        <v>0</v>
      </c>
      <c r="K389" s="21">
        <v>0</v>
      </c>
      <c r="L389" s="24">
        <f t="shared" si="10"/>
        <v>0</v>
      </c>
    </row>
    <row r="390" spans="1:12" x14ac:dyDescent="0.25">
      <c r="A390" s="15">
        <f t="shared" si="11"/>
        <v>385</v>
      </c>
      <c r="B390" s="17">
        <v>10251</v>
      </c>
      <c r="C390" s="18" t="s">
        <v>180</v>
      </c>
      <c r="D390" s="20">
        <v>0.21944810000000001</v>
      </c>
      <c r="E390" s="19">
        <v>0</v>
      </c>
      <c r="F390" s="20">
        <v>0.21944810000000001</v>
      </c>
      <c r="G390" s="21">
        <v>29.9985</v>
      </c>
      <c r="H390" s="21">
        <v>29.9985</v>
      </c>
      <c r="I390" s="14" t="s">
        <v>1561</v>
      </c>
      <c r="J390" s="21">
        <v>14.872811536325717</v>
      </c>
      <c r="K390" s="21">
        <v>33.601448699999999</v>
      </c>
      <c r="L390" s="24">
        <f t="shared" si="10"/>
        <v>1.1201042952147606</v>
      </c>
    </row>
    <row r="391" spans="1:12" x14ac:dyDescent="0.25">
      <c r="A391" s="15">
        <f t="shared" si="11"/>
        <v>386</v>
      </c>
      <c r="B391" s="17">
        <v>10268</v>
      </c>
      <c r="C391" s="18" t="s">
        <v>637</v>
      </c>
      <c r="D391" s="20" t="s">
        <v>1556</v>
      </c>
      <c r="E391" s="19">
        <v>0</v>
      </c>
      <c r="F391" s="20" t="s">
        <v>1556</v>
      </c>
      <c r="G391" s="21">
        <v>0</v>
      </c>
      <c r="H391" s="21">
        <v>0</v>
      </c>
      <c r="I391" s="14" t="s">
        <v>1561</v>
      </c>
      <c r="J391" s="21">
        <v>0</v>
      </c>
      <c r="K391" s="21">
        <v>0</v>
      </c>
      <c r="L391" s="24">
        <f t="shared" ref="L391:L454" si="12">+IFERROR(K391/G391,0)</f>
        <v>0</v>
      </c>
    </row>
    <row r="392" spans="1:12" x14ac:dyDescent="0.25">
      <c r="A392" s="15">
        <f t="shared" ref="A392:A455" si="13">A391+1</f>
        <v>387</v>
      </c>
      <c r="B392" s="17">
        <v>10394</v>
      </c>
      <c r="C392" s="18" t="s">
        <v>1077</v>
      </c>
      <c r="D392" s="20">
        <v>3.0469099999999999E-2</v>
      </c>
      <c r="E392" s="19">
        <v>0</v>
      </c>
      <c r="F392" s="20">
        <v>3.0469099999999999E-2</v>
      </c>
      <c r="G392" s="21">
        <v>2.4998749999999998</v>
      </c>
      <c r="H392" s="21">
        <v>1.8112975</v>
      </c>
      <c r="I392" s="14" t="s">
        <v>1561</v>
      </c>
      <c r="J392" s="21">
        <v>1.4729171589064516</v>
      </c>
      <c r="K392" s="21">
        <v>3.6556554999999999</v>
      </c>
      <c r="L392" s="24">
        <f t="shared" si="12"/>
        <v>1.4623353167658384</v>
      </c>
    </row>
    <row r="393" spans="1:12" x14ac:dyDescent="0.25">
      <c r="A393" s="15">
        <f t="shared" si="13"/>
        <v>388</v>
      </c>
      <c r="B393" s="17">
        <v>10402</v>
      </c>
      <c r="C393" s="18" t="s">
        <v>274</v>
      </c>
      <c r="D393" s="20">
        <v>10.544984700000001</v>
      </c>
      <c r="E393" s="19">
        <v>0</v>
      </c>
      <c r="F393" s="20">
        <v>10.544984700000001</v>
      </c>
      <c r="G393" s="21">
        <v>906.62266879999993</v>
      </c>
      <c r="H393" s="21">
        <v>895.59062349999999</v>
      </c>
      <c r="I393" s="14" t="s">
        <v>1561</v>
      </c>
      <c r="J393" s="21">
        <v>734.45613041279239</v>
      </c>
      <c r="K393" s="21">
        <v>1100.0111211000001</v>
      </c>
      <c r="L393" s="24">
        <f t="shared" si="12"/>
        <v>1.2133064382296639</v>
      </c>
    </row>
    <row r="394" spans="1:12" x14ac:dyDescent="0.25">
      <c r="A394" s="15">
        <f t="shared" si="13"/>
        <v>389</v>
      </c>
      <c r="B394" s="17">
        <v>10520</v>
      </c>
      <c r="C394" s="18" t="s">
        <v>1078</v>
      </c>
      <c r="D394" s="20" t="s">
        <v>1556</v>
      </c>
      <c r="E394" s="19">
        <v>0</v>
      </c>
      <c r="F394" s="20" t="s">
        <v>1556</v>
      </c>
      <c r="G394" s="21">
        <v>0</v>
      </c>
      <c r="H394" s="21">
        <v>0</v>
      </c>
      <c r="I394" s="14" t="s">
        <v>1561</v>
      </c>
      <c r="J394" s="21">
        <v>0</v>
      </c>
      <c r="K394" s="21">
        <v>0</v>
      </c>
      <c r="L394" s="24">
        <f t="shared" si="12"/>
        <v>0</v>
      </c>
    </row>
    <row r="395" spans="1:12" x14ac:dyDescent="0.25">
      <c r="A395" s="15">
        <f t="shared" si="13"/>
        <v>390</v>
      </c>
      <c r="B395" s="17">
        <v>10523</v>
      </c>
      <c r="C395" s="18" t="s">
        <v>638</v>
      </c>
      <c r="D395" s="20" t="s">
        <v>1556</v>
      </c>
      <c r="E395" s="19">
        <v>0</v>
      </c>
      <c r="F395" s="20" t="s">
        <v>1556</v>
      </c>
      <c r="G395" s="21">
        <v>0</v>
      </c>
      <c r="H395" s="21">
        <v>0</v>
      </c>
      <c r="I395" s="14" t="s">
        <v>1561</v>
      </c>
      <c r="J395" s="21">
        <v>0</v>
      </c>
      <c r="K395" s="21">
        <v>0</v>
      </c>
      <c r="L395" s="24">
        <f t="shared" si="12"/>
        <v>0</v>
      </c>
    </row>
    <row r="396" spans="1:12" x14ac:dyDescent="0.25">
      <c r="A396" s="15">
        <f t="shared" si="13"/>
        <v>391</v>
      </c>
      <c r="B396" s="17">
        <v>10617</v>
      </c>
      <c r="C396" s="18" t="s">
        <v>220</v>
      </c>
      <c r="D396" s="20" t="s">
        <v>1556</v>
      </c>
      <c r="E396" s="19">
        <v>0</v>
      </c>
      <c r="F396" s="20" t="s">
        <v>1556</v>
      </c>
      <c r="G396" s="21">
        <v>0</v>
      </c>
      <c r="H396" s="21">
        <v>0</v>
      </c>
      <c r="I396" s="14" t="s">
        <v>1561</v>
      </c>
      <c r="J396" s="21">
        <v>0</v>
      </c>
      <c r="K396" s="21">
        <v>0</v>
      </c>
      <c r="L396" s="24">
        <f t="shared" si="12"/>
        <v>0</v>
      </c>
    </row>
    <row r="397" spans="1:12" x14ac:dyDescent="0.25">
      <c r="A397" s="15">
        <f t="shared" si="13"/>
        <v>392</v>
      </c>
      <c r="B397" s="17">
        <v>10770</v>
      </c>
      <c r="C397" s="18" t="s">
        <v>639</v>
      </c>
      <c r="D397" s="20" t="s">
        <v>1556</v>
      </c>
      <c r="E397" s="19">
        <v>0</v>
      </c>
      <c r="F397" s="20" t="s">
        <v>1556</v>
      </c>
      <c r="G397" s="21">
        <v>0</v>
      </c>
      <c r="H397" s="21">
        <v>0</v>
      </c>
      <c r="I397" s="14" t="s">
        <v>1561</v>
      </c>
      <c r="J397" s="21">
        <v>0</v>
      </c>
      <c r="K397" s="21">
        <v>0</v>
      </c>
      <c r="L397" s="24">
        <f t="shared" si="12"/>
        <v>0</v>
      </c>
    </row>
    <row r="398" spans="1:12" x14ac:dyDescent="0.25">
      <c r="A398" s="15">
        <f t="shared" si="13"/>
        <v>393</v>
      </c>
      <c r="B398" s="17">
        <v>10773</v>
      </c>
      <c r="C398" s="18" t="s">
        <v>640</v>
      </c>
      <c r="D398" s="20" t="s">
        <v>1556</v>
      </c>
      <c r="E398" s="19">
        <v>0</v>
      </c>
      <c r="F398" s="20" t="s">
        <v>1556</v>
      </c>
      <c r="G398" s="21">
        <v>0.299985</v>
      </c>
      <c r="H398" s="21">
        <v>0.299985</v>
      </c>
      <c r="I398" s="14" t="s">
        <v>1561</v>
      </c>
      <c r="J398" s="21">
        <v>1.1635722808333332E-2</v>
      </c>
      <c r="K398" s="21">
        <v>0.30110560000000003</v>
      </c>
      <c r="L398" s="24">
        <f t="shared" si="12"/>
        <v>1.003735520109339</v>
      </c>
    </row>
    <row r="399" spans="1:12" x14ac:dyDescent="0.25">
      <c r="A399" s="15">
        <f t="shared" si="13"/>
        <v>394</v>
      </c>
      <c r="B399" s="17">
        <v>10781</v>
      </c>
      <c r="C399" s="18" t="s">
        <v>641</v>
      </c>
      <c r="D399" s="20" t="s">
        <v>1556</v>
      </c>
      <c r="E399" s="19">
        <v>0</v>
      </c>
      <c r="F399" s="20" t="s">
        <v>1556</v>
      </c>
      <c r="G399" s="21">
        <v>6.1846907999999994</v>
      </c>
      <c r="H399" s="21">
        <v>6.1846907999999994</v>
      </c>
      <c r="I399" s="14" t="s">
        <v>1561</v>
      </c>
      <c r="J399" s="21">
        <v>0.37943744784999994</v>
      </c>
      <c r="K399" s="21">
        <v>6.7762331000000007</v>
      </c>
      <c r="L399" s="24">
        <f t="shared" si="12"/>
        <v>1.0956462205030526</v>
      </c>
    </row>
    <row r="400" spans="1:12" x14ac:dyDescent="0.25">
      <c r="A400" s="15">
        <f t="shared" si="13"/>
        <v>395</v>
      </c>
      <c r="B400" s="17">
        <v>10836</v>
      </c>
      <c r="C400" s="18" t="s">
        <v>88</v>
      </c>
      <c r="D400" s="20" t="s">
        <v>1556</v>
      </c>
      <c r="E400" s="19">
        <v>0</v>
      </c>
      <c r="F400" s="20" t="s">
        <v>1556</v>
      </c>
      <c r="G400" s="21">
        <v>0</v>
      </c>
      <c r="H400" s="21">
        <v>0</v>
      </c>
      <c r="I400" s="14" t="s">
        <v>1561</v>
      </c>
      <c r="J400" s="21">
        <v>0</v>
      </c>
      <c r="K400" s="21">
        <v>0</v>
      </c>
      <c r="L400" s="24">
        <f t="shared" si="12"/>
        <v>0</v>
      </c>
    </row>
    <row r="401" spans="1:12" x14ac:dyDescent="0.25">
      <c r="A401" s="15">
        <f t="shared" si="13"/>
        <v>396</v>
      </c>
      <c r="B401" s="17">
        <v>10868</v>
      </c>
      <c r="C401" s="18" t="s">
        <v>352</v>
      </c>
      <c r="D401" s="20">
        <v>19.731736699999999</v>
      </c>
      <c r="E401" s="19">
        <v>0</v>
      </c>
      <c r="F401" s="20">
        <v>19.731736699999999</v>
      </c>
      <c r="G401" s="21">
        <v>1752.7099509</v>
      </c>
      <c r="H401" s="21">
        <v>1567.3100864</v>
      </c>
      <c r="I401" s="14" t="s">
        <v>1561</v>
      </c>
      <c r="J401" s="21">
        <v>1201.8399537186224</v>
      </c>
      <c r="K401" s="21">
        <v>1955.8391690999999</v>
      </c>
      <c r="L401" s="24">
        <f t="shared" si="12"/>
        <v>1.11589437151064</v>
      </c>
    </row>
    <row r="402" spans="1:12" x14ac:dyDescent="0.25">
      <c r="A402" s="15">
        <f t="shared" si="13"/>
        <v>397</v>
      </c>
      <c r="B402" s="17">
        <v>10882</v>
      </c>
      <c r="C402" s="18" t="s">
        <v>89</v>
      </c>
      <c r="D402" s="20">
        <v>7.1560000000000005E-4</v>
      </c>
      <c r="E402" s="19">
        <v>0</v>
      </c>
      <c r="F402" s="20">
        <v>7.1560000000000005E-4</v>
      </c>
      <c r="G402" s="21">
        <v>1.9999</v>
      </c>
      <c r="H402" s="21">
        <v>1.9999</v>
      </c>
      <c r="I402" s="14" t="s">
        <v>1561</v>
      </c>
      <c r="J402" s="21">
        <v>0.19105935572500002</v>
      </c>
      <c r="K402" s="21">
        <v>2.0326079999999997</v>
      </c>
      <c r="L402" s="24">
        <f t="shared" si="12"/>
        <v>1.016354817740887</v>
      </c>
    </row>
    <row r="403" spans="1:12" x14ac:dyDescent="0.25">
      <c r="A403" s="15">
        <f t="shared" si="13"/>
        <v>398</v>
      </c>
      <c r="B403" s="17">
        <v>10980</v>
      </c>
      <c r="C403" s="18" t="s">
        <v>1079</v>
      </c>
      <c r="D403" s="20" t="s">
        <v>1556</v>
      </c>
      <c r="E403" s="19">
        <v>0</v>
      </c>
      <c r="F403" s="20" t="s">
        <v>1556</v>
      </c>
      <c r="G403" s="21">
        <v>0</v>
      </c>
      <c r="H403" s="21">
        <v>0</v>
      </c>
      <c r="I403" s="14" t="s">
        <v>1561</v>
      </c>
      <c r="J403" s="21">
        <v>0</v>
      </c>
      <c r="K403" s="21">
        <v>0</v>
      </c>
      <c r="L403" s="24">
        <f t="shared" si="12"/>
        <v>0</v>
      </c>
    </row>
    <row r="404" spans="1:12" x14ac:dyDescent="0.25">
      <c r="A404" s="15">
        <f t="shared" si="13"/>
        <v>399</v>
      </c>
      <c r="B404" s="17">
        <v>11052</v>
      </c>
      <c r="C404" s="18" t="s">
        <v>1080</v>
      </c>
      <c r="D404" s="20" t="s">
        <v>1556</v>
      </c>
      <c r="E404" s="19">
        <v>0</v>
      </c>
      <c r="F404" s="20" t="s">
        <v>1556</v>
      </c>
      <c r="G404" s="21">
        <v>0</v>
      </c>
      <c r="H404" s="21">
        <v>0</v>
      </c>
      <c r="I404" s="14" t="s">
        <v>1561</v>
      </c>
      <c r="J404" s="21">
        <v>0</v>
      </c>
      <c r="K404" s="21">
        <v>0</v>
      </c>
      <c r="L404" s="24">
        <f t="shared" si="12"/>
        <v>0</v>
      </c>
    </row>
    <row r="405" spans="1:12" x14ac:dyDescent="0.25">
      <c r="A405" s="15">
        <f t="shared" si="13"/>
        <v>400</v>
      </c>
      <c r="B405" s="17">
        <v>11256</v>
      </c>
      <c r="C405" s="18" t="s">
        <v>1081</v>
      </c>
      <c r="D405" s="20" t="s">
        <v>1556</v>
      </c>
      <c r="E405" s="19">
        <v>0</v>
      </c>
      <c r="F405" s="20" t="s">
        <v>1556</v>
      </c>
      <c r="G405" s="21">
        <v>0</v>
      </c>
      <c r="H405" s="21">
        <v>0</v>
      </c>
      <c r="I405" s="14" t="s">
        <v>1561</v>
      </c>
      <c r="J405" s="21">
        <v>0</v>
      </c>
      <c r="K405" s="21">
        <v>0</v>
      </c>
      <c r="L405" s="24">
        <f t="shared" si="12"/>
        <v>0</v>
      </c>
    </row>
    <row r="406" spans="1:12" x14ac:dyDescent="0.25">
      <c r="A406" s="15">
        <f t="shared" si="13"/>
        <v>401</v>
      </c>
      <c r="B406" s="17">
        <v>11257</v>
      </c>
      <c r="C406" s="18" t="s">
        <v>642</v>
      </c>
      <c r="D406" s="20" t="s">
        <v>1556</v>
      </c>
      <c r="E406" s="19">
        <v>0</v>
      </c>
      <c r="F406" s="20" t="s">
        <v>1556</v>
      </c>
      <c r="G406" s="21">
        <v>0</v>
      </c>
      <c r="H406" s="21">
        <v>0</v>
      </c>
      <c r="I406" s="14" t="s">
        <v>1561</v>
      </c>
      <c r="J406" s="21">
        <v>0</v>
      </c>
      <c r="K406" s="21">
        <v>0</v>
      </c>
      <c r="L406" s="24">
        <f t="shared" si="12"/>
        <v>0</v>
      </c>
    </row>
    <row r="407" spans="1:12" x14ac:dyDescent="0.25">
      <c r="A407" s="15">
        <f t="shared" si="13"/>
        <v>402</v>
      </c>
      <c r="B407" s="17">
        <v>11439</v>
      </c>
      <c r="C407" s="18" t="s">
        <v>90</v>
      </c>
      <c r="D407" s="20" t="s">
        <v>1556</v>
      </c>
      <c r="E407" s="19">
        <v>0</v>
      </c>
      <c r="F407" s="20" t="s">
        <v>1556</v>
      </c>
      <c r="G407" s="21">
        <v>2.5498725000000002</v>
      </c>
      <c r="H407" s="21">
        <v>2.5498725000000002</v>
      </c>
      <c r="I407" s="14" t="s">
        <v>1561</v>
      </c>
      <c r="J407" s="21">
        <v>0.40549900937499994</v>
      </c>
      <c r="K407" s="21">
        <v>2.6442093</v>
      </c>
      <c r="L407" s="24">
        <f t="shared" si="12"/>
        <v>1.0369966733630798</v>
      </c>
    </row>
    <row r="408" spans="1:12" x14ac:dyDescent="0.25">
      <c r="A408" s="15">
        <f t="shared" si="13"/>
        <v>403</v>
      </c>
      <c r="B408" s="17">
        <v>11502</v>
      </c>
      <c r="C408" s="18" t="s">
        <v>353</v>
      </c>
      <c r="D408" s="20" t="s">
        <v>1556</v>
      </c>
      <c r="E408" s="19">
        <v>0</v>
      </c>
      <c r="F408" s="20" t="s">
        <v>1556</v>
      </c>
      <c r="G408" s="21">
        <v>0</v>
      </c>
      <c r="H408" s="21">
        <v>0</v>
      </c>
      <c r="I408" s="14" t="s">
        <v>1561</v>
      </c>
      <c r="J408" s="21">
        <v>0</v>
      </c>
      <c r="K408" s="21">
        <v>0</v>
      </c>
      <c r="L408" s="24">
        <f t="shared" si="12"/>
        <v>0</v>
      </c>
    </row>
    <row r="409" spans="1:12" x14ac:dyDescent="0.25">
      <c r="A409" s="15">
        <f t="shared" si="13"/>
        <v>404</v>
      </c>
      <c r="B409" s="17">
        <v>11538</v>
      </c>
      <c r="C409" s="18" t="s">
        <v>643</v>
      </c>
      <c r="D409" s="20" t="s">
        <v>1556</v>
      </c>
      <c r="E409" s="19">
        <v>0</v>
      </c>
      <c r="F409" s="20" t="s">
        <v>1556</v>
      </c>
      <c r="G409" s="21">
        <v>0</v>
      </c>
      <c r="H409" s="21">
        <v>0</v>
      </c>
      <c r="I409" s="14" t="s">
        <v>1561</v>
      </c>
      <c r="J409" s="21">
        <v>0</v>
      </c>
      <c r="K409" s="21">
        <v>0</v>
      </c>
      <c r="L409" s="24">
        <f t="shared" si="12"/>
        <v>0</v>
      </c>
    </row>
    <row r="410" spans="1:12" x14ac:dyDescent="0.25">
      <c r="A410" s="15">
        <f t="shared" si="13"/>
        <v>405</v>
      </c>
      <c r="B410" s="17">
        <v>11554</v>
      </c>
      <c r="C410" s="18" t="s">
        <v>644</v>
      </c>
      <c r="D410" s="20" t="s">
        <v>1556</v>
      </c>
      <c r="E410" s="19">
        <v>0</v>
      </c>
      <c r="F410" s="20" t="s">
        <v>1556</v>
      </c>
      <c r="G410" s="21">
        <v>6.4646794999999999</v>
      </c>
      <c r="H410" s="21">
        <v>5.4246794999999999</v>
      </c>
      <c r="I410" s="14" t="s">
        <v>1561</v>
      </c>
      <c r="J410" s="21">
        <v>1.2028144944842296</v>
      </c>
      <c r="K410" s="21">
        <v>5.5471280000000007</v>
      </c>
      <c r="L410" s="24">
        <f t="shared" si="12"/>
        <v>0.85806697764367135</v>
      </c>
    </row>
    <row r="411" spans="1:12" x14ac:dyDescent="0.25">
      <c r="A411" s="15">
        <f t="shared" si="13"/>
        <v>406</v>
      </c>
      <c r="B411" s="17">
        <v>11572</v>
      </c>
      <c r="C411" s="18" t="s">
        <v>275</v>
      </c>
      <c r="D411" s="20" t="s">
        <v>1556</v>
      </c>
      <c r="E411" s="19">
        <v>0</v>
      </c>
      <c r="F411" s="20" t="s">
        <v>1556</v>
      </c>
      <c r="G411" s="21">
        <v>29.9985</v>
      </c>
      <c r="H411" s="21">
        <v>29.9985</v>
      </c>
      <c r="I411" s="14" t="s">
        <v>1561</v>
      </c>
      <c r="J411" s="21">
        <v>0.758521304575</v>
      </c>
      <c r="K411" s="21">
        <v>30.6017893</v>
      </c>
      <c r="L411" s="24">
        <f t="shared" si="12"/>
        <v>1.0201106488657767</v>
      </c>
    </row>
    <row r="412" spans="1:12" x14ac:dyDescent="0.25">
      <c r="A412" s="15">
        <f t="shared" si="13"/>
        <v>407</v>
      </c>
      <c r="B412" s="17">
        <v>11660</v>
      </c>
      <c r="C412" s="18" t="s">
        <v>354</v>
      </c>
      <c r="D412" s="20" t="s">
        <v>1556</v>
      </c>
      <c r="E412" s="19">
        <v>0</v>
      </c>
      <c r="F412" s="20" t="s">
        <v>1556</v>
      </c>
      <c r="G412" s="21">
        <v>0</v>
      </c>
      <c r="H412" s="21">
        <v>0</v>
      </c>
      <c r="I412" s="14" t="s">
        <v>1561</v>
      </c>
      <c r="J412" s="21">
        <v>0</v>
      </c>
      <c r="K412" s="21">
        <v>0</v>
      </c>
      <c r="L412" s="24">
        <f t="shared" si="12"/>
        <v>0</v>
      </c>
    </row>
    <row r="413" spans="1:12" x14ac:dyDescent="0.25">
      <c r="A413" s="15">
        <f t="shared" si="13"/>
        <v>408</v>
      </c>
      <c r="B413" s="17">
        <v>11681</v>
      </c>
      <c r="C413" s="18" t="s">
        <v>645</v>
      </c>
      <c r="D413" s="20" t="s">
        <v>1556</v>
      </c>
      <c r="E413" s="19">
        <v>0</v>
      </c>
      <c r="F413" s="20" t="s">
        <v>1556</v>
      </c>
      <c r="G413" s="21">
        <v>0</v>
      </c>
      <c r="H413" s="21">
        <v>0</v>
      </c>
      <c r="I413" s="14" t="s">
        <v>1561</v>
      </c>
      <c r="J413" s="21">
        <v>0</v>
      </c>
      <c r="K413" s="21">
        <v>0</v>
      </c>
      <c r="L413" s="24">
        <f t="shared" si="12"/>
        <v>0</v>
      </c>
    </row>
    <row r="414" spans="1:12" x14ac:dyDescent="0.25">
      <c r="A414" s="15">
        <f t="shared" si="13"/>
        <v>409</v>
      </c>
      <c r="B414" s="17">
        <v>11694</v>
      </c>
      <c r="C414" s="18" t="s">
        <v>276</v>
      </c>
      <c r="D414" s="20" t="s">
        <v>1556</v>
      </c>
      <c r="E414" s="19">
        <v>0</v>
      </c>
      <c r="F414" s="20" t="s">
        <v>1556</v>
      </c>
      <c r="G414" s="21">
        <v>0</v>
      </c>
      <c r="H414" s="21">
        <v>0</v>
      </c>
      <c r="I414" s="14" t="s">
        <v>1561</v>
      </c>
      <c r="J414" s="21">
        <v>0</v>
      </c>
      <c r="K414" s="21">
        <v>0</v>
      </c>
      <c r="L414" s="24">
        <f t="shared" si="12"/>
        <v>0</v>
      </c>
    </row>
    <row r="415" spans="1:12" x14ac:dyDescent="0.25">
      <c r="A415" s="15">
        <f t="shared" si="13"/>
        <v>410</v>
      </c>
      <c r="B415" s="17">
        <v>11766</v>
      </c>
      <c r="C415" s="18" t="s">
        <v>91</v>
      </c>
      <c r="D415" s="20" t="s">
        <v>1556</v>
      </c>
      <c r="E415" s="19">
        <v>0</v>
      </c>
      <c r="F415" s="20" t="s">
        <v>1556</v>
      </c>
      <c r="G415" s="21">
        <v>0</v>
      </c>
      <c r="H415" s="21">
        <v>0</v>
      </c>
      <c r="I415" s="14" t="s">
        <v>1561</v>
      </c>
      <c r="J415" s="21">
        <v>0</v>
      </c>
      <c r="K415" s="21">
        <v>0</v>
      </c>
      <c r="L415" s="24">
        <f t="shared" si="12"/>
        <v>0</v>
      </c>
    </row>
    <row r="416" spans="1:12" x14ac:dyDescent="0.25">
      <c r="A416" s="15">
        <f t="shared" si="13"/>
        <v>411</v>
      </c>
      <c r="B416" s="17">
        <v>11777</v>
      </c>
      <c r="C416" s="18" t="s">
        <v>1082</v>
      </c>
      <c r="D416" s="20">
        <v>1.9814999999999999E-2</v>
      </c>
      <c r="E416" s="19">
        <v>0</v>
      </c>
      <c r="F416" s="20">
        <v>1.9814999999999999E-2</v>
      </c>
      <c r="G416" s="21">
        <v>13.9923004</v>
      </c>
      <c r="H416" s="21">
        <v>13.9923004</v>
      </c>
      <c r="I416" s="14" t="s">
        <v>1561</v>
      </c>
      <c r="J416" s="21">
        <v>2.4075850197695337</v>
      </c>
      <c r="K416" s="21">
        <v>14.387300900000001</v>
      </c>
      <c r="L416" s="24">
        <f t="shared" si="12"/>
        <v>1.0282298470378752</v>
      </c>
    </row>
    <row r="417" spans="1:12" x14ac:dyDescent="0.25">
      <c r="A417" s="15">
        <f t="shared" si="13"/>
        <v>412</v>
      </c>
      <c r="B417" s="17">
        <v>11899</v>
      </c>
      <c r="C417" s="18" t="s">
        <v>1083</v>
      </c>
      <c r="D417" s="20" t="s">
        <v>1556</v>
      </c>
      <c r="E417" s="19">
        <v>0</v>
      </c>
      <c r="F417" s="20" t="s">
        <v>1556</v>
      </c>
      <c r="G417" s="21">
        <v>0</v>
      </c>
      <c r="H417" s="21">
        <v>0</v>
      </c>
      <c r="I417" s="14" t="s">
        <v>1561</v>
      </c>
      <c r="J417" s="21">
        <v>0</v>
      </c>
      <c r="K417" s="21">
        <v>0</v>
      </c>
      <c r="L417" s="24">
        <f t="shared" si="12"/>
        <v>0</v>
      </c>
    </row>
    <row r="418" spans="1:12" x14ac:dyDescent="0.25">
      <c r="A418" s="15">
        <f t="shared" si="13"/>
        <v>413</v>
      </c>
      <c r="B418" s="17">
        <v>11925</v>
      </c>
      <c r="C418" s="18" t="s">
        <v>646</v>
      </c>
      <c r="D418" s="20" t="s">
        <v>1556</v>
      </c>
      <c r="E418" s="19">
        <v>0</v>
      </c>
      <c r="F418" s="20" t="s">
        <v>1556</v>
      </c>
      <c r="G418" s="21">
        <v>0</v>
      </c>
      <c r="H418" s="21">
        <v>0</v>
      </c>
      <c r="I418" s="14" t="s">
        <v>1561</v>
      </c>
      <c r="J418" s="21">
        <v>0</v>
      </c>
      <c r="K418" s="21">
        <v>0</v>
      </c>
      <c r="L418" s="24">
        <f t="shared" si="12"/>
        <v>0</v>
      </c>
    </row>
    <row r="419" spans="1:12" x14ac:dyDescent="0.25">
      <c r="A419" s="15">
        <f t="shared" si="13"/>
        <v>414</v>
      </c>
      <c r="B419" s="17">
        <v>11941</v>
      </c>
      <c r="C419" s="18" t="s">
        <v>355</v>
      </c>
      <c r="D419" s="20" t="s">
        <v>1556</v>
      </c>
      <c r="E419" s="19">
        <v>0</v>
      </c>
      <c r="F419" s="20" t="s">
        <v>1556</v>
      </c>
      <c r="G419" s="21">
        <v>0</v>
      </c>
      <c r="H419" s="21">
        <v>0</v>
      </c>
      <c r="I419" s="14" t="s">
        <v>1561</v>
      </c>
      <c r="J419" s="21">
        <v>0</v>
      </c>
      <c r="K419" s="21">
        <v>0</v>
      </c>
      <c r="L419" s="24">
        <f t="shared" si="12"/>
        <v>0</v>
      </c>
    </row>
    <row r="420" spans="1:12" x14ac:dyDescent="0.25">
      <c r="A420" s="15">
        <f t="shared" si="13"/>
        <v>415</v>
      </c>
      <c r="B420" s="17">
        <v>12001</v>
      </c>
      <c r="C420" s="18" t="s">
        <v>647</v>
      </c>
      <c r="D420" s="20" t="s">
        <v>1556</v>
      </c>
      <c r="E420" s="19">
        <v>0</v>
      </c>
      <c r="F420" s="20" t="s">
        <v>1556</v>
      </c>
      <c r="G420" s="21">
        <v>0</v>
      </c>
      <c r="H420" s="21">
        <v>0</v>
      </c>
      <c r="I420" s="14" t="s">
        <v>1561</v>
      </c>
      <c r="J420" s="21">
        <v>0</v>
      </c>
      <c r="K420" s="21">
        <v>0</v>
      </c>
      <c r="L420" s="24">
        <f t="shared" si="12"/>
        <v>0</v>
      </c>
    </row>
    <row r="421" spans="1:12" x14ac:dyDescent="0.25">
      <c r="A421" s="15">
        <f t="shared" si="13"/>
        <v>416</v>
      </c>
      <c r="B421" s="17">
        <v>12143</v>
      </c>
      <c r="C421" s="18" t="s">
        <v>356</v>
      </c>
      <c r="D421" s="20" t="s">
        <v>1556</v>
      </c>
      <c r="E421" s="19">
        <v>0</v>
      </c>
      <c r="F421" s="20" t="s">
        <v>1556</v>
      </c>
      <c r="G421" s="21">
        <v>0</v>
      </c>
      <c r="H421" s="21">
        <v>0</v>
      </c>
      <c r="I421" s="14" t="s">
        <v>1561</v>
      </c>
      <c r="J421" s="21">
        <v>0</v>
      </c>
      <c r="K421" s="21">
        <v>0</v>
      </c>
      <c r="L421" s="24">
        <f t="shared" si="12"/>
        <v>0</v>
      </c>
    </row>
    <row r="422" spans="1:12" x14ac:dyDescent="0.25">
      <c r="A422" s="15">
        <f t="shared" si="13"/>
        <v>417</v>
      </c>
      <c r="B422" s="17">
        <v>12176</v>
      </c>
      <c r="C422" s="18" t="s">
        <v>648</v>
      </c>
      <c r="D422" s="20" t="s">
        <v>1556</v>
      </c>
      <c r="E422" s="19">
        <v>0</v>
      </c>
      <c r="F422" s="20" t="s">
        <v>1556</v>
      </c>
      <c r="G422" s="21">
        <v>2.3898806000000001</v>
      </c>
      <c r="H422" s="21">
        <v>2.2398064999999998</v>
      </c>
      <c r="I422" s="14" t="s">
        <v>1561</v>
      </c>
      <c r="J422" s="21">
        <v>1.1841630487396955</v>
      </c>
      <c r="K422" s="21">
        <v>2.5308504999999997</v>
      </c>
      <c r="L422" s="24">
        <f t="shared" si="12"/>
        <v>1.0589861685977113</v>
      </c>
    </row>
    <row r="423" spans="1:12" x14ac:dyDescent="0.25">
      <c r="A423" s="15">
        <f t="shared" si="13"/>
        <v>418</v>
      </c>
      <c r="B423" s="17">
        <v>12195</v>
      </c>
      <c r="C423" s="18" t="s">
        <v>92</v>
      </c>
      <c r="D423" s="20" t="s">
        <v>1556</v>
      </c>
      <c r="E423" s="19">
        <v>0</v>
      </c>
      <c r="F423" s="20" t="s">
        <v>1556</v>
      </c>
      <c r="G423" s="21">
        <v>86.095101700000001</v>
      </c>
      <c r="H423" s="21">
        <v>81.045695100000003</v>
      </c>
      <c r="I423" s="14" t="s">
        <v>1561</v>
      </c>
      <c r="J423" s="21">
        <v>22.245046367902145</v>
      </c>
      <c r="K423" s="21">
        <v>83.064424000000002</v>
      </c>
      <c r="L423" s="24">
        <f t="shared" si="12"/>
        <v>0.96479848864618978</v>
      </c>
    </row>
    <row r="424" spans="1:12" x14ac:dyDescent="0.25">
      <c r="A424" s="15">
        <f t="shared" si="13"/>
        <v>419</v>
      </c>
      <c r="B424" s="17">
        <v>12298</v>
      </c>
      <c r="C424" s="18" t="s">
        <v>277</v>
      </c>
      <c r="D424" s="20">
        <v>9.2724000000000001E-2</v>
      </c>
      <c r="E424" s="19">
        <v>0</v>
      </c>
      <c r="F424" s="20">
        <v>9.2724000000000001E-2</v>
      </c>
      <c r="G424" s="21">
        <v>0</v>
      </c>
      <c r="H424" s="21">
        <v>0</v>
      </c>
      <c r="I424" s="14" t="s">
        <v>1561</v>
      </c>
      <c r="J424" s="21">
        <v>8.4084734717713268</v>
      </c>
      <c r="K424" s="21">
        <v>9.6676374000000003</v>
      </c>
      <c r="L424" s="24">
        <f t="shared" si="12"/>
        <v>0</v>
      </c>
    </row>
    <row r="425" spans="1:12" x14ac:dyDescent="0.25">
      <c r="A425" s="15">
        <f t="shared" si="13"/>
        <v>420</v>
      </c>
      <c r="B425" s="17">
        <v>12370</v>
      </c>
      <c r="C425" s="18" t="s">
        <v>357</v>
      </c>
      <c r="D425" s="20">
        <v>3.9449499999999998E-2</v>
      </c>
      <c r="E425" s="19">
        <v>0</v>
      </c>
      <c r="F425" s="20">
        <v>3.9449499999999998E-2</v>
      </c>
      <c r="G425" s="21">
        <v>9.7899823999999995</v>
      </c>
      <c r="H425" s="21">
        <v>7.7795104000000004</v>
      </c>
      <c r="I425" s="14" t="s">
        <v>1561</v>
      </c>
      <c r="J425" s="21">
        <v>3.4276450987375453</v>
      </c>
      <c r="K425" s="21">
        <v>8.0482323000000004</v>
      </c>
      <c r="L425" s="24">
        <f t="shared" si="12"/>
        <v>0.82208853613465138</v>
      </c>
    </row>
    <row r="426" spans="1:12" x14ac:dyDescent="0.25">
      <c r="A426" s="15">
        <f t="shared" si="13"/>
        <v>421</v>
      </c>
      <c r="B426" s="17">
        <v>12371</v>
      </c>
      <c r="C426" s="18" t="s">
        <v>649</v>
      </c>
      <c r="D426" s="20" t="s">
        <v>1556</v>
      </c>
      <c r="E426" s="19">
        <v>0</v>
      </c>
      <c r="F426" s="20" t="s">
        <v>1556</v>
      </c>
      <c r="G426" s="21">
        <v>0</v>
      </c>
      <c r="H426" s="21">
        <v>0</v>
      </c>
      <c r="I426" s="14" t="s">
        <v>1561</v>
      </c>
      <c r="J426" s="21">
        <v>0</v>
      </c>
      <c r="K426" s="21">
        <v>0</v>
      </c>
      <c r="L426" s="24">
        <f t="shared" si="12"/>
        <v>0</v>
      </c>
    </row>
    <row r="427" spans="1:12" x14ac:dyDescent="0.25">
      <c r="A427" s="15">
        <f t="shared" si="13"/>
        <v>422</v>
      </c>
      <c r="B427" s="17">
        <v>12417</v>
      </c>
      <c r="C427" s="18" t="s">
        <v>358</v>
      </c>
      <c r="D427" s="20">
        <v>4.0282539000000002</v>
      </c>
      <c r="E427" s="19">
        <v>0</v>
      </c>
      <c r="F427" s="20">
        <v>4.0282539000000002</v>
      </c>
      <c r="G427" s="21">
        <v>475.01367140000002</v>
      </c>
      <c r="H427" s="21">
        <v>474.27597230000003</v>
      </c>
      <c r="I427" s="14" t="s">
        <v>1561</v>
      </c>
      <c r="J427" s="21">
        <v>435.01886435706598</v>
      </c>
      <c r="K427" s="21">
        <v>786.68123980000007</v>
      </c>
      <c r="L427" s="24">
        <f t="shared" si="12"/>
        <v>1.6561233647895381</v>
      </c>
    </row>
    <row r="428" spans="1:12" x14ac:dyDescent="0.25">
      <c r="A428" s="15">
        <f t="shared" si="13"/>
        <v>423</v>
      </c>
      <c r="B428" s="17">
        <v>12434</v>
      </c>
      <c r="C428" s="18" t="s">
        <v>1084</v>
      </c>
      <c r="D428" s="20" t="s">
        <v>1556</v>
      </c>
      <c r="E428" s="19">
        <v>0</v>
      </c>
      <c r="F428" s="20" t="s">
        <v>1556</v>
      </c>
      <c r="G428" s="21">
        <v>0</v>
      </c>
      <c r="H428" s="21">
        <v>0</v>
      </c>
      <c r="I428" s="14" t="s">
        <v>1561</v>
      </c>
      <c r="J428" s="21">
        <v>0</v>
      </c>
      <c r="K428" s="21">
        <v>0</v>
      </c>
      <c r="L428" s="24">
        <f t="shared" si="12"/>
        <v>0</v>
      </c>
    </row>
    <row r="429" spans="1:12" x14ac:dyDescent="0.25">
      <c r="A429" s="15">
        <f t="shared" si="13"/>
        <v>424</v>
      </c>
      <c r="B429" s="17">
        <v>12525</v>
      </c>
      <c r="C429" s="18" t="s">
        <v>1085</v>
      </c>
      <c r="D429" s="20" t="s">
        <v>1556</v>
      </c>
      <c r="E429" s="19">
        <v>0</v>
      </c>
      <c r="F429" s="20" t="s">
        <v>1556</v>
      </c>
      <c r="G429" s="21">
        <v>0</v>
      </c>
      <c r="H429" s="21">
        <v>0</v>
      </c>
      <c r="I429" s="14" t="s">
        <v>1561</v>
      </c>
      <c r="J429" s="21">
        <v>0</v>
      </c>
      <c r="K429" s="21">
        <v>0</v>
      </c>
      <c r="L429" s="24">
        <f t="shared" si="12"/>
        <v>0</v>
      </c>
    </row>
    <row r="430" spans="1:12" x14ac:dyDescent="0.25">
      <c r="A430" s="15">
        <f t="shared" si="13"/>
        <v>425</v>
      </c>
      <c r="B430" s="17">
        <v>12558</v>
      </c>
      <c r="C430" s="18" t="s">
        <v>1086</v>
      </c>
      <c r="D430" s="20" t="s">
        <v>1556</v>
      </c>
      <c r="E430" s="19">
        <v>0</v>
      </c>
      <c r="F430" s="20" t="s">
        <v>1556</v>
      </c>
      <c r="G430" s="21">
        <v>0</v>
      </c>
      <c r="H430" s="21">
        <v>0</v>
      </c>
      <c r="I430" s="14" t="s">
        <v>1561</v>
      </c>
      <c r="J430" s="21">
        <v>0</v>
      </c>
      <c r="K430" s="21">
        <v>0</v>
      </c>
      <c r="L430" s="24">
        <f t="shared" si="12"/>
        <v>0</v>
      </c>
    </row>
    <row r="431" spans="1:12" x14ac:dyDescent="0.25">
      <c r="A431" s="15">
        <f t="shared" si="13"/>
        <v>426</v>
      </c>
      <c r="B431" s="17">
        <v>12576</v>
      </c>
      <c r="C431" s="18" t="s">
        <v>438</v>
      </c>
      <c r="D431" s="20" t="s">
        <v>1556</v>
      </c>
      <c r="E431" s="19">
        <v>0</v>
      </c>
      <c r="F431" s="20" t="s">
        <v>1556</v>
      </c>
      <c r="G431" s="21">
        <v>9.9995000000000001E-2</v>
      </c>
      <c r="H431" s="21">
        <v>9.9995000000000001E-2</v>
      </c>
      <c r="I431" s="14" t="s">
        <v>1561</v>
      </c>
      <c r="J431" s="21">
        <v>7.81898145E-3</v>
      </c>
      <c r="K431" s="21">
        <v>0.1093831</v>
      </c>
      <c r="L431" s="24">
        <f t="shared" si="12"/>
        <v>1.0938856942847142</v>
      </c>
    </row>
    <row r="432" spans="1:12" x14ac:dyDescent="0.25">
      <c r="A432" s="15">
        <f t="shared" si="13"/>
        <v>427</v>
      </c>
      <c r="B432" s="17">
        <v>12758</v>
      </c>
      <c r="C432" s="18" t="s">
        <v>650</v>
      </c>
      <c r="D432" s="20" t="s">
        <v>1556</v>
      </c>
      <c r="E432" s="19">
        <v>0</v>
      </c>
      <c r="F432" s="20" t="s">
        <v>1556</v>
      </c>
      <c r="G432" s="21">
        <v>0</v>
      </c>
      <c r="H432" s="21">
        <v>0</v>
      </c>
      <c r="I432" s="14" t="s">
        <v>1561</v>
      </c>
      <c r="J432" s="21">
        <v>0</v>
      </c>
      <c r="K432" s="21">
        <v>0</v>
      </c>
      <c r="L432" s="24">
        <f t="shared" si="12"/>
        <v>0</v>
      </c>
    </row>
    <row r="433" spans="1:12" x14ac:dyDescent="0.25">
      <c r="A433" s="15">
        <f t="shared" si="13"/>
        <v>428</v>
      </c>
      <c r="B433" s="17">
        <v>12836</v>
      </c>
      <c r="C433" s="18" t="s">
        <v>93</v>
      </c>
      <c r="D433" s="20">
        <v>0.58856900000000001</v>
      </c>
      <c r="E433" s="19">
        <v>0</v>
      </c>
      <c r="F433" s="20">
        <v>0.58856900000000001</v>
      </c>
      <c r="G433" s="21">
        <v>121.31546019999999</v>
      </c>
      <c r="H433" s="21">
        <v>68.236284699999999</v>
      </c>
      <c r="I433" s="14" t="s">
        <v>1561</v>
      </c>
      <c r="J433" s="21">
        <v>38.195132012062544</v>
      </c>
      <c r="K433" s="21">
        <v>82.1502567</v>
      </c>
      <c r="L433" s="24">
        <f t="shared" si="12"/>
        <v>0.67716230532009314</v>
      </c>
    </row>
    <row r="434" spans="1:12" x14ac:dyDescent="0.25">
      <c r="A434" s="15">
        <f t="shared" si="13"/>
        <v>429</v>
      </c>
      <c r="B434" s="17">
        <v>12899</v>
      </c>
      <c r="C434" s="18" t="s">
        <v>1087</v>
      </c>
      <c r="D434" s="20" t="s">
        <v>1556</v>
      </c>
      <c r="E434" s="19">
        <v>0</v>
      </c>
      <c r="F434" s="20" t="s">
        <v>1556</v>
      </c>
      <c r="G434" s="21">
        <v>0</v>
      </c>
      <c r="H434" s="21">
        <v>0</v>
      </c>
      <c r="I434" s="14" t="s">
        <v>1561</v>
      </c>
      <c r="J434" s="21">
        <v>0</v>
      </c>
      <c r="K434" s="21">
        <v>0</v>
      </c>
      <c r="L434" s="24">
        <f t="shared" si="12"/>
        <v>0</v>
      </c>
    </row>
    <row r="435" spans="1:12" x14ac:dyDescent="0.25">
      <c r="A435" s="15">
        <f t="shared" si="13"/>
        <v>430</v>
      </c>
      <c r="B435" s="17">
        <v>12931</v>
      </c>
      <c r="C435" s="18" t="s">
        <v>114</v>
      </c>
      <c r="D435" s="20" t="s">
        <v>1556</v>
      </c>
      <c r="E435" s="19">
        <v>0</v>
      </c>
      <c r="F435" s="20" t="s">
        <v>1556</v>
      </c>
      <c r="G435" s="21">
        <v>0</v>
      </c>
      <c r="H435" s="21">
        <v>0</v>
      </c>
      <c r="I435" s="14" t="s">
        <v>1561</v>
      </c>
      <c r="J435" s="21">
        <v>0</v>
      </c>
      <c r="K435" s="21">
        <v>0</v>
      </c>
      <c r="L435" s="24">
        <f t="shared" si="12"/>
        <v>0</v>
      </c>
    </row>
    <row r="436" spans="1:12" x14ac:dyDescent="0.25">
      <c r="A436" s="15">
        <f t="shared" si="13"/>
        <v>431</v>
      </c>
      <c r="B436" s="17">
        <v>12992</v>
      </c>
      <c r="C436" s="18" t="s">
        <v>115</v>
      </c>
      <c r="D436" s="20">
        <v>1.5550000000000001E-4</v>
      </c>
      <c r="E436" s="19">
        <v>0</v>
      </c>
      <c r="F436" s="20">
        <v>1.5550000000000001E-4</v>
      </c>
      <c r="G436" s="21">
        <v>2.1498925</v>
      </c>
      <c r="H436" s="21">
        <v>2.1498925</v>
      </c>
      <c r="I436" s="14" t="s">
        <v>1561</v>
      </c>
      <c r="J436" s="21">
        <v>0.15444362491666666</v>
      </c>
      <c r="K436" s="21">
        <v>2.3607473000000003</v>
      </c>
      <c r="L436" s="24">
        <f t="shared" si="12"/>
        <v>1.0980769038451925</v>
      </c>
    </row>
    <row r="437" spans="1:12" x14ac:dyDescent="0.25">
      <c r="A437" s="15">
        <f t="shared" si="13"/>
        <v>432</v>
      </c>
      <c r="B437" s="17">
        <v>13286</v>
      </c>
      <c r="C437" s="18" t="s">
        <v>1088</v>
      </c>
      <c r="D437" s="20" t="s">
        <v>1556</v>
      </c>
      <c r="E437" s="19">
        <v>0</v>
      </c>
      <c r="F437" s="20" t="s">
        <v>1556</v>
      </c>
      <c r="G437" s="21">
        <v>0</v>
      </c>
      <c r="H437" s="21">
        <v>0</v>
      </c>
      <c r="I437" s="14" t="s">
        <v>1561</v>
      </c>
      <c r="J437" s="21">
        <v>20.676596897932704</v>
      </c>
      <c r="K437" s="21">
        <v>23.634722700000001</v>
      </c>
      <c r="L437" s="24">
        <f t="shared" si="12"/>
        <v>0</v>
      </c>
    </row>
    <row r="438" spans="1:12" x14ac:dyDescent="0.25">
      <c r="A438" s="15">
        <f t="shared" si="13"/>
        <v>433</v>
      </c>
      <c r="B438" s="17">
        <v>13376</v>
      </c>
      <c r="C438" s="18" t="s">
        <v>651</v>
      </c>
      <c r="D438" s="20" t="s">
        <v>1556</v>
      </c>
      <c r="E438" s="19">
        <v>0</v>
      </c>
      <c r="F438" s="20" t="s">
        <v>1556</v>
      </c>
      <c r="G438" s="21">
        <v>6.5466730000000002</v>
      </c>
      <c r="H438" s="21">
        <v>0.46078119999999995</v>
      </c>
      <c r="I438" s="14" t="s">
        <v>1561</v>
      </c>
      <c r="J438" s="21">
        <v>0.8402129795554657</v>
      </c>
      <c r="K438" s="21">
        <v>1.2390599</v>
      </c>
      <c r="L438" s="24">
        <f t="shared" si="12"/>
        <v>0.18926558574103211</v>
      </c>
    </row>
    <row r="439" spans="1:12" x14ac:dyDescent="0.25">
      <c r="A439" s="15">
        <f t="shared" si="13"/>
        <v>434</v>
      </c>
      <c r="B439" s="17">
        <v>13495</v>
      </c>
      <c r="C439" s="18" t="s">
        <v>652</v>
      </c>
      <c r="D439" s="20" t="s">
        <v>1556</v>
      </c>
      <c r="E439" s="19">
        <v>0</v>
      </c>
      <c r="F439" s="20" t="s">
        <v>1556</v>
      </c>
      <c r="G439" s="21">
        <v>0</v>
      </c>
      <c r="H439" s="21">
        <v>0</v>
      </c>
      <c r="I439" s="14" t="s">
        <v>1561</v>
      </c>
      <c r="J439" s="21">
        <v>0</v>
      </c>
      <c r="K439" s="21">
        <v>0</v>
      </c>
      <c r="L439" s="24">
        <f t="shared" si="12"/>
        <v>0</v>
      </c>
    </row>
    <row r="440" spans="1:12" x14ac:dyDescent="0.25">
      <c r="A440" s="15">
        <f t="shared" si="13"/>
        <v>435</v>
      </c>
      <c r="B440" s="17">
        <v>13549</v>
      </c>
      <c r="C440" s="18" t="s">
        <v>94</v>
      </c>
      <c r="D440" s="20" t="s">
        <v>1556</v>
      </c>
      <c r="E440" s="19">
        <v>0</v>
      </c>
      <c r="F440" s="20" t="s">
        <v>1556</v>
      </c>
      <c r="G440" s="21">
        <v>734.48850540000012</v>
      </c>
      <c r="H440" s="21">
        <v>720.95112040000004</v>
      </c>
      <c r="I440" s="14" t="s">
        <v>1561</v>
      </c>
      <c r="J440" s="21">
        <v>114.41854283718222</v>
      </c>
      <c r="K440" s="21">
        <v>735.81271189999995</v>
      </c>
      <c r="L440" s="24">
        <f t="shared" si="12"/>
        <v>1.0018028961518992</v>
      </c>
    </row>
    <row r="441" spans="1:12" x14ac:dyDescent="0.25">
      <c r="A441" s="15">
        <f t="shared" si="13"/>
        <v>436</v>
      </c>
      <c r="B441" s="17">
        <v>13595</v>
      </c>
      <c r="C441" s="18" t="s">
        <v>278</v>
      </c>
      <c r="D441" s="20">
        <v>580.28410759999997</v>
      </c>
      <c r="E441" s="19">
        <v>0</v>
      </c>
      <c r="F441" s="20">
        <v>580.28410759999997</v>
      </c>
      <c r="G441" s="21">
        <v>52931.914429899996</v>
      </c>
      <c r="H441" s="21">
        <v>41389.693092000001</v>
      </c>
      <c r="I441" s="14" t="s">
        <v>1561</v>
      </c>
      <c r="J441" s="21">
        <v>37783.069631665319</v>
      </c>
      <c r="K441" s="21">
        <v>63119.045995299995</v>
      </c>
      <c r="L441" s="24">
        <f t="shared" si="12"/>
        <v>1.1924572665681921</v>
      </c>
    </row>
    <row r="442" spans="1:12" x14ac:dyDescent="0.25">
      <c r="A442" s="15">
        <f t="shared" si="13"/>
        <v>437</v>
      </c>
      <c r="B442" s="17">
        <v>13796</v>
      </c>
      <c r="C442" s="18" t="s">
        <v>653</v>
      </c>
      <c r="D442" s="20" t="s">
        <v>1556</v>
      </c>
      <c r="E442" s="19">
        <v>0</v>
      </c>
      <c r="F442" s="20" t="s">
        <v>1556</v>
      </c>
      <c r="G442" s="21">
        <v>0</v>
      </c>
      <c r="H442" s="21">
        <v>0</v>
      </c>
      <c r="I442" s="14" t="s">
        <v>1561</v>
      </c>
      <c r="J442" s="21">
        <v>0</v>
      </c>
      <c r="K442" s="21">
        <v>0</v>
      </c>
      <c r="L442" s="24">
        <f t="shared" si="12"/>
        <v>0</v>
      </c>
    </row>
    <row r="443" spans="1:12" x14ac:dyDescent="0.25">
      <c r="A443" s="15">
        <f t="shared" si="13"/>
        <v>438</v>
      </c>
      <c r="B443" s="17">
        <v>13799</v>
      </c>
      <c r="C443" s="18" t="s">
        <v>654</v>
      </c>
      <c r="D443" s="20" t="s">
        <v>1556</v>
      </c>
      <c r="E443" s="19">
        <v>0</v>
      </c>
      <c r="F443" s="20" t="s">
        <v>1556</v>
      </c>
      <c r="G443" s="21">
        <v>0</v>
      </c>
      <c r="H443" s="21">
        <v>0</v>
      </c>
      <c r="I443" s="14" t="s">
        <v>1561</v>
      </c>
      <c r="J443" s="21">
        <v>0</v>
      </c>
      <c r="K443" s="21">
        <v>0</v>
      </c>
      <c r="L443" s="24">
        <f t="shared" si="12"/>
        <v>0</v>
      </c>
    </row>
    <row r="444" spans="1:12" x14ac:dyDescent="0.25">
      <c r="A444" s="15">
        <f t="shared" si="13"/>
        <v>439</v>
      </c>
      <c r="B444" s="17">
        <v>13831</v>
      </c>
      <c r="C444" s="18" t="s">
        <v>439</v>
      </c>
      <c r="D444" s="20" t="s">
        <v>1556</v>
      </c>
      <c r="E444" s="19">
        <v>0</v>
      </c>
      <c r="F444" s="20" t="s">
        <v>1556</v>
      </c>
      <c r="G444" s="21">
        <v>0</v>
      </c>
      <c r="H444" s="21">
        <v>0</v>
      </c>
      <c r="I444" s="14" t="s">
        <v>1561</v>
      </c>
      <c r="J444" s="21">
        <v>0</v>
      </c>
      <c r="K444" s="21">
        <v>0</v>
      </c>
      <c r="L444" s="24">
        <f t="shared" si="12"/>
        <v>0</v>
      </c>
    </row>
    <row r="445" spans="1:12" x14ac:dyDescent="0.25">
      <c r="A445" s="15">
        <f t="shared" si="13"/>
        <v>440</v>
      </c>
      <c r="B445" s="17">
        <v>13913</v>
      </c>
      <c r="C445" s="18" t="s">
        <v>440</v>
      </c>
      <c r="D445" s="20" t="s">
        <v>1556</v>
      </c>
      <c r="E445" s="19">
        <v>0</v>
      </c>
      <c r="F445" s="20" t="s">
        <v>1556</v>
      </c>
      <c r="G445" s="21">
        <v>0</v>
      </c>
      <c r="H445" s="21">
        <v>0</v>
      </c>
      <c r="I445" s="14" t="s">
        <v>1561</v>
      </c>
      <c r="J445" s="21">
        <v>0</v>
      </c>
      <c r="K445" s="21">
        <v>0</v>
      </c>
      <c r="L445" s="24">
        <f t="shared" si="12"/>
        <v>0</v>
      </c>
    </row>
    <row r="446" spans="1:12" x14ac:dyDescent="0.25">
      <c r="A446" s="15">
        <f t="shared" si="13"/>
        <v>441</v>
      </c>
      <c r="B446" s="17">
        <v>13996</v>
      </c>
      <c r="C446" s="18" t="s">
        <v>279</v>
      </c>
      <c r="D446" s="20">
        <v>0.1219209</v>
      </c>
      <c r="E446" s="19">
        <v>0</v>
      </c>
      <c r="F446" s="20">
        <v>0.1219209</v>
      </c>
      <c r="G446" s="21">
        <v>11.679416000000002</v>
      </c>
      <c r="H446" s="21">
        <v>11.679416000000002</v>
      </c>
      <c r="I446" s="14" t="s">
        <v>1561</v>
      </c>
      <c r="J446" s="21">
        <v>8.6911684311486539</v>
      </c>
      <c r="K446" s="21">
        <v>13.467208999999999</v>
      </c>
      <c r="L446" s="24">
        <f t="shared" si="12"/>
        <v>1.1530721227842211</v>
      </c>
    </row>
    <row r="447" spans="1:12" x14ac:dyDescent="0.25">
      <c r="A447" s="15">
        <f t="shared" si="13"/>
        <v>442</v>
      </c>
      <c r="B447" s="17">
        <v>14034</v>
      </c>
      <c r="C447" s="18" t="s">
        <v>1089</v>
      </c>
      <c r="D447" s="20">
        <v>4.1586000000000001E-3</v>
      </c>
      <c r="E447" s="19">
        <v>0</v>
      </c>
      <c r="F447" s="20">
        <v>4.1586000000000001E-3</v>
      </c>
      <c r="G447" s="21">
        <v>0</v>
      </c>
      <c r="H447" s="21">
        <v>0</v>
      </c>
      <c r="I447" s="14" t="s">
        <v>1561</v>
      </c>
      <c r="J447" s="21">
        <v>0.80653568723360203</v>
      </c>
      <c r="K447" s="21">
        <v>0.89132109999999998</v>
      </c>
      <c r="L447" s="24">
        <f t="shared" si="12"/>
        <v>0</v>
      </c>
    </row>
    <row r="448" spans="1:12" x14ac:dyDescent="0.25">
      <c r="A448" s="15">
        <f t="shared" si="13"/>
        <v>443</v>
      </c>
      <c r="B448" s="17">
        <v>14038</v>
      </c>
      <c r="C448" s="18" t="s">
        <v>280</v>
      </c>
      <c r="D448" s="20" t="s">
        <v>1556</v>
      </c>
      <c r="E448" s="19">
        <v>0</v>
      </c>
      <c r="F448" s="20" t="s">
        <v>1556</v>
      </c>
      <c r="G448" s="21">
        <v>0</v>
      </c>
      <c r="H448" s="21">
        <v>0</v>
      </c>
      <c r="I448" s="14" t="s">
        <v>1561</v>
      </c>
      <c r="J448" s="21">
        <v>0</v>
      </c>
      <c r="K448" s="21">
        <v>0</v>
      </c>
      <c r="L448" s="24">
        <f t="shared" si="12"/>
        <v>0</v>
      </c>
    </row>
    <row r="449" spans="1:12" x14ac:dyDescent="0.25">
      <c r="A449" s="15">
        <f t="shared" si="13"/>
        <v>444</v>
      </c>
      <c r="B449" s="17">
        <v>14243</v>
      </c>
      <c r="C449" s="18" t="s">
        <v>1090</v>
      </c>
      <c r="D449" s="20" t="s">
        <v>1556</v>
      </c>
      <c r="E449" s="19">
        <v>0</v>
      </c>
      <c r="F449" s="20" t="s">
        <v>1556</v>
      </c>
      <c r="G449" s="21">
        <v>0</v>
      </c>
      <c r="H449" s="21">
        <v>0</v>
      </c>
      <c r="I449" s="14" t="s">
        <v>1561</v>
      </c>
      <c r="J449" s="21">
        <v>0</v>
      </c>
      <c r="K449" s="21">
        <v>0</v>
      </c>
      <c r="L449" s="24">
        <f t="shared" si="12"/>
        <v>0</v>
      </c>
    </row>
    <row r="450" spans="1:12" x14ac:dyDescent="0.25">
      <c r="A450" s="15">
        <f t="shared" si="13"/>
        <v>445</v>
      </c>
      <c r="B450" s="17">
        <v>14352</v>
      </c>
      <c r="C450" s="18" t="s">
        <v>655</v>
      </c>
      <c r="D450" s="20" t="s">
        <v>1556</v>
      </c>
      <c r="E450" s="19">
        <v>0</v>
      </c>
      <c r="F450" s="20" t="s">
        <v>1556</v>
      </c>
      <c r="G450" s="21">
        <v>147.0926451</v>
      </c>
      <c r="H450" s="21">
        <v>135.84254060000001</v>
      </c>
      <c r="I450" s="14" t="s">
        <v>1561</v>
      </c>
      <c r="J450" s="21">
        <v>13.075889133674998</v>
      </c>
      <c r="K450" s="21">
        <v>139.35519669999999</v>
      </c>
      <c r="L450" s="24">
        <f t="shared" si="12"/>
        <v>0.94739744876611776</v>
      </c>
    </row>
    <row r="451" spans="1:12" x14ac:dyDescent="0.25">
      <c r="A451" s="15">
        <f t="shared" si="13"/>
        <v>446</v>
      </c>
      <c r="B451" s="17">
        <v>14384</v>
      </c>
      <c r="C451" s="18" t="s">
        <v>1091</v>
      </c>
      <c r="D451" s="20" t="s">
        <v>1556</v>
      </c>
      <c r="E451" s="19">
        <v>0</v>
      </c>
      <c r="F451" s="20" t="s">
        <v>1556</v>
      </c>
      <c r="G451" s="21">
        <v>0</v>
      </c>
      <c r="H451" s="21">
        <v>0</v>
      </c>
      <c r="I451" s="14" t="s">
        <v>1561</v>
      </c>
      <c r="J451" s="21">
        <v>0</v>
      </c>
      <c r="K451" s="21">
        <v>0</v>
      </c>
      <c r="L451" s="24">
        <f t="shared" si="12"/>
        <v>0</v>
      </c>
    </row>
    <row r="452" spans="1:12" x14ac:dyDescent="0.25">
      <c r="A452" s="15">
        <f t="shared" si="13"/>
        <v>447</v>
      </c>
      <c r="B452" s="17">
        <v>14565</v>
      </c>
      <c r="C452" s="18" t="s">
        <v>359</v>
      </c>
      <c r="D452" s="20" t="s">
        <v>1556</v>
      </c>
      <c r="E452" s="19">
        <v>0</v>
      </c>
      <c r="F452" s="20" t="s">
        <v>1556</v>
      </c>
      <c r="G452" s="21">
        <v>4.9997499999999997</v>
      </c>
      <c r="H452" s="21">
        <v>4.9997499999999997</v>
      </c>
      <c r="I452" s="14" t="s">
        <v>1561</v>
      </c>
      <c r="J452" s="21">
        <v>9.2544880108333324E-2</v>
      </c>
      <c r="K452" s="21">
        <v>5.1383956</v>
      </c>
      <c r="L452" s="24">
        <f t="shared" si="12"/>
        <v>1.0277305065253264</v>
      </c>
    </row>
    <row r="453" spans="1:12" x14ac:dyDescent="0.25">
      <c r="A453" s="15">
        <f t="shared" si="13"/>
        <v>448</v>
      </c>
      <c r="B453" s="17">
        <v>14731</v>
      </c>
      <c r="C453" s="18" t="s">
        <v>441</v>
      </c>
      <c r="D453" s="20" t="s">
        <v>1556</v>
      </c>
      <c r="E453" s="19">
        <v>0</v>
      </c>
      <c r="F453" s="20" t="s">
        <v>1556</v>
      </c>
      <c r="G453" s="21">
        <v>0</v>
      </c>
      <c r="H453" s="21">
        <v>0</v>
      </c>
      <c r="I453" s="14" t="s">
        <v>1561</v>
      </c>
      <c r="J453" s="21">
        <v>0</v>
      </c>
      <c r="K453" s="21">
        <v>0</v>
      </c>
      <c r="L453" s="24">
        <f t="shared" si="12"/>
        <v>0</v>
      </c>
    </row>
    <row r="454" spans="1:12" x14ac:dyDescent="0.25">
      <c r="A454" s="15">
        <f t="shared" si="13"/>
        <v>449</v>
      </c>
      <c r="B454" s="17">
        <v>14794</v>
      </c>
      <c r="C454" s="18" t="s">
        <v>1092</v>
      </c>
      <c r="D454" s="20" t="s">
        <v>1556</v>
      </c>
      <c r="E454" s="19">
        <v>0</v>
      </c>
      <c r="F454" s="20" t="s">
        <v>1556</v>
      </c>
      <c r="G454" s="21">
        <v>0</v>
      </c>
      <c r="H454" s="21">
        <v>0</v>
      </c>
      <c r="I454" s="14" t="s">
        <v>1561</v>
      </c>
      <c r="J454" s="21">
        <v>0</v>
      </c>
      <c r="K454" s="21">
        <v>0</v>
      </c>
      <c r="L454" s="24">
        <f t="shared" si="12"/>
        <v>0</v>
      </c>
    </row>
    <row r="455" spans="1:12" x14ac:dyDescent="0.25">
      <c r="A455" s="15">
        <f t="shared" si="13"/>
        <v>450</v>
      </c>
      <c r="B455" s="17">
        <v>14833</v>
      </c>
      <c r="C455" s="18" t="s">
        <v>1093</v>
      </c>
      <c r="D455" s="20" t="s">
        <v>1556</v>
      </c>
      <c r="E455" s="19">
        <v>0</v>
      </c>
      <c r="F455" s="20" t="s">
        <v>1556</v>
      </c>
      <c r="G455" s="21">
        <v>0</v>
      </c>
      <c r="H455" s="21">
        <v>0</v>
      </c>
      <c r="I455" s="14" t="s">
        <v>1561</v>
      </c>
      <c r="J455" s="21">
        <v>0</v>
      </c>
      <c r="K455" s="21">
        <v>0</v>
      </c>
      <c r="L455" s="24">
        <f t="shared" ref="L455:L518" si="14">+IFERROR(K455/G455,0)</f>
        <v>0</v>
      </c>
    </row>
    <row r="456" spans="1:12" x14ac:dyDescent="0.25">
      <c r="A456" s="15">
        <f t="shared" ref="A456:A519" si="15">A455+1</f>
        <v>451</v>
      </c>
      <c r="B456" s="17">
        <v>14934</v>
      </c>
      <c r="C456" s="18" t="s">
        <v>656</v>
      </c>
      <c r="D456" s="20" t="s">
        <v>1556</v>
      </c>
      <c r="E456" s="19">
        <v>0</v>
      </c>
      <c r="F456" s="20" t="s">
        <v>1556</v>
      </c>
      <c r="G456" s="21">
        <v>0</v>
      </c>
      <c r="H456" s="21">
        <v>0</v>
      </c>
      <c r="I456" s="14" t="s">
        <v>1561</v>
      </c>
      <c r="J456" s="21">
        <v>0</v>
      </c>
      <c r="K456" s="21">
        <v>0</v>
      </c>
      <c r="L456" s="24">
        <f t="shared" si="14"/>
        <v>0</v>
      </c>
    </row>
    <row r="457" spans="1:12" x14ac:dyDescent="0.25">
      <c r="A457" s="15">
        <f t="shared" si="15"/>
        <v>452</v>
      </c>
      <c r="B457" s="17">
        <v>15062</v>
      </c>
      <c r="C457" s="18" t="s">
        <v>657</v>
      </c>
      <c r="D457" s="20">
        <v>22.624463199999997</v>
      </c>
      <c r="E457" s="19">
        <v>0</v>
      </c>
      <c r="F457" s="20">
        <v>22.624463199999997</v>
      </c>
      <c r="G457" s="21">
        <v>3184.4583011999998</v>
      </c>
      <c r="H457" s="21">
        <v>2265.242287</v>
      </c>
      <c r="I457" s="14" t="s">
        <v>1561</v>
      </c>
      <c r="J457" s="21">
        <v>1594.1682687271293</v>
      </c>
      <c r="K457" s="21">
        <v>2554.3177427000001</v>
      </c>
      <c r="L457" s="24">
        <f t="shared" si="14"/>
        <v>0.80212001574567837</v>
      </c>
    </row>
    <row r="458" spans="1:12" x14ac:dyDescent="0.25">
      <c r="A458" s="15">
        <f t="shared" si="15"/>
        <v>453</v>
      </c>
      <c r="B458" s="17">
        <v>15078</v>
      </c>
      <c r="C458" s="18" t="s">
        <v>1094</v>
      </c>
      <c r="D458" s="20" t="s">
        <v>1556</v>
      </c>
      <c r="E458" s="19">
        <v>0</v>
      </c>
      <c r="F458" s="20" t="s">
        <v>1556</v>
      </c>
      <c r="G458" s="21">
        <v>0</v>
      </c>
      <c r="H458" s="21">
        <v>0</v>
      </c>
      <c r="I458" s="14" t="s">
        <v>1561</v>
      </c>
      <c r="J458" s="21">
        <v>0</v>
      </c>
      <c r="K458" s="21">
        <v>0</v>
      </c>
      <c r="L458" s="24">
        <f t="shared" si="14"/>
        <v>0</v>
      </c>
    </row>
    <row r="459" spans="1:12" x14ac:dyDescent="0.25">
      <c r="A459" s="15">
        <f t="shared" si="15"/>
        <v>454</v>
      </c>
      <c r="B459" s="17">
        <v>15095</v>
      </c>
      <c r="C459" s="18" t="s">
        <v>1095</v>
      </c>
      <c r="D459" s="20" t="s">
        <v>1556</v>
      </c>
      <c r="E459" s="19">
        <v>0</v>
      </c>
      <c r="F459" s="20" t="s">
        <v>1556</v>
      </c>
      <c r="G459" s="21">
        <v>0</v>
      </c>
      <c r="H459" s="21">
        <v>0</v>
      </c>
      <c r="I459" s="14" t="s">
        <v>1561</v>
      </c>
      <c r="J459" s="21">
        <v>0</v>
      </c>
      <c r="K459" s="21">
        <v>0</v>
      </c>
      <c r="L459" s="24">
        <f t="shared" si="14"/>
        <v>0</v>
      </c>
    </row>
    <row r="460" spans="1:12" x14ac:dyDescent="0.25">
      <c r="A460" s="15">
        <f t="shared" si="15"/>
        <v>455</v>
      </c>
      <c r="B460" s="17">
        <v>15110</v>
      </c>
      <c r="C460" s="18" t="s">
        <v>1096</v>
      </c>
      <c r="D460" s="20" t="s">
        <v>1556</v>
      </c>
      <c r="E460" s="19">
        <v>0</v>
      </c>
      <c r="F460" s="20" t="s">
        <v>1556</v>
      </c>
      <c r="G460" s="21">
        <v>0</v>
      </c>
      <c r="H460" s="21">
        <v>0</v>
      </c>
      <c r="I460" s="14" t="s">
        <v>1561</v>
      </c>
      <c r="J460" s="21">
        <v>1.1168619296141573</v>
      </c>
      <c r="K460" s="21">
        <v>1.1381513000000001</v>
      </c>
      <c r="L460" s="24">
        <f t="shared" si="14"/>
        <v>0</v>
      </c>
    </row>
    <row r="461" spans="1:12" x14ac:dyDescent="0.25">
      <c r="A461" s="15">
        <f t="shared" si="15"/>
        <v>456</v>
      </c>
      <c r="B461" s="17">
        <v>15114</v>
      </c>
      <c r="C461" s="18" t="s">
        <v>117</v>
      </c>
      <c r="D461" s="20" t="s">
        <v>1556</v>
      </c>
      <c r="E461" s="19">
        <v>0</v>
      </c>
      <c r="F461" s="20" t="s">
        <v>1556</v>
      </c>
      <c r="G461" s="21">
        <v>131.90029089999999</v>
      </c>
      <c r="H461" s="21">
        <v>122.7458115</v>
      </c>
      <c r="I461" s="14" t="s">
        <v>1561</v>
      </c>
      <c r="J461" s="21">
        <v>87.425652263043034</v>
      </c>
      <c r="K461" s="21">
        <v>143.20727880000001</v>
      </c>
      <c r="L461" s="24">
        <f t="shared" si="14"/>
        <v>1.0857237525622472</v>
      </c>
    </row>
    <row r="462" spans="1:12" x14ac:dyDescent="0.25">
      <c r="A462" s="15">
        <f t="shared" si="15"/>
        <v>457</v>
      </c>
      <c r="B462" s="17">
        <v>15220</v>
      </c>
      <c r="C462" s="18" t="s">
        <v>281</v>
      </c>
      <c r="D462" s="20">
        <v>1.7009E-3</v>
      </c>
      <c r="E462" s="19">
        <v>0</v>
      </c>
      <c r="F462" s="20">
        <v>1.7009E-3</v>
      </c>
      <c r="G462" s="21">
        <v>2.1598931000000001</v>
      </c>
      <c r="H462" s="21">
        <v>2.1598931000000001</v>
      </c>
      <c r="I462" s="14" t="s">
        <v>1561</v>
      </c>
      <c r="J462" s="21">
        <v>0.28352624682374544</v>
      </c>
      <c r="K462" s="21">
        <v>2.2590076999999997</v>
      </c>
      <c r="L462" s="24">
        <f t="shared" si="14"/>
        <v>1.0458886599526613</v>
      </c>
    </row>
    <row r="463" spans="1:12" x14ac:dyDescent="0.25">
      <c r="A463" s="15">
        <f t="shared" si="15"/>
        <v>458</v>
      </c>
      <c r="B463" s="17">
        <v>15251</v>
      </c>
      <c r="C463" s="18" t="s">
        <v>360</v>
      </c>
      <c r="D463" s="20" t="s">
        <v>1556</v>
      </c>
      <c r="E463" s="19">
        <v>0</v>
      </c>
      <c r="F463" s="20" t="s">
        <v>1556</v>
      </c>
      <c r="G463" s="21">
        <v>0</v>
      </c>
      <c r="H463" s="21">
        <v>0</v>
      </c>
      <c r="I463" s="14" t="s">
        <v>1561</v>
      </c>
      <c r="J463" s="21">
        <v>0</v>
      </c>
      <c r="K463" s="21">
        <v>0</v>
      </c>
      <c r="L463" s="24">
        <f t="shared" si="14"/>
        <v>0</v>
      </c>
    </row>
    <row r="464" spans="1:12" x14ac:dyDescent="0.25">
      <c r="A464" s="15">
        <f t="shared" si="15"/>
        <v>459</v>
      </c>
      <c r="B464" s="17">
        <v>15348</v>
      </c>
      <c r="C464" s="18" t="s">
        <v>658</v>
      </c>
      <c r="D464" s="20" t="s">
        <v>1556</v>
      </c>
      <c r="E464" s="19">
        <v>0</v>
      </c>
      <c r="F464" s="20" t="s">
        <v>1556</v>
      </c>
      <c r="G464" s="21">
        <v>0</v>
      </c>
      <c r="H464" s="21">
        <v>0</v>
      </c>
      <c r="I464" s="14" t="s">
        <v>1561</v>
      </c>
      <c r="J464" s="21">
        <v>0</v>
      </c>
      <c r="K464" s="21">
        <v>0</v>
      </c>
      <c r="L464" s="24">
        <f t="shared" si="14"/>
        <v>0</v>
      </c>
    </row>
    <row r="465" spans="1:12" x14ac:dyDescent="0.25">
      <c r="A465" s="15">
        <f t="shared" si="15"/>
        <v>460</v>
      </c>
      <c r="B465" s="17">
        <v>15422</v>
      </c>
      <c r="C465" s="18" t="s">
        <v>1097</v>
      </c>
      <c r="D465" s="20" t="s">
        <v>1556</v>
      </c>
      <c r="E465" s="19">
        <v>0</v>
      </c>
      <c r="F465" s="20" t="s">
        <v>1556</v>
      </c>
      <c r="G465" s="21">
        <v>0</v>
      </c>
      <c r="H465" s="21">
        <v>0</v>
      </c>
      <c r="I465" s="14" t="s">
        <v>1561</v>
      </c>
      <c r="J465" s="21">
        <v>0</v>
      </c>
      <c r="K465" s="21">
        <v>0</v>
      </c>
      <c r="L465" s="24">
        <f t="shared" si="14"/>
        <v>0</v>
      </c>
    </row>
    <row r="466" spans="1:12" x14ac:dyDescent="0.25">
      <c r="A466" s="15">
        <f t="shared" si="15"/>
        <v>461</v>
      </c>
      <c r="B466" s="17">
        <v>15707</v>
      </c>
      <c r="C466" s="18" t="s">
        <v>1098</v>
      </c>
      <c r="D466" s="20">
        <v>6.9587024</v>
      </c>
      <c r="E466" s="19">
        <v>0</v>
      </c>
      <c r="F466" s="20">
        <v>6.9587024</v>
      </c>
      <c r="G466" s="21">
        <v>642.98140169999999</v>
      </c>
      <c r="H466" s="21">
        <v>431.77794870000002</v>
      </c>
      <c r="I466" s="14" t="s">
        <v>1561</v>
      </c>
      <c r="J466" s="21">
        <v>432.2854839639956</v>
      </c>
      <c r="K466" s="21">
        <v>627.73847280000007</v>
      </c>
      <c r="L466" s="24">
        <f t="shared" si="14"/>
        <v>0.97629335955954766</v>
      </c>
    </row>
    <row r="467" spans="1:12" x14ac:dyDescent="0.25">
      <c r="A467" s="15">
        <f t="shared" si="15"/>
        <v>462</v>
      </c>
      <c r="B467" s="17">
        <v>15824</v>
      </c>
      <c r="C467" s="18" t="s">
        <v>282</v>
      </c>
      <c r="D467" s="20" t="s">
        <v>1556</v>
      </c>
      <c r="E467" s="19">
        <v>0</v>
      </c>
      <c r="F467" s="20" t="s">
        <v>1556</v>
      </c>
      <c r="G467" s="21">
        <v>3.0498474999999998</v>
      </c>
      <c r="H467" s="21">
        <v>1.7969622999999999</v>
      </c>
      <c r="I467" s="14" t="s">
        <v>1561</v>
      </c>
      <c r="J467" s="21">
        <v>5.0001037400667556</v>
      </c>
      <c r="K467" s="21">
        <v>7.1492664000000001</v>
      </c>
      <c r="L467" s="24">
        <f t="shared" si="14"/>
        <v>2.3441389774406756</v>
      </c>
    </row>
    <row r="468" spans="1:12" x14ac:dyDescent="0.25">
      <c r="A468" s="15">
        <f t="shared" si="15"/>
        <v>463</v>
      </c>
      <c r="B468" s="17">
        <v>16160</v>
      </c>
      <c r="C468" s="18" t="s">
        <v>1099</v>
      </c>
      <c r="D468" s="20" t="s">
        <v>1556</v>
      </c>
      <c r="E468" s="19">
        <v>0</v>
      </c>
      <c r="F468" s="20" t="s">
        <v>1556</v>
      </c>
      <c r="G468" s="21">
        <v>0</v>
      </c>
      <c r="H468" s="21">
        <v>0</v>
      </c>
      <c r="I468" s="14" t="s">
        <v>1561</v>
      </c>
      <c r="J468" s="21">
        <v>0</v>
      </c>
      <c r="K468" s="21">
        <v>0</v>
      </c>
      <c r="L468" s="24">
        <f t="shared" si="14"/>
        <v>0</v>
      </c>
    </row>
    <row r="469" spans="1:12" x14ac:dyDescent="0.25">
      <c r="A469" s="15">
        <f t="shared" si="15"/>
        <v>464</v>
      </c>
      <c r="B469" s="17">
        <v>16252</v>
      </c>
      <c r="C469" s="18" t="s">
        <v>1100</v>
      </c>
      <c r="D469" s="20" t="s">
        <v>1556</v>
      </c>
      <c r="E469" s="19">
        <v>0</v>
      </c>
      <c r="F469" s="20" t="s">
        <v>1556</v>
      </c>
      <c r="G469" s="21">
        <v>0</v>
      </c>
      <c r="H469" s="21">
        <v>0</v>
      </c>
      <c r="I469" s="14" t="s">
        <v>1561</v>
      </c>
      <c r="J469" s="21">
        <v>9.4234802854749083E-2</v>
      </c>
      <c r="K469" s="21">
        <v>0.10625950000000001</v>
      </c>
      <c r="L469" s="24">
        <f t="shared" si="14"/>
        <v>0</v>
      </c>
    </row>
    <row r="470" spans="1:12" x14ac:dyDescent="0.25">
      <c r="A470" s="15">
        <f t="shared" si="15"/>
        <v>465</v>
      </c>
      <c r="B470" s="17">
        <v>16321</v>
      </c>
      <c r="C470" s="18" t="s">
        <v>119</v>
      </c>
      <c r="D470" s="20" t="s">
        <v>1556</v>
      </c>
      <c r="E470" s="19">
        <v>0</v>
      </c>
      <c r="F470" s="20" t="s">
        <v>1556</v>
      </c>
      <c r="G470" s="21">
        <v>0</v>
      </c>
      <c r="H470" s="21">
        <v>0</v>
      </c>
      <c r="I470" s="14" t="s">
        <v>1561</v>
      </c>
      <c r="J470" s="21">
        <v>0</v>
      </c>
      <c r="K470" s="21">
        <v>0</v>
      </c>
      <c r="L470" s="24">
        <f t="shared" si="14"/>
        <v>0</v>
      </c>
    </row>
    <row r="471" spans="1:12" x14ac:dyDescent="0.25">
      <c r="A471" s="15">
        <f t="shared" si="15"/>
        <v>466</v>
      </c>
      <c r="B471" s="17">
        <v>16656</v>
      </c>
      <c r="C471" s="18" t="s">
        <v>659</v>
      </c>
      <c r="D471" s="20">
        <v>1.29575E-2</v>
      </c>
      <c r="E471" s="19">
        <v>0</v>
      </c>
      <c r="F471" s="20">
        <v>1.29575E-2</v>
      </c>
      <c r="G471" s="21">
        <v>7.2296385000000001</v>
      </c>
      <c r="H471" s="21">
        <v>7.2296385000000001</v>
      </c>
      <c r="I471" s="14" t="s">
        <v>1561</v>
      </c>
      <c r="J471" s="21">
        <v>0.98935727200931889</v>
      </c>
      <c r="K471" s="21">
        <v>7.3123364999999998</v>
      </c>
      <c r="L471" s="24">
        <f t="shared" si="14"/>
        <v>1.0114387462111694</v>
      </c>
    </row>
    <row r="472" spans="1:12" x14ac:dyDescent="0.25">
      <c r="A472" s="15">
        <f t="shared" si="15"/>
        <v>467</v>
      </c>
      <c r="B472" s="17">
        <v>16699</v>
      </c>
      <c r="C472" s="18" t="s">
        <v>283</v>
      </c>
      <c r="D472" s="20" t="s">
        <v>1556</v>
      </c>
      <c r="E472" s="19">
        <v>0</v>
      </c>
      <c r="F472" s="20" t="s">
        <v>1556</v>
      </c>
      <c r="G472" s="21">
        <v>0</v>
      </c>
      <c r="H472" s="21">
        <v>0</v>
      </c>
      <c r="I472" s="14" t="s">
        <v>1561</v>
      </c>
      <c r="J472" s="21">
        <v>0</v>
      </c>
      <c r="K472" s="21">
        <v>0</v>
      </c>
      <c r="L472" s="24">
        <f t="shared" si="14"/>
        <v>0</v>
      </c>
    </row>
    <row r="473" spans="1:12" x14ac:dyDescent="0.25">
      <c r="A473" s="15">
        <f t="shared" si="15"/>
        <v>468</v>
      </c>
      <c r="B473" s="17">
        <v>16709</v>
      </c>
      <c r="C473" s="18" t="s">
        <v>1101</v>
      </c>
      <c r="D473" s="20" t="s">
        <v>1556</v>
      </c>
      <c r="E473" s="19">
        <v>0</v>
      </c>
      <c r="F473" s="20" t="s">
        <v>1556</v>
      </c>
      <c r="G473" s="21">
        <v>0</v>
      </c>
      <c r="H473" s="21">
        <v>0</v>
      </c>
      <c r="I473" s="14" t="s">
        <v>1561</v>
      </c>
      <c r="J473" s="21">
        <v>0</v>
      </c>
      <c r="K473" s="21">
        <v>0</v>
      </c>
      <c r="L473" s="24">
        <f t="shared" si="14"/>
        <v>0</v>
      </c>
    </row>
    <row r="474" spans="1:12" x14ac:dyDescent="0.25">
      <c r="A474" s="15">
        <f t="shared" si="15"/>
        <v>469</v>
      </c>
      <c r="B474" s="17">
        <v>16845</v>
      </c>
      <c r="C474" s="18" t="s">
        <v>361</v>
      </c>
      <c r="D474" s="20" t="s">
        <v>1556</v>
      </c>
      <c r="E474" s="19">
        <v>0</v>
      </c>
      <c r="F474" s="20" t="s">
        <v>1556</v>
      </c>
      <c r="G474" s="21">
        <v>0</v>
      </c>
      <c r="H474" s="21">
        <v>0</v>
      </c>
      <c r="I474" s="14" t="s">
        <v>1561</v>
      </c>
      <c r="J474" s="21">
        <v>0</v>
      </c>
      <c r="K474" s="21">
        <v>0</v>
      </c>
      <c r="L474" s="24">
        <f t="shared" si="14"/>
        <v>0</v>
      </c>
    </row>
    <row r="475" spans="1:12" x14ac:dyDescent="0.25">
      <c r="A475" s="15">
        <f t="shared" si="15"/>
        <v>470</v>
      </c>
      <c r="B475" s="17">
        <v>16853</v>
      </c>
      <c r="C475" s="18" t="s">
        <v>362</v>
      </c>
      <c r="D475" s="20" t="s">
        <v>1556</v>
      </c>
      <c r="E475" s="19">
        <v>0</v>
      </c>
      <c r="F475" s="20" t="s">
        <v>1556</v>
      </c>
      <c r="G475" s="21">
        <v>0</v>
      </c>
      <c r="H475" s="21">
        <v>0</v>
      </c>
      <c r="I475" s="14" t="s">
        <v>1561</v>
      </c>
      <c r="J475" s="21">
        <v>0</v>
      </c>
      <c r="K475" s="21">
        <v>0</v>
      </c>
      <c r="L475" s="24">
        <f t="shared" si="14"/>
        <v>0</v>
      </c>
    </row>
    <row r="476" spans="1:12" x14ac:dyDescent="0.25">
      <c r="A476" s="15">
        <f t="shared" si="15"/>
        <v>471</v>
      </c>
      <c r="B476" s="17">
        <v>17029</v>
      </c>
      <c r="C476" s="18" t="s">
        <v>660</v>
      </c>
      <c r="D476" s="20">
        <v>3.8534400000000003E-2</v>
      </c>
      <c r="E476" s="19">
        <v>0</v>
      </c>
      <c r="F476" s="20">
        <v>3.8534400000000003E-2</v>
      </c>
      <c r="G476" s="21">
        <v>0</v>
      </c>
      <c r="H476" s="21">
        <v>0</v>
      </c>
      <c r="I476" s="14" t="s">
        <v>1561</v>
      </c>
      <c r="J476" s="21">
        <v>6.3411597857113824</v>
      </c>
      <c r="K476" s="21">
        <v>7.2907447999999997</v>
      </c>
      <c r="L476" s="24">
        <f t="shared" si="14"/>
        <v>0</v>
      </c>
    </row>
    <row r="477" spans="1:12" x14ac:dyDescent="0.25">
      <c r="A477" s="15">
        <f t="shared" si="15"/>
        <v>472</v>
      </c>
      <c r="B477" s="17">
        <v>17067</v>
      </c>
      <c r="C477" s="18" t="s">
        <v>1102</v>
      </c>
      <c r="D477" s="20" t="s">
        <v>1556</v>
      </c>
      <c r="E477" s="19">
        <v>0</v>
      </c>
      <c r="F477" s="20" t="s">
        <v>1556</v>
      </c>
      <c r="G477" s="21">
        <v>21.798909999999999</v>
      </c>
      <c r="H477" s="21">
        <v>21.798909999999999</v>
      </c>
      <c r="I477" s="14" t="s">
        <v>1561</v>
      </c>
      <c r="J477" s="21">
        <v>1.1657267556333333</v>
      </c>
      <c r="K477" s="21">
        <v>23.670701000000001</v>
      </c>
      <c r="L477" s="24">
        <f t="shared" si="14"/>
        <v>1.0858662657903537</v>
      </c>
    </row>
    <row r="478" spans="1:12" x14ac:dyDescent="0.25">
      <c r="A478" s="15">
        <f t="shared" si="15"/>
        <v>473</v>
      </c>
      <c r="B478" s="17">
        <v>17297</v>
      </c>
      <c r="C478" s="18" t="s">
        <v>1103</v>
      </c>
      <c r="D478" s="20">
        <v>1.4768699999999999E-2</v>
      </c>
      <c r="E478" s="19">
        <v>0</v>
      </c>
      <c r="F478" s="20">
        <v>1.4768699999999999E-2</v>
      </c>
      <c r="G478" s="21">
        <v>4.4447779000000001</v>
      </c>
      <c r="H478" s="21">
        <v>4.4447779000000001</v>
      </c>
      <c r="I478" s="14" t="s">
        <v>1561</v>
      </c>
      <c r="J478" s="21">
        <v>1.3433037661621865</v>
      </c>
      <c r="K478" s="21">
        <v>4.6098407000000003</v>
      </c>
      <c r="L478" s="24">
        <f t="shared" si="14"/>
        <v>1.037136343752969</v>
      </c>
    </row>
    <row r="479" spans="1:12" x14ac:dyDescent="0.25">
      <c r="A479" s="15">
        <f t="shared" si="15"/>
        <v>474</v>
      </c>
      <c r="B479" s="17">
        <v>17358</v>
      </c>
      <c r="C479" s="18" t="s">
        <v>1104</v>
      </c>
      <c r="D479" s="20" t="s">
        <v>1556</v>
      </c>
      <c r="E479" s="19">
        <v>0</v>
      </c>
      <c r="F479" s="20" t="s">
        <v>1556</v>
      </c>
      <c r="G479" s="21">
        <v>0</v>
      </c>
      <c r="H479" s="21">
        <v>0</v>
      </c>
      <c r="I479" s="14" t="s">
        <v>1561</v>
      </c>
      <c r="J479" s="21">
        <v>0</v>
      </c>
      <c r="K479" s="21">
        <v>0</v>
      </c>
      <c r="L479" s="24">
        <f t="shared" si="14"/>
        <v>0</v>
      </c>
    </row>
    <row r="480" spans="1:12" x14ac:dyDescent="0.25">
      <c r="A480" s="15">
        <f t="shared" si="15"/>
        <v>475</v>
      </c>
      <c r="B480" s="17">
        <v>17593</v>
      </c>
      <c r="C480" s="18" t="s">
        <v>1105</v>
      </c>
      <c r="D480" s="20" t="s">
        <v>1556</v>
      </c>
      <c r="E480" s="19">
        <v>0</v>
      </c>
      <c r="F480" s="20" t="s">
        <v>1556</v>
      </c>
      <c r="G480" s="21">
        <v>11.459427</v>
      </c>
      <c r="H480" s="21">
        <v>2.581E-2</v>
      </c>
      <c r="I480" s="14" t="s">
        <v>1561</v>
      </c>
      <c r="J480" s="21">
        <v>0.2039518287666667</v>
      </c>
      <c r="K480" s="21">
        <v>0</v>
      </c>
      <c r="L480" s="24">
        <f t="shared" si="14"/>
        <v>0</v>
      </c>
    </row>
    <row r="481" spans="1:12" x14ac:dyDescent="0.25">
      <c r="A481" s="15">
        <f t="shared" si="15"/>
        <v>476</v>
      </c>
      <c r="B481" s="17">
        <v>17645</v>
      </c>
      <c r="C481" s="18" t="s">
        <v>1106</v>
      </c>
      <c r="D481" s="20" t="s">
        <v>1556</v>
      </c>
      <c r="E481" s="19">
        <v>0</v>
      </c>
      <c r="F481" s="20" t="s">
        <v>1556</v>
      </c>
      <c r="G481" s="21">
        <v>0</v>
      </c>
      <c r="H481" s="21">
        <v>0</v>
      </c>
      <c r="I481" s="14" t="s">
        <v>1561</v>
      </c>
      <c r="J481" s="21">
        <v>0</v>
      </c>
      <c r="K481" s="21">
        <v>0</v>
      </c>
      <c r="L481" s="24">
        <f t="shared" si="14"/>
        <v>0</v>
      </c>
    </row>
    <row r="482" spans="1:12" x14ac:dyDescent="0.25">
      <c r="A482" s="15">
        <f t="shared" si="15"/>
        <v>477</v>
      </c>
      <c r="B482" s="17">
        <v>17697</v>
      </c>
      <c r="C482" s="18" t="s">
        <v>661</v>
      </c>
      <c r="D482" s="20" t="s">
        <v>1556</v>
      </c>
      <c r="E482" s="19">
        <v>0</v>
      </c>
      <c r="F482" s="20" t="s">
        <v>1556</v>
      </c>
      <c r="G482" s="21">
        <v>0</v>
      </c>
      <c r="H482" s="21">
        <v>-4.9400600000000003E-2</v>
      </c>
      <c r="I482" s="14" t="s">
        <v>1561</v>
      </c>
      <c r="J482" s="21">
        <v>2.4914333100358423E-2</v>
      </c>
      <c r="K482" s="21">
        <v>0</v>
      </c>
      <c r="L482" s="24">
        <f t="shared" si="14"/>
        <v>0</v>
      </c>
    </row>
    <row r="483" spans="1:12" x14ac:dyDescent="0.25">
      <c r="A483" s="15">
        <f t="shared" si="15"/>
        <v>478</v>
      </c>
      <c r="B483" s="17">
        <v>17698</v>
      </c>
      <c r="C483" s="18" t="s">
        <v>1107</v>
      </c>
      <c r="D483" s="20" t="s">
        <v>1556</v>
      </c>
      <c r="E483" s="19">
        <v>0</v>
      </c>
      <c r="F483" s="20" t="s">
        <v>1556</v>
      </c>
      <c r="G483" s="21">
        <v>0</v>
      </c>
      <c r="H483" s="21">
        <v>0</v>
      </c>
      <c r="I483" s="14" t="s">
        <v>1561</v>
      </c>
      <c r="J483" s="21">
        <v>0</v>
      </c>
      <c r="K483" s="21">
        <v>0</v>
      </c>
      <c r="L483" s="24">
        <f t="shared" si="14"/>
        <v>0</v>
      </c>
    </row>
    <row r="484" spans="1:12" x14ac:dyDescent="0.25">
      <c r="A484" s="15">
        <f t="shared" si="15"/>
        <v>479</v>
      </c>
      <c r="B484" s="17">
        <v>18090</v>
      </c>
      <c r="C484" s="18" t="s">
        <v>662</v>
      </c>
      <c r="D484" s="20" t="s">
        <v>1556</v>
      </c>
      <c r="E484" s="19">
        <v>0</v>
      </c>
      <c r="F484" s="20" t="s">
        <v>1556</v>
      </c>
      <c r="G484" s="21">
        <v>0</v>
      </c>
      <c r="H484" s="21">
        <v>0</v>
      </c>
      <c r="I484" s="14" t="s">
        <v>1561</v>
      </c>
      <c r="J484" s="21">
        <v>0</v>
      </c>
      <c r="K484" s="21">
        <v>0</v>
      </c>
      <c r="L484" s="24">
        <f t="shared" si="14"/>
        <v>0</v>
      </c>
    </row>
    <row r="485" spans="1:12" x14ac:dyDescent="0.25">
      <c r="A485" s="15">
        <f t="shared" si="15"/>
        <v>480</v>
      </c>
      <c r="B485" s="17">
        <v>18141</v>
      </c>
      <c r="C485" s="18" t="s">
        <v>1108</v>
      </c>
      <c r="D485" s="20" t="s">
        <v>1556</v>
      </c>
      <c r="E485" s="19">
        <v>0</v>
      </c>
      <c r="F485" s="20" t="s">
        <v>1556</v>
      </c>
      <c r="G485" s="21">
        <v>0</v>
      </c>
      <c r="H485" s="21">
        <v>0</v>
      </c>
      <c r="I485" s="14" t="s">
        <v>1561</v>
      </c>
      <c r="J485" s="21">
        <v>0</v>
      </c>
      <c r="K485" s="21">
        <v>0</v>
      </c>
      <c r="L485" s="24">
        <f t="shared" si="14"/>
        <v>0</v>
      </c>
    </row>
    <row r="486" spans="1:12" x14ac:dyDescent="0.25">
      <c r="A486" s="15">
        <f t="shared" si="15"/>
        <v>481</v>
      </c>
      <c r="B486" s="17">
        <v>18212</v>
      </c>
      <c r="C486" s="18" t="s">
        <v>663</v>
      </c>
      <c r="D486" s="20" t="s">
        <v>1556</v>
      </c>
      <c r="E486" s="19">
        <v>0</v>
      </c>
      <c r="F486" s="20" t="s">
        <v>1556</v>
      </c>
      <c r="G486" s="21">
        <v>0.35998199999999997</v>
      </c>
      <c r="H486" s="21">
        <v>0.35998199999999997</v>
      </c>
      <c r="I486" s="14" t="s">
        <v>1561</v>
      </c>
      <c r="J486" s="21">
        <v>7.3727939114695357E-2</v>
      </c>
      <c r="K486" s="21">
        <v>0.3563325</v>
      </c>
      <c r="L486" s="24">
        <f t="shared" si="14"/>
        <v>0.98986199309965506</v>
      </c>
    </row>
    <row r="487" spans="1:12" x14ac:dyDescent="0.25">
      <c r="A487" s="15">
        <f t="shared" si="15"/>
        <v>482</v>
      </c>
      <c r="B487" s="17">
        <v>18351</v>
      </c>
      <c r="C487" s="18" t="s">
        <v>664</v>
      </c>
      <c r="D487" s="20" t="s">
        <v>1556</v>
      </c>
      <c r="E487" s="19">
        <v>0</v>
      </c>
      <c r="F487" s="20" t="s">
        <v>1556</v>
      </c>
      <c r="G487" s="21">
        <v>0</v>
      </c>
      <c r="H487" s="21">
        <v>0</v>
      </c>
      <c r="I487" s="14" t="s">
        <v>1561</v>
      </c>
      <c r="J487" s="21">
        <v>0</v>
      </c>
      <c r="K487" s="21">
        <v>0</v>
      </c>
      <c r="L487" s="24">
        <f t="shared" si="14"/>
        <v>0</v>
      </c>
    </row>
    <row r="488" spans="1:12" x14ac:dyDescent="0.25">
      <c r="A488" s="15">
        <f t="shared" si="15"/>
        <v>483</v>
      </c>
      <c r="B488" s="17">
        <v>18503</v>
      </c>
      <c r="C488" s="18" t="s">
        <v>1109</v>
      </c>
      <c r="D488" s="20" t="s">
        <v>1556</v>
      </c>
      <c r="E488" s="19">
        <v>0</v>
      </c>
      <c r="F488" s="20" t="s">
        <v>1556</v>
      </c>
      <c r="G488" s="21">
        <v>0</v>
      </c>
      <c r="H488" s="21">
        <v>0</v>
      </c>
      <c r="I488" s="14" t="s">
        <v>1561</v>
      </c>
      <c r="J488" s="21">
        <v>0</v>
      </c>
      <c r="K488" s="21">
        <v>0</v>
      </c>
      <c r="L488" s="24">
        <f t="shared" si="14"/>
        <v>0</v>
      </c>
    </row>
    <row r="489" spans="1:12" x14ac:dyDescent="0.25">
      <c r="A489" s="15">
        <f t="shared" si="15"/>
        <v>484</v>
      </c>
      <c r="B489" s="17">
        <v>18515</v>
      </c>
      <c r="C489" s="18" t="s">
        <v>665</v>
      </c>
      <c r="D489" s="20" t="s">
        <v>1556</v>
      </c>
      <c r="E489" s="19">
        <v>0</v>
      </c>
      <c r="F489" s="20" t="s">
        <v>1556</v>
      </c>
      <c r="G489" s="21">
        <v>0</v>
      </c>
      <c r="H489" s="21">
        <v>0</v>
      </c>
      <c r="I489" s="14" t="s">
        <v>1561</v>
      </c>
      <c r="J489" s="21">
        <v>0</v>
      </c>
      <c r="K489" s="21">
        <v>0</v>
      </c>
      <c r="L489" s="24">
        <f t="shared" si="14"/>
        <v>0</v>
      </c>
    </row>
    <row r="490" spans="1:12" x14ac:dyDescent="0.25">
      <c r="A490" s="15">
        <f t="shared" si="15"/>
        <v>485</v>
      </c>
      <c r="B490" s="17">
        <v>18523</v>
      </c>
      <c r="C490" s="18" t="s">
        <v>666</v>
      </c>
      <c r="D490" s="20" t="s">
        <v>1556</v>
      </c>
      <c r="E490" s="19">
        <v>0</v>
      </c>
      <c r="F490" s="20" t="s">
        <v>1556</v>
      </c>
      <c r="G490" s="21">
        <v>0</v>
      </c>
      <c r="H490" s="21">
        <v>0</v>
      </c>
      <c r="I490" s="14" t="s">
        <v>1561</v>
      </c>
      <c r="J490" s="21">
        <v>0</v>
      </c>
      <c r="K490" s="21">
        <v>0</v>
      </c>
      <c r="L490" s="24">
        <f t="shared" si="14"/>
        <v>0</v>
      </c>
    </row>
    <row r="491" spans="1:12" x14ac:dyDescent="0.25">
      <c r="A491" s="15">
        <f t="shared" si="15"/>
        <v>486</v>
      </c>
      <c r="B491" s="17">
        <v>18557</v>
      </c>
      <c r="C491" s="18" t="s">
        <v>667</v>
      </c>
      <c r="D491" s="20" t="s">
        <v>1556</v>
      </c>
      <c r="E491" s="19">
        <v>0</v>
      </c>
      <c r="F491" s="20" t="s">
        <v>1556</v>
      </c>
      <c r="G491" s="21">
        <v>0</v>
      </c>
      <c r="H491" s="21">
        <v>0</v>
      </c>
      <c r="I491" s="14" t="s">
        <v>1561</v>
      </c>
      <c r="J491" s="21">
        <v>0</v>
      </c>
      <c r="K491" s="21">
        <v>0</v>
      </c>
      <c r="L491" s="24">
        <f t="shared" si="14"/>
        <v>0</v>
      </c>
    </row>
    <row r="492" spans="1:12" x14ac:dyDescent="0.25">
      <c r="A492" s="15">
        <f t="shared" si="15"/>
        <v>487</v>
      </c>
      <c r="B492" s="17">
        <v>18741</v>
      </c>
      <c r="C492" s="18" t="s">
        <v>95</v>
      </c>
      <c r="D492" s="20">
        <v>10.767947299999999</v>
      </c>
      <c r="E492" s="19">
        <v>0</v>
      </c>
      <c r="F492" s="20">
        <v>10.767947299999999</v>
      </c>
      <c r="G492" s="21">
        <v>1204.4431763</v>
      </c>
      <c r="H492" s="21">
        <v>1136.484166</v>
      </c>
      <c r="I492" s="14" t="s">
        <v>1561</v>
      </c>
      <c r="J492" s="21">
        <v>710.17250216388209</v>
      </c>
      <c r="K492" s="21">
        <v>1317.1740127999999</v>
      </c>
      <c r="L492" s="24">
        <f t="shared" si="14"/>
        <v>1.0935958115071103</v>
      </c>
    </row>
    <row r="493" spans="1:12" x14ac:dyDescent="0.25">
      <c r="A493" s="15">
        <f t="shared" si="15"/>
        <v>488</v>
      </c>
      <c r="B493" s="17">
        <v>18747</v>
      </c>
      <c r="C493" s="18" t="s">
        <v>284</v>
      </c>
      <c r="D493" s="20">
        <v>5.1553599999999998E-2</v>
      </c>
      <c r="E493" s="19">
        <v>0</v>
      </c>
      <c r="F493" s="20">
        <v>5.1553599999999998E-2</v>
      </c>
      <c r="G493" s="21">
        <v>40.997950099999997</v>
      </c>
      <c r="H493" s="21">
        <v>40.997950099999997</v>
      </c>
      <c r="I493" s="14" t="s">
        <v>1561</v>
      </c>
      <c r="J493" s="21">
        <v>7.3381307178310946</v>
      </c>
      <c r="K493" s="21">
        <v>41.695558999999996</v>
      </c>
      <c r="L493" s="24">
        <f t="shared" si="14"/>
        <v>1.0170157019631085</v>
      </c>
    </row>
    <row r="494" spans="1:12" x14ac:dyDescent="0.25">
      <c r="A494" s="15">
        <f t="shared" si="15"/>
        <v>489</v>
      </c>
      <c r="B494" s="17">
        <v>18879</v>
      </c>
      <c r="C494" s="18" t="s">
        <v>363</v>
      </c>
      <c r="D494" s="20">
        <v>1.9123299999999999E-2</v>
      </c>
      <c r="E494" s="19">
        <v>0</v>
      </c>
      <c r="F494" s="20">
        <v>1.9123299999999999E-2</v>
      </c>
      <c r="G494" s="21">
        <v>0</v>
      </c>
      <c r="H494" s="21">
        <v>0</v>
      </c>
      <c r="I494" s="14" t="s">
        <v>1561</v>
      </c>
      <c r="J494" s="21">
        <v>2.2453628495400539</v>
      </c>
      <c r="K494" s="21">
        <v>2.5816045999999999</v>
      </c>
      <c r="L494" s="24">
        <f t="shared" si="14"/>
        <v>0</v>
      </c>
    </row>
    <row r="495" spans="1:12" x14ac:dyDescent="0.25">
      <c r="A495" s="15">
        <f t="shared" si="15"/>
        <v>490</v>
      </c>
      <c r="B495" s="17">
        <v>18919</v>
      </c>
      <c r="C495" s="18" t="s">
        <v>668</v>
      </c>
      <c r="D495" s="20">
        <v>1.3070799999999999E-2</v>
      </c>
      <c r="E495" s="19">
        <v>0</v>
      </c>
      <c r="F495" s="20">
        <v>1.3070799999999999E-2</v>
      </c>
      <c r="G495" s="21">
        <v>14.5809503</v>
      </c>
      <c r="H495" s="21">
        <v>13.0940125</v>
      </c>
      <c r="I495" s="14" t="s">
        <v>1561</v>
      </c>
      <c r="J495" s="21">
        <v>2.2502823435835131</v>
      </c>
      <c r="K495" s="21">
        <v>13.2285407</v>
      </c>
      <c r="L495" s="24">
        <f t="shared" si="14"/>
        <v>0.90724818532575346</v>
      </c>
    </row>
    <row r="496" spans="1:12" x14ac:dyDescent="0.25">
      <c r="A496" s="15">
        <f t="shared" si="15"/>
        <v>491</v>
      </c>
      <c r="B496" s="17">
        <v>18941</v>
      </c>
      <c r="C496" s="18" t="s">
        <v>285</v>
      </c>
      <c r="D496" s="20">
        <v>3.3804399999999998E-2</v>
      </c>
      <c r="E496" s="19">
        <v>0</v>
      </c>
      <c r="F496" s="20">
        <v>3.3804399999999998E-2</v>
      </c>
      <c r="G496" s="21">
        <v>5.9477925999999997</v>
      </c>
      <c r="H496" s="21">
        <v>5.8477017</v>
      </c>
      <c r="I496" s="14" t="s">
        <v>1561</v>
      </c>
      <c r="J496" s="21">
        <v>3.204787994589875</v>
      </c>
      <c r="K496" s="21">
        <v>6.7045713999999998</v>
      </c>
      <c r="L496" s="24">
        <f t="shared" si="14"/>
        <v>1.1272369181131165</v>
      </c>
    </row>
    <row r="497" spans="1:12" x14ac:dyDescent="0.25">
      <c r="A497" s="15">
        <f t="shared" si="15"/>
        <v>492</v>
      </c>
      <c r="B497" s="17">
        <v>19016</v>
      </c>
      <c r="C497" s="18" t="s">
        <v>1110</v>
      </c>
      <c r="D497" s="20" t="s">
        <v>1556</v>
      </c>
      <c r="E497" s="19">
        <v>0</v>
      </c>
      <c r="F497" s="20" t="s">
        <v>1556</v>
      </c>
      <c r="G497" s="21">
        <v>0</v>
      </c>
      <c r="H497" s="21">
        <v>0</v>
      </c>
      <c r="I497" s="14" t="s">
        <v>1561</v>
      </c>
      <c r="J497" s="21">
        <v>0</v>
      </c>
      <c r="K497" s="21">
        <v>0</v>
      </c>
      <c r="L497" s="24">
        <f t="shared" si="14"/>
        <v>0</v>
      </c>
    </row>
    <row r="498" spans="1:12" x14ac:dyDescent="0.25">
      <c r="A498" s="15">
        <f t="shared" si="15"/>
        <v>493</v>
      </c>
      <c r="B498" s="17">
        <v>19017</v>
      </c>
      <c r="C498" s="18" t="s">
        <v>1111</v>
      </c>
      <c r="D498" s="20" t="s">
        <v>1556</v>
      </c>
      <c r="E498" s="19">
        <v>0</v>
      </c>
      <c r="F498" s="20" t="s">
        <v>1556</v>
      </c>
      <c r="G498" s="21">
        <v>0</v>
      </c>
      <c r="H498" s="21">
        <v>0</v>
      </c>
      <c r="I498" s="14" t="s">
        <v>1561</v>
      </c>
      <c r="J498" s="21">
        <v>0</v>
      </c>
      <c r="K498" s="21">
        <v>0</v>
      </c>
      <c r="L498" s="24">
        <f t="shared" si="14"/>
        <v>0</v>
      </c>
    </row>
    <row r="499" spans="1:12" x14ac:dyDescent="0.25">
      <c r="A499" s="15">
        <f t="shared" si="15"/>
        <v>494</v>
      </c>
      <c r="B499" s="17">
        <v>19027</v>
      </c>
      <c r="C499" s="18" t="s">
        <v>669</v>
      </c>
      <c r="D499" s="20">
        <v>0.12846079999999999</v>
      </c>
      <c r="E499" s="19">
        <v>0</v>
      </c>
      <c r="F499" s="20">
        <v>0.12846079999999999</v>
      </c>
      <c r="G499" s="21">
        <v>49.995282400000001</v>
      </c>
      <c r="H499" s="21">
        <v>22.2443639</v>
      </c>
      <c r="I499" s="14" t="s">
        <v>1561</v>
      </c>
      <c r="J499" s="21">
        <v>16.367160407519449</v>
      </c>
      <c r="K499" s="21">
        <v>25.8866446</v>
      </c>
      <c r="L499" s="24">
        <f t="shared" si="14"/>
        <v>0.5177817457432744</v>
      </c>
    </row>
    <row r="500" spans="1:12" x14ac:dyDescent="0.25">
      <c r="A500" s="15">
        <f t="shared" si="15"/>
        <v>495</v>
      </c>
      <c r="B500" s="17">
        <v>19038</v>
      </c>
      <c r="C500" s="18" t="s">
        <v>670</v>
      </c>
      <c r="D500" s="20" t="s">
        <v>1556</v>
      </c>
      <c r="E500" s="19">
        <v>0</v>
      </c>
      <c r="F500" s="20" t="s">
        <v>1556</v>
      </c>
      <c r="G500" s="21">
        <v>0</v>
      </c>
      <c r="H500" s="21">
        <v>0</v>
      </c>
      <c r="I500" s="14" t="s">
        <v>1561</v>
      </c>
      <c r="J500" s="21">
        <v>0</v>
      </c>
      <c r="K500" s="21">
        <v>0</v>
      </c>
      <c r="L500" s="24">
        <f t="shared" si="14"/>
        <v>0</v>
      </c>
    </row>
    <row r="501" spans="1:12" x14ac:dyDescent="0.25">
      <c r="A501" s="15">
        <f t="shared" si="15"/>
        <v>496</v>
      </c>
      <c r="B501" s="17">
        <v>19155</v>
      </c>
      <c r="C501" s="18" t="s">
        <v>1112</v>
      </c>
      <c r="D501" s="20" t="s">
        <v>1556</v>
      </c>
      <c r="E501" s="19">
        <v>0</v>
      </c>
      <c r="F501" s="20" t="s">
        <v>1556</v>
      </c>
      <c r="G501" s="21">
        <v>15.599220000000001</v>
      </c>
      <c r="H501" s="21">
        <v>12.47922</v>
      </c>
      <c r="I501" s="14" t="s">
        <v>1561</v>
      </c>
      <c r="J501" s="21">
        <v>0.95823781774999983</v>
      </c>
      <c r="K501" s="21">
        <v>12.585111999999999</v>
      </c>
      <c r="L501" s="24">
        <f t="shared" si="14"/>
        <v>0.80677828763233017</v>
      </c>
    </row>
    <row r="502" spans="1:12" x14ac:dyDescent="0.25">
      <c r="A502" s="15">
        <f t="shared" si="15"/>
        <v>497</v>
      </c>
      <c r="B502" s="17">
        <v>19190</v>
      </c>
      <c r="C502" s="18" t="s">
        <v>671</v>
      </c>
      <c r="D502" s="20" t="s">
        <v>1556</v>
      </c>
      <c r="E502" s="19">
        <v>0</v>
      </c>
      <c r="F502" s="20" t="s">
        <v>1556</v>
      </c>
      <c r="G502" s="21">
        <v>0</v>
      </c>
      <c r="H502" s="21">
        <v>0</v>
      </c>
      <c r="I502" s="14" t="s">
        <v>1561</v>
      </c>
      <c r="J502" s="21">
        <v>0</v>
      </c>
      <c r="K502" s="21">
        <v>0</v>
      </c>
      <c r="L502" s="24">
        <f t="shared" si="14"/>
        <v>0</v>
      </c>
    </row>
    <row r="503" spans="1:12" x14ac:dyDescent="0.25">
      <c r="A503" s="15">
        <f t="shared" si="15"/>
        <v>498</v>
      </c>
      <c r="B503" s="17">
        <v>19203</v>
      </c>
      <c r="C503" s="18" t="s">
        <v>672</v>
      </c>
      <c r="D503" s="20">
        <v>12.073979</v>
      </c>
      <c r="E503" s="19">
        <v>0</v>
      </c>
      <c r="F503" s="20">
        <v>12.073979</v>
      </c>
      <c r="G503" s="21">
        <v>2203.5050302999998</v>
      </c>
      <c r="H503" s="21">
        <v>1630.5401144</v>
      </c>
      <c r="I503" s="14" t="s">
        <v>1561</v>
      </c>
      <c r="J503" s="21">
        <v>997.51545329754072</v>
      </c>
      <c r="K503" s="21">
        <v>1812.9983212</v>
      </c>
      <c r="L503" s="24">
        <f t="shared" si="14"/>
        <v>0.82277929765069169</v>
      </c>
    </row>
    <row r="504" spans="1:12" x14ac:dyDescent="0.25">
      <c r="A504" s="15">
        <f t="shared" si="15"/>
        <v>499</v>
      </c>
      <c r="B504" s="17">
        <v>19343</v>
      </c>
      <c r="C504" s="18" t="s">
        <v>442</v>
      </c>
      <c r="D504" s="20">
        <v>0.89929309999999996</v>
      </c>
      <c r="E504" s="19">
        <v>0</v>
      </c>
      <c r="F504" s="20">
        <v>0.89929309999999996</v>
      </c>
      <c r="G504" s="21">
        <v>157.82486210000002</v>
      </c>
      <c r="H504" s="21">
        <v>113.22548170000002</v>
      </c>
      <c r="I504" s="14" t="s">
        <v>1561</v>
      </c>
      <c r="J504" s="21">
        <v>82.069782043776044</v>
      </c>
      <c r="K504" s="21">
        <v>123.93644740000001</v>
      </c>
      <c r="L504" s="24">
        <f t="shared" si="14"/>
        <v>0.78527835064080176</v>
      </c>
    </row>
    <row r="505" spans="1:12" x14ac:dyDescent="0.25">
      <c r="A505" s="15">
        <f t="shared" si="15"/>
        <v>500</v>
      </c>
      <c r="B505" s="17">
        <v>19392</v>
      </c>
      <c r="C505" s="18" t="s">
        <v>1113</v>
      </c>
      <c r="D505" s="20">
        <v>1.8390877999999999</v>
      </c>
      <c r="E505" s="19">
        <v>0</v>
      </c>
      <c r="F505" s="20">
        <v>1.8390877999999999</v>
      </c>
      <c r="G505" s="21">
        <v>341.44045310000001</v>
      </c>
      <c r="H505" s="21">
        <v>289.11502050000007</v>
      </c>
      <c r="I505" s="14" t="s">
        <v>1561</v>
      </c>
      <c r="J505" s="21">
        <v>135.37276134641101</v>
      </c>
      <c r="K505" s="21">
        <v>306.61661960000004</v>
      </c>
      <c r="L505" s="24">
        <f t="shared" si="14"/>
        <v>0.89800905784939056</v>
      </c>
    </row>
    <row r="506" spans="1:12" x14ac:dyDescent="0.25">
      <c r="A506" s="15">
        <f t="shared" si="15"/>
        <v>501</v>
      </c>
      <c r="B506" s="17">
        <v>19760</v>
      </c>
      <c r="C506" s="18" t="s">
        <v>673</v>
      </c>
      <c r="D506" s="20">
        <v>0.96441820000000011</v>
      </c>
      <c r="E506" s="19">
        <v>0</v>
      </c>
      <c r="F506" s="20">
        <v>0.96441820000000011</v>
      </c>
      <c r="G506" s="21">
        <v>202.4698722</v>
      </c>
      <c r="H506" s="21">
        <v>201.31406959999998</v>
      </c>
      <c r="I506" s="14" t="s">
        <v>1561</v>
      </c>
      <c r="J506" s="21">
        <v>80.032770880720079</v>
      </c>
      <c r="K506" s="21">
        <v>212.0435817</v>
      </c>
      <c r="L506" s="24">
        <f t="shared" si="14"/>
        <v>1.0472846127474367</v>
      </c>
    </row>
    <row r="507" spans="1:12" x14ac:dyDescent="0.25">
      <c r="A507" s="15">
        <f t="shared" si="15"/>
        <v>502</v>
      </c>
      <c r="B507" s="17">
        <v>19969</v>
      </c>
      <c r="C507" s="18" t="s">
        <v>364</v>
      </c>
      <c r="D507" s="20" t="s">
        <v>1556</v>
      </c>
      <c r="E507" s="19">
        <v>0</v>
      </c>
      <c r="F507" s="20" t="s">
        <v>1556</v>
      </c>
      <c r="G507" s="21">
        <v>0</v>
      </c>
      <c r="H507" s="21">
        <v>0</v>
      </c>
      <c r="I507" s="14" t="s">
        <v>1561</v>
      </c>
      <c r="J507" s="21">
        <v>0</v>
      </c>
      <c r="K507" s="21">
        <v>0</v>
      </c>
      <c r="L507" s="24">
        <f t="shared" si="14"/>
        <v>0</v>
      </c>
    </row>
    <row r="508" spans="1:12" x14ac:dyDescent="0.25">
      <c r="A508" s="15">
        <f t="shared" si="15"/>
        <v>503</v>
      </c>
      <c r="B508" s="17">
        <v>20505</v>
      </c>
      <c r="C508" s="18" t="s">
        <v>1114</v>
      </c>
      <c r="D508" s="20" t="s">
        <v>1556</v>
      </c>
      <c r="E508" s="19">
        <v>0</v>
      </c>
      <c r="F508" s="20" t="s">
        <v>1556</v>
      </c>
      <c r="G508" s="21">
        <v>0</v>
      </c>
      <c r="H508" s="21">
        <v>0</v>
      </c>
      <c r="I508" s="14" t="s">
        <v>1561</v>
      </c>
      <c r="J508" s="21">
        <v>0</v>
      </c>
      <c r="K508" s="21">
        <v>0</v>
      </c>
      <c r="L508" s="24">
        <f t="shared" si="14"/>
        <v>0</v>
      </c>
    </row>
    <row r="509" spans="1:12" x14ac:dyDescent="0.25">
      <c r="A509" s="15">
        <f t="shared" si="15"/>
        <v>504</v>
      </c>
      <c r="B509" s="17">
        <v>20569</v>
      </c>
      <c r="C509" s="18" t="s">
        <v>1115</v>
      </c>
      <c r="D509" s="20">
        <v>4.2388800000000004E-2</v>
      </c>
      <c r="E509" s="19">
        <v>0</v>
      </c>
      <c r="F509" s="20">
        <v>4.2388800000000004E-2</v>
      </c>
      <c r="G509" s="21">
        <v>19.509026599999999</v>
      </c>
      <c r="H509" s="21">
        <v>18.544360699999999</v>
      </c>
      <c r="I509" s="14" t="s">
        <v>1561</v>
      </c>
      <c r="J509" s="21">
        <v>4.5160428890970445</v>
      </c>
      <c r="K509" s="21">
        <v>20.3766371</v>
      </c>
      <c r="L509" s="24">
        <f t="shared" si="14"/>
        <v>1.0444722598307392</v>
      </c>
    </row>
    <row r="510" spans="1:12" x14ac:dyDescent="0.25">
      <c r="A510" s="15">
        <f t="shared" si="15"/>
        <v>505</v>
      </c>
      <c r="B510" s="17">
        <v>20669</v>
      </c>
      <c r="C510" s="18" t="s">
        <v>96</v>
      </c>
      <c r="D510" s="20">
        <v>0.11912350000000001</v>
      </c>
      <c r="E510" s="19">
        <v>0</v>
      </c>
      <c r="F510" s="20">
        <v>0.11912350000000001</v>
      </c>
      <c r="G510" s="21">
        <v>15.264236799999999</v>
      </c>
      <c r="H510" s="21">
        <v>15.0421975</v>
      </c>
      <c r="I510" s="14" t="s">
        <v>1561</v>
      </c>
      <c r="J510" s="21">
        <v>18.607571970206013</v>
      </c>
      <c r="K510" s="21">
        <v>30.181297700000002</v>
      </c>
      <c r="L510" s="24">
        <f t="shared" si="14"/>
        <v>1.9772556004896362</v>
      </c>
    </row>
    <row r="511" spans="1:12" x14ac:dyDescent="0.25">
      <c r="A511" s="15">
        <f t="shared" si="15"/>
        <v>506</v>
      </c>
      <c r="B511" s="17">
        <v>20677</v>
      </c>
      <c r="C511" s="18" t="s">
        <v>97</v>
      </c>
      <c r="D511" s="20" t="s">
        <v>1556</v>
      </c>
      <c r="E511" s="19">
        <v>0</v>
      </c>
      <c r="F511" s="20" t="s">
        <v>1556</v>
      </c>
      <c r="G511" s="21">
        <v>0</v>
      </c>
      <c r="H511" s="21">
        <v>0</v>
      </c>
      <c r="I511" s="14" t="s">
        <v>1561</v>
      </c>
      <c r="J511" s="21">
        <v>0</v>
      </c>
      <c r="K511" s="21">
        <v>0</v>
      </c>
      <c r="L511" s="24">
        <f t="shared" si="14"/>
        <v>0</v>
      </c>
    </row>
    <row r="512" spans="1:12" x14ac:dyDescent="0.25">
      <c r="A512" s="15">
        <f t="shared" si="15"/>
        <v>507</v>
      </c>
      <c r="B512" s="17">
        <v>20684</v>
      </c>
      <c r="C512" s="18" t="s">
        <v>1116</v>
      </c>
      <c r="D512" s="20" t="s">
        <v>1556</v>
      </c>
      <c r="E512" s="19">
        <v>0</v>
      </c>
      <c r="F512" s="20" t="s">
        <v>1556</v>
      </c>
      <c r="G512" s="21">
        <v>0</v>
      </c>
      <c r="H512" s="21">
        <v>0</v>
      </c>
      <c r="I512" s="14" t="s">
        <v>1561</v>
      </c>
      <c r="J512" s="21">
        <v>0</v>
      </c>
      <c r="K512" s="21">
        <v>0</v>
      </c>
      <c r="L512" s="24">
        <f t="shared" si="14"/>
        <v>0</v>
      </c>
    </row>
    <row r="513" spans="1:12" x14ac:dyDescent="0.25">
      <c r="A513" s="15">
        <f t="shared" si="15"/>
        <v>508</v>
      </c>
      <c r="B513" s="17">
        <v>20721</v>
      </c>
      <c r="C513" s="18" t="s">
        <v>674</v>
      </c>
      <c r="D513" s="20" t="s">
        <v>1556</v>
      </c>
      <c r="E513" s="19">
        <v>0</v>
      </c>
      <c r="F513" s="20" t="s">
        <v>1556</v>
      </c>
      <c r="G513" s="21">
        <v>2.4098795000000002</v>
      </c>
      <c r="H513" s="21">
        <v>2.4098795000000002</v>
      </c>
      <c r="I513" s="14" t="s">
        <v>1561</v>
      </c>
      <c r="J513" s="21">
        <v>3.204835255875</v>
      </c>
      <c r="K513" s="21">
        <v>5.1281927999999999</v>
      </c>
      <c r="L513" s="24">
        <f t="shared" si="14"/>
        <v>2.1279872292369801</v>
      </c>
    </row>
    <row r="514" spans="1:12" x14ac:dyDescent="0.25">
      <c r="A514" s="15">
        <f t="shared" si="15"/>
        <v>509</v>
      </c>
      <c r="B514" s="17">
        <v>20936</v>
      </c>
      <c r="C514" s="18" t="s">
        <v>98</v>
      </c>
      <c r="D514" s="20">
        <v>4.9204857000000004</v>
      </c>
      <c r="E514" s="19">
        <v>0</v>
      </c>
      <c r="F514" s="20">
        <v>4.9204857000000004</v>
      </c>
      <c r="G514" s="21">
        <v>1248.3588972</v>
      </c>
      <c r="H514" s="21">
        <v>1190.7855110999999</v>
      </c>
      <c r="I514" s="14" t="s">
        <v>1561</v>
      </c>
      <c r="J514" s="21">
        <v>397.13373029429471</v>
      </c>
      <c r="K514" s="21">
        <v>1270.9985873000001</v>
      </c>
      <c r="L514" s="24">
        <f t="shared" si="14"/>
        <v>1.0181355619371797</v>
      </c>
    </row>
    <row r="515" spans="1:12" x14ac:dyDescent="0.25">
      <c r="A515" s="15">
        <f t="shared" si="15"/>
        <v>510</v>
      </c>
      <c r="B515" s="17">
        <v>20943</v>
      </c>
      <c r="C515" s="18" t="s">
        <v>286</v>
      </c>
      <c r="D515" s="20" t="s">
        <v>1556</v>
      </c>
      <c r="E515" s="19">
        <v>0</v>
      </c>
      <c r="F515" s="20" t="s">
        <v>1556</v>
      </c>
      <c r="G515" s="21">
        <v>0.1499925</v>
      </c>
      <c r="H515" s="21">
        <v>0.1499925</v>
      </c>
      <c r="I515" s="14" t="s">
        <v>1561</v>
      </c>
      <c r="J515" s="21">
        <v>1.9695304316666669E-2</v>
      </c>
      <c r="K515" s="21">
        <v>0.15575139999999998</v>
      </c>
      <c r="L515" s="24">
        <f t="shared" si="14"/>
        <v>1.0383945863959863</v>
      </c>
    </row>
    <row r="516" spans="1:12" x14ac:dyDescent="0.25">
      <c r="A516" s="15">
        <f t="shared" si="15"/>
        <v>511</v>
      </c>
      <c r="B516" s="17">
        <v>21209</v>
      </c>
      <c r="C516" s="18" t="s">
        <v>675</v>
      </c>
      <c r="D516" s="20">
        <v>3.3039999999999996E-3</v>
      </c>
      <c r="E516" s="19">
        <v>0</v>
      </c>
      <c r="F516" s="20">
        <v>3.3039999999999996E-3</v>
      </c>
      <c r="G516" s="21">
        <v>7.7296136999999998</v>
      </c>
      <c r="H516" s="21">
        <v>7.7296136999999998</v>
      </c>
      <c r="I516" s="14" t="s">
        <v>1561</v>
      </c>
      <c r="J516" s="21">
        <v>0.85549684024569883</v>
      </c>
      <c r="K516" s="21">
        <v>7.8240833999999992</v>
      </c>
      <c r="L516" s="24">
        <f t="shared" si="14"/>
        <v>1.0122217880047484</v>
      </c>
    </row>
    <row r="517" spans="1:12" x14ac:dyDescent="0.25">
      <c r="A517" s="15">
        <f t="shared" si="15"/>
        <v>512</v>
      </c>
      <c r="B517" s="17">
        <v>21399</v>
      </c>
      <c r="C517" s="18" t="s">
        <v>287</v>
      </c>
      <c r="D517" s="20">
        <v>4.2687299999999997E-2</v>
      </c>
      <c r="E517" s="19">
        <v>0</v>
      </c>
      <c r="F517" s="20">
        <v>4.2687299999999997E-2</v>
      </c>
      <c r="G517" s="21">
        <v>5.4997249999999998</v>
      </c>
      <c r="H517" s="21">
        <v>5.4997249999999998</v>
      </c>
      <c r="I517" s="14" t="s">
        <v>1561</v>
      </c>
      <c r="J517" s="21">
        <v>5.488725370498118</v>
      </c>
      <c r="K517" s="21">
        <v>9.0628143999999988</v>
      </c>
      <c r="L517" s="24">
        <f t="shared" si="14"/>
        <v>1.6478668297051215</v>
      </c>
    </row>
    <row r="518" spans="1:12" x14ac:dyDescent="0.25">
      <c r="A518" s="15">
        <f t="shared" si="15"/>
        <v>513</v>
      </c>
      <c r="B518" s="17">
        <v>21453</v>
      </c>
      <c r="C518" s="18" t="s">
        <v>1117</v>
      </c>
      <c r="D518" s="20" t="s">
        <v>1556</v>
      </c>
      <c r="E518" s="19">
        <v>0</v>
      </c>
      <c r="F518" s="20" t="s">
        <v>1556</v>
      </c>
      <c r="G518" s="21">
        <v>0</v>
      </c>
      <c r="H518" s="21">
        <v>0</v>
      </c>
      <c r="I518" s="14" t="s">
        <v>1561</v>
      </c>
      <c r="J518" s="21">
        <v>0</v>
      </c>
      <c r="K518" s="21">
        <v>0</v>
      </c>
      <c r="L518" s="24">
        <f t="shared" si="14"/>
        <v>0</v>
      </c>
    </row>
    <row r="519" spans="1:12" x14ac:dyDescent="0.25">
      <c r="A519" s="15">
        <f t="shared" si="15"/>
        <v>514</v>
      </c>
      <c r="B519" s="17">
        <v>21503</v>
      </c>
      <c r="C519" s="18" t="s">
        <v>1118</v>
      </c>
      <c r="D519" s="20" t="s">
        <v>1556</v>
      </c>
      <c r="E519" s="19">
        <v>0</v>
      </c>
      <c r="F519" s="20" t="s">
        <v>1556</v>
      </c>
      <c r="G519" s="21">
        <v>0</v>
      </c>
      <c r="H519" s="21">
        <v>0</v>
      </c>
      <c r="I519" s="14" t="s">
        <v>1561</v>
      </c>
      <c r="J519" s="21">
        <v>0</v>
      </c>
      <c r="K519" s="21">
        <v>0</v>
      </c>
      <c r="L519" s="24">
        <f t="shared" ref="L519:L582" si="16">+IFERROR(K519/G519,0)</f>
        <v>0</v>
      </c>
    </row>
    <row r="520" spans="1:12" x14ac:dyDescent="0.25">
      <c r="A520" s="15">
        <f t="shared" ref="A520:A583" si="17">A519+1</f>
        <v>515</v>
      </c>
      <c r="B520" s="17">
        <v>21854</v>
      </c>
      <c r="C520" s="18" t="s">
        <v>1119</v>
      </c>
      <c r="D520" s="20">
        <v>0.2059156</v>
      </c>
      <c r="E520" s="19">
        <v>0</v>
      </c>
      <c r="F520" s="20">
        <v>0.2059156</v>
      </c>
      <c r="G520" s="21">
        <v>84.845757500000005</v>
      </c>
      <c r="H520" s="21">
        <v>83.766959599999993</v>
      </c>
      <c r="I520" s="14" t="s">
        <v>1561</v>
      </c>
      <c r="J520" s="21">
        <v>18.78490495173028</v>
      </c>
      <c r="K520" s="21">
        <v>86.67140710000001</v>
      </c>
      <c r="L520" s="24">
        <f t="shared" si="16"/>
        <v>1.0215172762173761</v>
      </c>
    </row>
    <row r="521" spans="1:12" x14ac:dyDescent="0.25">
      <c r="A521" s="15">
        <f t="shared" si="17"/>
        <v>516</v>
      </c>
      <c r="B521" s="17">
        <v>21896</v>
      </c>
      <c r="C521" s="18" t="s">
        <v>288</v>
      </c>
      <c r="D521" s="20" t="s">
        <v>1556</v>
      </c>
      <c r="E521" s="19">
        <v>0</v>
      </c>
      <c r="F521" s="20" t="s">
        <v>1556</v>
      </c>
      <c r="G521" s="21">
        <v>0</v>
      </c>
      <c r="H521" s="21">
        <v>0</v>
      </c>
      <c r="I521" s="14" t="s">
        <v>1561</v>
      </c>
      <c r="J521" s="21">
        <v>0</v>
      </c>
      <c r="K521" s="21">
        <v>0</v>
      </c>
      <c r="L521" s="24">
        <f t="shared" si="16"/>
        <v>0</v>
      </c>
    </row>
    <row r="522" spans="1:12" x14ac:dyDescent="0.25">
      <c r="A522" s="15">
        <f t="shared" si="17"/>
        <v>517</v>
      </c>
      <c r="B522" s="17">
        <v>21948</v>
      </c>
      <c r="C522" s="18" t="s">
        <v>1120</v>
      </c>
      <c r="D522" s="20">
        <v>0.25497959999999997</v>
      </c>
      <c r="E522" s="19">
        <v>0</v>
      </c>
      <c r="F522" s="20">
        <v>0.25497959999999997</v>
      </c>
      <c r="G522" s="21">
        <v>31.918403999999999</v>
      </c>
      <c r="H522" s="21">
        <v>31.819402999999998</v>
      </c>
      <c r="I522" s="14" t="s">
        <v>1561</v>
      </c>
      <c r="J522" s="21">
        <v>10.501398712242832</v>
      </c>
      <c r="K522" s="21">
        <v>31.9201002</v>
      </c>
      <c r="L522" s="24">
        <f t="shared" si="16"/>
        <v>1.0000531417548322</v>
      </c>
    </row>
    <row r="523" spans="1:12" x14ac:dyDescent="0.25">
      <c r="A523" s="15">
        <f t="shared" si="17"/>
        <v>518</v>
      </c>
      <c r="B523" s="17">
        <v>22004</v>
      </c>
      <c r="C523" s="18" t="s">
        <v>1121</v>
      </c>
      <c r="D523" s="20" t="s">
        <v>1556</v>
      </c>
      <c r="E523" s="19">
        <v>0</v>
      </c>
      <c r="F523" s="20" t="s">
        <v>1556</v>
      </c>
      <c r="G523" s="21">
        <v>0</v>
      </c>
      <c r="H523" s="21">
        <v>0</v>
      </c>
      <c r="I523" s="14" t="s">
        <v>1561</v>
      </c>
      <c r="J523" s="21">
        <v>0</v>
      </c>
      <c r="K523" s="21">
        <v>0</v>
      </c>
      <c r="L523" s="24">
        <f t="shared" si="16"/>
        <v>0</v>
      </c>
    </row>
    <row r="524" spans="1:12" x14ac:dyDescent="0.25">
      <c r="A524" s="15">
        <f t="shared" si="17"/>
        <v>519</v>
      </c>
      <c r="B524" s="17">
        <v>22073</v>
      </c>
      <c r="C524" s="18" t="s">
        <v>365</v>
      </c>
      <c r="D524" s="20" t="s">
        <v>1556</v>
      </c>
      <c r="E524" s="19">
        <v>0</v>
      </c>
      <c r="F524" s="20" t="s">
        <v>1556</v>
      </c>
      <c r="G524" s="21">
        <v>0</v>
      </c>
      <c r="H524" s="21">
        <v>0</v>
      </c>
      <c r="I524" s="14" t="s">
        <v>1561</v>
      </c>
      <c r="J524" s="21">
        <v>0</v>
      </c>
      <c r="K524" s="21">
        <v>0</v>
      </c>
      <c r="L524" s="24">
        <f t="shared" si="16"/>
        <v>0</v>
      </c>
    </row>
    <row r="525" spans="1:12" x14ac:dyDescent="0.25">
      <c r="A525" s="15">
        <f t="shared" si="17"/>
        <v>520</v>
      </c>
      <c r="B525" s="17">
        <v>22181</v>
      </c>
      <c r="C525" s="18" t="s">
        <v>1122</v>
      </c>
      <c r="D525" s="20" t="s">
        <v>1556</v>
      </c>
      <c r="E525" s="19">
        <v>0</v>
      </c>
      <c r="F525" s="20" t="s">
        <v>1556</v>
      </c>
      <c r="G525" s="21">
        <v>2.1098945000000002</v>
      </c>
      <c r="H525" s="21">
        <v>2.1098945000000002</v>
      </c>
      <c r="I525" s="14" t="s">
        <v>1561</v>
      </c>
      <c r="J525" s="21">
        <v>0.2103806262666667</v>
      </c>
      <c r="K525" s="21">
        <v>2.1321185999999996</v>
      </c>
      <c r="L525" s="24">
        <f t="shared" si="16"/>
        <v>1.0105332754789396</v>
      </c>
    </row>
    <row r="526" spans="1:12" x14ac:dyDescent="0.25">
      <c r="A526" s="15">
        <f t="shared" si="17"/>
        <v>521</v>
      </c>
      <c r="B526" s="17">
        <v>22190</v>
      </c>
      <c r="C526" s="18" t="s">
        <v>1123</v>
      </c>
      <c r="D526" s="20" t="s">
        <v>1556</v>
      </c>
      <c r="E526" s="19">
        <v>0</v>
      </c>
      <c r="F526" s="20" t="s">
        <v>1556</v>
      </c>
      <c r="G526" s="21">
        <v>0</v>
      </c>
      <c r="H526" s="21">
        <v>0</v>
      </c>
      <c r="I526" s="14" t="s">
        <v>1561</v>
      </c>
      <c r="J526" s="21">
        <v>0</v>
      </c>
      <c r="K526" s="21">
        <v>0</v>
      </c>
      <c r="L526" s="24">
        <f t="shared" si="16"/>
        <v>0</v>
      </c>
    </row>
    <row r="527" spans="1:12" x14ac:dyDescent="0.25">
      <c r="A527" s="15">
        <f t="shared" si="17"/>
        <v>522</v>
      </c>
      <c r="B527" s="17">
        <v>22193</v>
      </c>
      <c r="C527" s="18" t="s">
        <v>181</v>
      </c>
      <c r="D527" s="20" t="s">
        <v>1556</v>
      </c>
      <c r="E527" s="19">
        <v>0</v>
      </c>
      <c r="F527" s="20" t="s">
        <v>1556</v>
      </c>
      <c r="G527" s="21">
        <v>0</v>
      </c>
      <c r="H527" s="21">
        <v>0</v>
      </c>
      <c r="I527" s="14" t="s">
        <v>1561</v>
      </c>
      <c r="J527" s="21">
        <v>0</v>
      </c>
      <c r="K527" s="21">
        <v>0</v>
      </c>
      <c r="L527" s="24">
        <f t="shared" si="16"/>
        <v>0</v>
      </c>
    </row>
    <row r="528" spans="1:12" x14ac:dyDescent="0.25">
      <c r="A528" s="15">
        <f t="shared" si="17"/>
        <v>523</v>
      </c>
      <c r="B528" s="17">
        <v>22317</v>
      </c>
      <c r="C528" s="18" t="s">
        <v>676</v>
      </c>
      <c r="D528" s="20" t="s">
        <v>1556</v>
      </c>
      <c r="E528" s="19">
        <v>0</v>
      </c>
      <c r="F528" s="20" t="s">
        <v>1556</v>
      </c>
      <c r="G528" s="21">
        <v>0</v>
      </c>
      <c r="H528" s="21">
        <v>0</v>
      </c>
      <c r="I528" s="14" t="s">
        <v>1561</v>
      </c>
      <c r="J528" s="21">
        <v>0</v>
      </c>
      <c r="K528" s="21">
        <v>0</v>
      </c>
      <c r="L528" s="24">
        <f t="shared" si="16"/>
        <v>0</v>
      </c>
    </row>
    <row r="529" spans="1:12" x14ac:dyDescent="0.25">
      <c r="A529" s="15">
        <f t="shared" si="17"/>
        <v>524</v>
      </c>
      <c r="B529" s="17">
        <v>22502</v>
      </c>
      <c r="C529" s="18" t="s">
        <v>99</v>
      </c>
      <c r="D529" s="20" t="s">
        <v>1556</v>
      </c>
      <c r="E529" s="19">
        <v>0</v>
      </c>
      <c r="F529" s="20" t="s">
        <v>1556</v>
      </c>
      <c r="G529" s="21">
        <v>12.9943504</v>
      </c>
      <c r="H529" s="21">
        <v>12.9943504</v>
      </c>
      <c r="I529" s="14" t="s">
        <v>1561</v>
      </c>
      <c r="J529" s="21">
        <v>1.8550766160767918</v>
      </c>
      <c r="K529" s="21">
        <v>13.337456699999999</v>
      </c>
      <c r="L529" s="24">
        <f t="shared" si="16"/>
        <v>1.0264042671959961</v>
      </c>
    </row>
    <row r="530" spans="1:12" x14ac:dyDescent="0.25">
      <c r="A530" s="15">
        <f t="shared" si="17"/>
        <v>525</v>
      </c>
      <c r="B530" s="17">
        <v>22556</v>
      </c>
      <c r="C530" s="18" t="s">
        <v>366</v>
      </c>
      <c r="D530" s="20" t="s">
        <v>1556</v>
      </c>
      <c r="E530" s="19">
        <v>0</v>
      </c>
      <c r="F530" s="20" t="s">
        <v>1556</v>
      </c>
      <c r="G530" s="21">
        <v>0</v>
      </c>
      <c r="H530" s="21">
        <v>0</v>
      </c>
      <c r="I530" s="14" t="s">
        <v>1561</v>
      </c>
      <c r="J530" s="21">
        <v>0</v>
      </c>
      <c r="K530" s="21">
        <v>0</v>
      </c>
      <c r="L530" s="24">
        <f t="shared" si="16"/>
        <v>0</v>
      </c>
    </row>
    <row r="531" spans="1:12" x14ac:dyDescent="0.25">
      <c r="A531" s="15">
        <f t="shared" si="17"/>
        <v>526</v>
      </c>
      <c r="B531" s="17">
        <v>22621</v>
      </c>
      <c r="C531" s="18" t="s">
        <v>367</v>
      </c>
      <c r="D531" s="20" t="s">
        <v>1556</v>
      </c>
      <c r="E531" s="19">
        <v>0</v>
      </c>
      <c r="F531" s="20" t="s">
        <v>1556</v>
      </c>
      <c r="G531" s="21">
        <v>0</v>
      </c>
      <c r="H531" s="21">
        <v>0</v>
      </c>
      <c r="I531" s="14" t="s">
        <v>1561</v>
      </c>
      <c r="J531" s="21">
        <v>0</v>
      </c>
      <c r="K531" s="21">
        <v>0</v>
      </c>
      <c r="L531" s="24">
        <f t="shared" si="16"/>
        <v>0</v>
      </c>
    </row>
    <row r="532" spans="1:12" x14ac:dyDescent="0.25">
      <c r="A532" s="15">
        <f t="shared" si="17"/>
        <v>527</v>
      </c>
      <c r="B532" s="17">
        <v>22770</v>
      </c>
      <c r="C532" s="18" t="s">
        <v>677</v>
      </c>
      <c r="D532" s="20">
        <v>1.4432748000000002</v>
      </c>
      <c r="E532" s="19">
        <v>0</v>
      </c>
      <c r="F532" s="20">
        <v>1.4432748000000002</v>
      </c>
      <c r="G532" s="21">
        <v>125.4226386</v>
      </c>
      <c r="H532" s="21">
        <v>110.3913617</v>
      </c>
      <c r="I532" s="14" t="s">
        <v>1561</v>
      </c>
      <c r="J532" s="21">
        <v>96.585788056391351</v>
      </c>
      <c r="K532" s="21">
        <v>131.68567140000002</v>
      </c>
      <c r="L532" s="24">
        <f t="shared" si="16"/>
        <v>1.0499354252941064</v>
      </c>
    </row>
    <row r="533" spans="1:12" x14ac:dyDescent="0.25">
      <c r="A533" s="15">
        <f t="shared" si="17"/>
        <v>528</v>
      </c>
      <c r="B533" s="17">
        <v>22866</v>
      </c>
      <c r="C533" s="18" t="s">
        <v>1124</v>
      </c>
      <c r="D533" s="20" t="s">
        <v>1556</v>
      </c>
      <c r="E533" s="19">
        <v>0</v>
      </c>
      <c r="F533" s="20" t="s">
        <v>1556</v>
      </c>
      <c r="G533" s="21">
        <v>0.77996100000000002</v>
      </c>
      <c r="H533" s="21">
        <v>0.77996100000000002</v>
      </c>
      <c r="I533" s="14" t="s">
        <v>1561</v>
      </c>
      <c r="J533" s="21">
        <v>0.53762543360609305</v>
      </c>
      <c r="K533" s="21">
        <v>0.89778749999999996</v>
      </c>
      <c r="L533" s="24">
        <f t="shared" si="16"/>
        <v>1.1510671687430525</v>
      </c>
    </row>
    <row r="534" spans="1:12" x14ac:dyDescent="0.25">
      <c r="A534" s="15">
        <f t="shared" si="17"/>
        <v>529</v>
      </c>
      <c r="B534" s="17">
        <v>22973</v>
      </c>
      <c r="C534" s="18" t="s">
        <v>1125</v>
      </c>
      <c r="D534" s="20">
        <v>2.4230100000000001E-2</v>
      </c>
      <c r="E534" s="19">
        <v>0</v>
      </c>
      <c r="F534" s="20">
        <v>2.4230100000000001E-2</v>
      </c>
      <c r="G534" s="21">
        <v>4.2697865000000004</v>
      </c>
      <c r="H534" s="21">
        <v>4.1714019000000002</v>
      </c>
      <c r="I534" s="14" t="s">
        <v>1561</v>
      </c>
      <c r="J534" s="21">
        <v>1.1544428764348564</v>
      </c>
      <c r="K534" s="21">
        <v>4.5834577000000003</v>
      </c>
      <c r="L534" s="24">
        <f t="shared" si="16"/>
        <v>1.0734629705724161</v>
      </c>
    </row>
    <row r="535" spans="1:12" x14ac:dyDescent="0.25">
      <c r="A535" s="15">
        <f t="shared" si="17"/>
        <v>530</v>
      </c>
      <c r="B535" s="17">
        <v>23017</v>
      </c>
      <c r="C535" s="18" t="s">
        <v>100</v>
      </c>
      <c r="D535" s="20" t="s">
        <v>1556</v>
      </c>
      <c r="E535" s="19">
        <v>0</v>
      </c>
      <c r="F535" s="20" t="s">
        <v>1556</v>
      </c>
      <c r="G535" s="21">
        <v>1.499925</v>
      </c>
      <c r="H535" s="21">
        <v>1.499925</v>
      </c>
      <c r="I535" s="14" t="s">
        <v>1561</v>
      </c>
      <c r="J535" s="21">
        <v>0.75039066146765243</v>
      </c>
      <c r="K535" s="21">
        <v>1.5767654999999998</v>
      </c>
      <c r="L535" s="24">
        <f t="shared" si="16"/>
        <v>1.0512295614780738</v>
      </c>
    </row>
    <row r="536" spans="1:12" x14ac:dyDescent="0.25">
      <c r="A536" s="15">
        <f t="shared" si="17"/>
        <v>531</v>
      </c>
      <c r="B536" s="17">
        <v>23125</v>
      </c>
      <c r="C536" s="18" t="s">
        <v>368</v>
      </c>
      <c r="D536" s="20" t="s">
        <v>1556</v>
      </c>
      <c r="E536" s="19">
        <v>0</v>
      </c>
      <c r="F536" s="20" t="s">
        <v>1556</v>
      </c>
      <c r="G536" s="21">
        <v>0</v>
      </c>
      <c r="H536" s="21">
        <v>0</v>
      </c>
      <c r="I536" s="14" t="s">
        <v>1561</v>
      </c>
      <c r="J536" s="21">
        <v>0</v>
      </c>
      <c r="K536" s="21">
        <v>0</v>
      </c>
      <c r="L536" s="24">
        <f t="shared" si="16"/>
        <v>0</v>
      </c>
    </row>
    <row r="537" spans="1:12" x14ac:dyDescent="0.25">
      <c r="A537" s="15">
        <f t="shared" si="17"/>
        <v>532</v>
      </c>
      <c r="B537" s="17">
        <v>23146</v>
      </c>
      <c r="C537" s="18" t="s">
        <v>678</v>
      </c>
      <c r="D537" s="20" t="s">
        <v>1556</v>
      </c>
      <c r="E537" s="19">
        <v>0</v>
      </c>
      <c r="F537" s="20" t="s">
        <v>1556</v>
      </c>
      <c r="G537" s="21">
        <v>0</v>
      </c>
      <c r="H537" s="21">
        <v>0</v>
      </c>
      <c r="I537" s="14" t="s">
        <v>1561</v>
      </c>
      <c r="J537" s="21">
        <v>0</v>
      </c>
      <c r="K537" s="21">
        <v>0</v>
      </c>
      <c r="L537" s="24">
        <f t="shared" si="16"/>
        <v>0</v>
      </c>
    </row>
    <row r="538" spans="1:12" x14ac:dyDescent="0.25">
      <c r="A538" s="15">
        <f t="shared" si="17"/>
        <v>533</v>
      </c>
      <c r="B538" s="17">
        <v>23179</v>
      </c>
      <c r="C538" s="18" t="s">
        <v>1126</v>
      </c>
      <c r="D538" s="20" t="s">
        <v>1556</v>
      </c>
      <c r="E538" s="19">
        <v>0</v>
      </c>
      <c r="F538" s="20" t="s">
        <v>1556</v>
      </c>
      <c r="G538" s="21">
        <v>0</v>
      </c>
      <c r="H538" s="21">
        <v>0</v>
      </c>
      <c r="I538" s="14" t="s">
        <v>1561</v>
      </c>
      <c r="J538" s="21">
        <v>0</v>
      </c>
      <c r="K538" s="21">
        <v>0</v>
      </c>
      <c r="L538" s="24">
        <f t="shared" si="16"/>
        <v>0</v>
      </c>
    </row>
    <row r="539" spans="1:12" x14ac:dyDescent="0.25">
      <c r="A539" s="15">
        <f t="shared" si="17"/>
        <v>534</v>
      </c>
      <c r="B539" s="17">
        <v>23579</v>
      </c>
      <c r="C539" s="18" t="s">
        <v>1127</v>
      </c>
      <c r="D539" s="20">
        <v>5.8009999999999995E-4</v>
      </c>
      <c r="E539" s="19">
        <v>0</v>
      </c>
      <c r="F539" s="20">
        <v>5.8009999999999995E-4</v>
      </c>
      <c r="G539" s="21">
        <v>3.2598370000000001</v>
      </c>
      <c r="H539" s="21">
        <v>2.9998370000000003</v>
      </c>
      <c r="I539" s="14" t="s">
        <v>1561</v>
      </c>
      <c r="J539" s="21">
        <v>0.22852567656666667</v>
      </c>
      <c r="K539" s="21">
        <v>3.0230034999999997</v>
      </c>
      <c r="L539" s="24">
        <f t="shared" si="16"/>
        <v>0.92734805451929025</v>
      </c>
    </row>
    <row r="540" spans="1:12" x14ac:dyDescent="0.25">
      <c r="A540" s="15">
        <f t="shared" si="17"/>
        <v>535</v>
      </c>
      <c r="B540" s="17">
        <v>23696</v>
      </c>
      <c r="C540" s="18" t="s">
        <v>369</v>
      </c>
      <c r="D540" s="20" t="s">
        <v>1556</v>
      </c>
      <c r="E540" s="19">
        <v>0</v>
      </c>
      <c r="F540" s="20" t="s">
        <v>1556</v>
      </c>
      <c r="G540" s="21">
        <v>0</v>
      </c>
      <c r="H540" s="21">
        <v>0</v>
      </c>
      <c r="I540" s="14" t="s">
        <v>1561</v>
      </c>
      <c r="J540" s="21">
        <v>0</v>
      </c>
      <c r="K540" s="21">
        <v>0</v>
      </c>
      <c r="L540" s="24">
        <f t="shared" si="16"/>
        <v>0</v>
      </c>
    </row>
    <row r="541" spans="1:12" x14ac:dyDescent="0.25">
      <c r="A541" s="15">
        <f t="shared" si="17"/>
        <v>536</v>
      </c>
      <c r="B541" s="17">
        <v>23976</v>
      </c>
      <c r="C541" s="18" t="s">
        <v>679</v>
      </c>
      <c r="D541" s="20" t="s">
        <v>1556</v>
      </c>
      <c r="E541" s="19">
        <v>0</v>
      </c>
      <c r="F541" s="20" t="s">
        <v>1556</v>
      </c>
      <c r="G541" s="21">
        <v>0</v>
      </c>
      <c r="H541" s="21">
        <v>0</v>
      </c>
      <c r="I541" s="14" t="s">
        <v>1561</v>
      </c>
      <c r="J541" s="21">
        <v>0</v>
      </c>
      <c r="K541" s="21">
        <v>0</v>
      </c>
      <c r="L541" s="24">
        <f t="shared" si="16"/>
        <v>0</v>
      </c>
    </row>
    <row r="542" spans="1:12" x14ac:dyDescent="0.25">
      <c r="A542" s="15">
        <f t="shared" si="17"/>
        <v>537</v>
      </c>
      <c r="B542" s="17">
        <v>24141</v>
      </c>
      <c r="C542" s="18" t="s">
        <v>680</v>
      </c>
      <c r="D542" s="20" t="s">
        <v>1556</v>
      </c>
      <c r="E542" s="19">
        <v>0</v>
      </c>
      <c r="F542" s="20" t="s">
        <v>1556</v>
      </c>
      <c r="G542" s="21">
        <v>0</v>
      </c>
      <c r="H542" s="21">
        <v>0</v>
      </c>
      <c r="I542" s="14" t="s">
        <v>1561</v>
      </c>
      <c r="J542" s="21">
        <v>0</v>
      </c>
      <c r="K542" s="21">
        <v>0</v>
      </c>
      <c r="L542" s="24">
        <f t="shared" si="16"/>
        <v>0</v>
      </c>
    </row>
    <row r="543" spans="1:12" x14ac:dyDescent="0.25">
      <c r="A543" s="15">
        <f t="shared" si="17"/>
        <v>538</v>
      </c>
      <c r="B543" s="17">
        <v>24204</v>
      </c>
      <c r="C543" s="18" t="s">
        <v>1128</v>
      </c>
      <c r="D543" s="20" t="s">
        <v>1556</v>
      </c>
      <c r="E543" s="19">
        <v>0</v>
      </c>
      <c r="F543" s="20" t="s">
        <v>1556</v>
      </c>
      <c r="G543" s="21">
        <v>0</v>
      </c>
      <c r="H543" s="21">
        <v>0</v>
      </c>
      <c r="I543" s="14" t="s">
        <v>1561</v>
      </c>
      <c r="J543" s="21">
        <v>0</v>
      </c>
      <c r="K543" s="21">
        <v>0</v>
      </c>
      <c r="L543" s="24">
        <f t="shared" si="16"/>
        <v>0</v>
      </c>
    </row>
    <row r="544" spans="1:12" x14ac:dyDescent="0.25">
      <c r="A544" s="15">
        <f t="shared" si="17"/>
        <v>539</v>
      </c>
      <c r="B544" s="17">
        <v>24216</v>
      </c>
      <c r="C544" s="18" t="s">
        <v>126</v>
      </c>
      <c r="D544" s="20">
        <v>1.148995</v>
      </c>
      <c r="E544" s="19">
        <v>0</v>
      </c>
      <c r="F544" s="20">
        <v>1.148995</v>
      </c>
      <c r="G544" s="21">
        <v>275.64250820000001</v>
      </c>
      <c r="H544" s="21">
        <v>249.6222477</v>
      </c>
      <c r="I544" s="14" t="s">
        <v>1561</v>
      </c>
      <c r="J544" s="21">
        <v>95.765656419410519</v>
      </c>
      <c r="K544" s="21">
        <v>265.1421315</v>
      </c>
      <c r="L544" s="24">
        <f t="shared" si="16"/>
        <v>0.9619058150044798</v>
      </c>
    </row>
    <row r="545" spans="1:12" x14ac:dyDescent="0.25">
      <c r="A545" s="15">
        <f t="shared" si="17"/>
        <v>540</v>
      </c>
      <c r="B545" s="17">
        <v>24394</v>
      </c>
      <c r="C545" s="18" t="s">
        <v>681</v>
      </c>
      <c r="D545" s="20">
        <v>6.4388088000000003</v>
      </c>
      <c r="E545" s="19">
        <v>0</v>
      </c>
      <c r="F545" s="20">
        <v>6.4388088000000003</v>
      </c>
      <c r="G545" s="21">
        <v>983.61646559999997</v>
      </c>
      <c r="H545" s="21">
        <v>924.96072809999998</v>
      </c>
      <c r="I545" s="14" t="s">
        <v>1561</v>
      </c>
      <c r="J545" s="21">
        <v>457.19012109564187</v>
      </c>
      <c r="K545" s="21">
        <v>1020.8238769</v>
      </c>
      <c r="L545" s="24">
        <f t="shared" si="16"/>
        <v>1.0378271537751289</v>
      </c>
    </row>
    <row r="546" spans="1:12" x14ac:dyDescent="0.25">
      <c r="A546" s="15">
        <f t="shared" si="17"/>
        <v>541</v>
      </c>
      <c r="B546" s="17">
        <v>24437</v>
      </c>
      <c r="C546" s="18" t="s">
        <v>1129</v>
      </c>
      <c r="D546" s="20" t="s">
        <v>1556</v>
      </c>
      <c r="E546" s="19">
        <v>0</v>
      </c>
      <c r="F546" s="20" t="s">
        <v>1556</v>
      </c>
      <c r="G546" s="21">
        <v>0</v>
      </c>
      <c r="H546" s="21">
        <v>0</v>
      </c>
      <c r="I546" s="14" t="s">
        <v>1561</v>
      </c>
      <c r="J546" s="21">
        <v>0</v>
      </c>
      <c r="K546" s="21">
        <v>0</v>
      </c>
      <c r="L546" s="24">
        <f t="shared" si="16"/>
        <v>0</v>
      </c>
    </row>
    <row r="547" spans="1:12" x14ac:dyDescent="0.25">
      <c r="A547" s="15">
        <f t="shared" si="17"/>
        <v>542</v>
      </c>
      <c r="B547" s="17">
        <v>24562</v>
      </c>
      <c r="C547" s="18" t="s">
        <v>1130</v>
      </c>
      <c r="D547" s="20" t="s">
        <v>1556</v>
      </c>
      <c r="E547" s="19">
        <v>0</v>
      </c>
      <c r="F547" s="20" t="s">
        <v>1556</v>
      </c>
      <c r="G547" s="21">
        <v>0</v>
      </c>
      <c r="H547" s="21">
        <v>0</v>
      </c>
      <c r="I547" s="14" t="s">
        <v>1561</v>
      </c>
      <c r="J547" s="21">
        <v>0</v>
      </c>
      <c r="K547" s="21">
        <v>0</v>
      </c>
      <c r="L547" s="24">
        <f t="shared" si="16"/>
        <v>0</v>
      </c>
    </row>
    <row r="548" spans="1:12" x14ac:dyDescent="0.25">
      <c r="A548" s="15">
        <f t="shared" si="17"/>
        <v>543</v>
      </c>
      <c r="B548" s="17">
        <v>24577</v>
      </c>
      <c r="C548" s="18" t="s">
        <v>682</v>
      </c>
      <c r="D548" s="20" t="s">
        <v>1556</v>
      </c>
      <c r="E548" s="19">
        <v>0</v>
      </c>
      <c r="F548" s="20" t="s">
        <v>1556</v>
      </c>
      <c r="G548" s="21">
        <v>0</v>
      </c>
      <c r="H548" s="21">
        <v>0</v>
      </c>
      <c r="I548" s="14" t="s">
        <v>1561</v>
      </c>
      <c r="J548" s="21">
        <v>0</v>
      </c>
      <c r="K548" s="21">
        <v>0</v>
      </c>
      <c r="L548" s="24">
        <f t="shared" si="16"/>
        <v>0</v>
      </c>
    </row>
    <row r="549" spans="1:12" x14ac:dyDescent="0.25">
      <c r="A549" s="15">
        <f t="shared" si="17"/>
        <v>544</v>
      </c>
      <c r="B549" s="17">
        <v>24596</v>
      </c>
      <c r="C549" s="18" t="s">
        <v>1131</v>
      </c>
      <c r="D549" s="20" t="s">
        <v>1556</v>
      </c>
      <c r="E549" s="19">
        <v>0</v>
      </c>
      <c r="F549" s="20" t="s">
        <v>1556</v>
      </c>
      <c r="G549" s="21">
        <v>0</v>
      </c>
      <c r="H549" s="21">
        <v>0</v>
      </c>
      <c r="I549" s="14" t="s">
        <v>1561</v>
      </c>
      <c r="J549" s="21">
        <v>0</v>
      </c>
      <c r="K549" s="21">
        <v>0</v>
      </c>
      <c r="L549" s="24">
        <f t="shared" si="16"/>
        <v>0</v>
      </c>
    </row>
    <row r="550" spans="1:12" x14ac:dyDescent="0.25">
      <c r="A550" s="15">
        <f t="shared" si="17"/>
        <v>545</v>
      </c>
      <c r="B550" s="17">
        <v>24689</v>
      </c>
      <c r="C550" s="18" t="s">
        <v>683</v>
      </c>
      <c r="D550" s="20" t="s">
        <v>1556</v>
      </c>
      <c r="E550" s="19">
        <v>0</v>
      </c>
      <c r="F550" s="20" t="s">
        <v>1556</v>
      </c>
      <c r="G550" s="21">
        <v>0</v>
      </c>
      <c r="H550" s="21">
        <v>0</v>
      </c>
      <c r="I550" s="14" t="s">
        <v>1561</v>
      </c>
      <c r="J550" s="21">
        <v>0</v>
      </c>
      <c r="K550" s="21">
        <v>0</v>
      </c>
      <c r="L550" s="24">
        <f t="shared" si="16"/>
        <v>0</v>
      </c>
    </row>
    <row r="551" spans="1:12" x14ac:dyDescent="0.25">
      <c r="A551" s="15">
        <f t="shared" si="17"/>
        <v>546</v>
      </c>
      <c r="B551" s="17">
        <v>24713</v>
      </c>
      <c r="C551" s="18" t="s">
        <v>1132</v>
      </c>
      <c r="D551" s="20">
        <v>6.8376000000000001E-3</v>
      </c>
      <c r="E551" s="19">
        <v>0</v>
      </c>
      <c r="F551" s="20">
        <v>6.8376000000000001E-3</v>
      </c>
      <c r="G551" s="21">
        <v>0.499975</v>
      </c>
      <c r="H551" s="21">
        <v>-0.32855839999999997</v>
      </c>
      <c r="I551" s="14" t="s">
        <v>1561</v>
      </c>
      <c r="J551" s="21">
        <v>0.85086271006460568</v>
      </c>
      <c r="K551" s="21">
        <v>0.70761089999999993</v>
      </c>
      <c r="L551" s="24">
        <f t="shared" si="16"/>
        <v>1.4152925646282313</v>
      </c>
    </row>
    <row r="552" spans="1:12" x14ac:dyDescent="0.25">
      <c r="A552" s="15">
        <f t="shared" si="17"/>
        <v>547</v>
      </c>
      <c r="B552" s="17">
        <v>24952</v>
      </c>
      <c r="C552" s="18" t="s">
        <v>1133</v>
      </c>
      <c r="D552" s="20" t="s">
        <v>1556</v>
      </c>
      <c r="E552" s="19">
        <v>0</v>
      </c>
      <c r="F552" s="20" t="s">
        <v>1556</v>
      </c>
      <c r="G552" s="21">
        <v>0</v>
      </c>
      <c r="H552" s="21">
        <v>0</v>
      </c>
      <c r="I552" s="14" t="s">
        <v>1561</v>
      </c>
      <c r="J552" s="21">
        <v>0</v>
      </c>
      <c r="K552" s="21">
        <v>0</v>
      </c>
      <c r="L552" s="24">
        <f t="shared" si="16"/>
        <v>0</v>
      </c>
    </row>
    <row r="553" spans="1:12" x14ac:dyDescent="0.25">
      <c r="A553" s="15">
        <f t="shared" si="17"/>
        <v>548</v>
      </c>
      <c r="B553" s="17">
        <v>24976</v>
      </c>
      <c r="C553" s="18" t="s">
        <v>1134</v>
      </c>
      <c r="D553" s="20" t="s">
        <v>1556</v>
      </c>
      <c r="E553" s="19">
        <v>0</v>
      </c>
      <c r="F553" s="20" t="s">
        <v>1556</v>
      </c>
      <c r="G553" s="21">
        <v>0</v>
      </c>
      <c r="H553" s="21">
        <v>0</v>
      </c>
      <c r="I553" s="14" t="s">
        <v>1561</v>
      </c>
      <c r="J553" s="21">
        <v>0.32470252060026877</v>
      </c>
      <c r="K553" s="21">
        <v>0.37332650000000001</v>
      </c>
      <c r="L553" s="24">
        <f t="shared" si="16"/>
        <v>0</v>
      </c>
    </row>
    <row r="554" spans="1:12" x14ac:dyDescent="0.25">
      <c r="A554" s="15">
        <f t="shared" si="17"/>
        <v>549</v>
      </c>
      <c r="B554" s="17">
        <v>25113</v>
      </c>
      <c r="C554" s="18" t="s">
        <v>684</v>
      </c>
      <c r="D554" s="20" t="s">
        <v>1556</v>
      </c>
      <c r="E554" s="19">
        <v>0</v>
      </c>
      <c r="F554" s="20" t="s">
        <v>1556</v>
      </c>
      <c r="G554" s="21">
        <v>0</v>
      </c>
      <c r="H554" s="21">
        <v>0</v>
      </c>
      <c r="I554" s="14" t="s">
        <v>1561</v>
      </c>
      <c r="J554" s="21">
        <v>0</v>
      </c>
      <c r="K554" s="21">
        <v>0</v>
      </c>
      <c r="L554" s="24">
        <f t="shared" si="16"/>
        <v>0</v>
      </c>
    </row>
    <row r="555" spans="1:12" x14ac:dyDescent="0.25">
      <c r="A555" s="15">
        <f t="shared" si="17"/>
        <v>550</v>
      </c>
      <c r="B555" s="17">
        <v>25140</v>
      </c>
      <c r="C555" s="18" t="s">
        <v>685</v>
      </c>
      <c r="D555" s="20" t="s">
        <v>1556</v>
      </c>
      <c r="E555" s="19">
        <v>0</v>
      </c>
      <c r="F555" s="20" t="s">
        <v>1556</v>
      </c>
      <c r="G555" s="21">
        <v>2.4998749999999998</v>
      </c>
      <c r="H555" s="21">
        <v>2.4998749999999998</v>
      </c>
      <c r="I555" s="14" t="s">
        <v>1561</v>
      </c>
      <c r="J555" s="21">
        <v>1.698511186832258</v>
      </c>
      <c r="K555" s="21">
        <v>2.7293796000000001</v>
      </c>
      <c r="L555" s="24">
        <f t="shared" si="16"/>
        <v>1.0918064303215163</v>
      </c>
    </row>
    <row r="556" spans="1:12" x14ac:dyDescent="0.25">
      <c r="A556" s="15">
        <f t="shared" si="17"/>
        <v>551</v>
      </c>
      <c r="B556" s="17">
        <v>25312</v>
      </c>
      <c r="C556" s="18" t="s">
        <v>686</v>
      </c>
      <c r="D556" s="20" t="s">
        <v>1556</v>
      </c>
      <c r="E556" s="19">
        <v>0</v>
      </c>
      <c r="F556" s="20" t="s">
        <v>1556</v>
      </c>
      <c r="G556" s="21">
        <v>0</v>
      </c>
      <c r="H556" s="21">
        <v>0</v>
      </c>
      <c r="I556" s="14" t="s">
        <v>1561</v>
      </c>
      <c r="J556" s="21">
        <v>0</v>
      </c>
      <c r="K556" s="21">
        <v>0</v>
      </c>
      <c r="L556" s="24">
        <f t="shared" si="16"/>
        <v>0</v>
      </c>
    </row>
    <row r="557" spans="1:12" x14ac:dyDescent="0.25">
      <c r="A557" s="15">
        <f t="shared" si="17"/>
        <v>552</v>
      </c>
      <c r="B557" s="17">
        <v>25382</v>
      </c>
      <c r="C557" s="18" t="s">
        <v>687</v>
      </c>
      <c r="D557" s="20" t="s">
        <v>1556</v>
      </c>
      <c r="E557" s="19">
        <v>0</v>
      </c>
      <c r="F557" s="20" t="s">
        <v>1556</v>
      </c>
      <c r="G557" s="21">
        <v>0</v>
      </c>
      <c r="H557" s="21">
        <v>0</v>
      </c>
      <c r="I557" s="14" t="s">
        <v>1561</v>
      </c>
      <c r="J557" s="21">
        <v>0</v>
      </c>
      <c r="K557" s="21">
        <v>0</v>
      </c>
      <c r="L557" s="24">
        <f t="shared" si="16"/>
        <v>0</v>
      </c>
    </row>
    <row r="558" spans="1:12" x14ac:dyDescent="0.25">
      <c r="A558" s="15">
        <f t="shared" si="17"/>
        <v>553</v>
      </c>
      <c r="B558" s="17">
        <v>25647</v>
      </c>
      <c r="C558" s="18" t="s">
        <v>688</v>
      </c>
      <c r="D558" s="20" t="s">
        <v>1556</v>
      </c>
      <c r="E558" s="19">
        <v>0</v>
      </c>
      <c r="F558" s="20" t="s">
        <v>1556</v>
      </c>
      <c r="G558" s="21">
        <v>7.1756412999999997</v>
      </c>
      <c r="H558" s="21">
        <v>6.2756413000000002</v>
      </c>
      <c r="I558" s="14" t="s">
        <v>1561</v>
      </c>
      <c r="J558" s="21">
        <v>2.70026527109767</v>
      </c>
      <c r="K558" s="21">
        <v>6.6459580000000003</v>
      </c>
      <c r="L558" s="24">
        <f t="shared" si="16"/>
        <v>0.92618314128940649</v>
      </c>
    </row>
    <row r="559" spans="1:12" x14ac:dyDescent="0.25">
      <c r="A559" s="16">
        <f t="shared" si="17"/>
        <v>554</v>
      </c>
      <c r="B559" s="17">
        <v>25845</v>
      </c>
      <c r="C559" s="18" t="s">
        <v>1135</v>
      </c>
      <c r="D559" s="20" t="s">
        <v>1556</v>
      </c>
      <c r="E559" s="19">
        <v>0</v>
      </c>
      <c r="F559" s="20" t="s">
        <v>1556</v>
      </c>
      <c r="G559" s="21">
        <v>0</v>
      </c>
      <c r="H559" s="21">
        <v>0</v>
      </c>
      <c r="I559" s="14" t="s">
        <v>1561</v>
      </c>
      <c r="J559" s="21">
        <v>0</v>
      </c>
      <c r="K559" s="21">
        <v>0</v>
      </c>
      <c r="L559" s="24">
        <f t="shared" si="16"/>
        <v>0</v>
      </c>
    </row>
    <row r="560" spans="1:12" x14ac:dyDescent="0.25">
      <c r="A560" s="15">
        <f t="shared" si="17"/>
        <v>555</v>
      </c>
      <c r="B560" s="17">
        <v>26029</v>
      </c>
      <c r="C560" s="18" t="s">
        <v>689</v>
      </c>
      <c r="D560" s="20" t="s">
        <v>1556</v>
      </c>
      <c r="E560" s="19">
        <v>0</v>
      </c>
      <c r="F560" s="20" t="s">
        <v>1556</v>
      </c>
      <c r="G560" s="21">
        <v>0</v>
      </c>
      <c r="H560" s="21">
        <v>0</v>
      </c>
      <c r="I560" s="14" t="s">
        <v>1561</v>
      </c>
      <c r="J560" s="21">
        <v>0</v>
      </c>
      <c r="K560" s="21">
        <v>0</v>
      </c>
      <c r="L560" s="24">
        <f t="shared" si="16"/>
        <v>0</v>
      </c>
    </row>
    <row r="561" spans="1:12" x14ac:dyDescent="0.25">
      <c r="A561" s="15">
        <f t="shared" si="17"/>
        <v>556</v>
      </c>
      <c r="B561" s="17">
        <v>26543</v>
      </c>
      <c r="C561" s="18" t="s">
        <v>1136</v>
      </c>
      <c r="D561" s="20">
        <v>7.3180000000000012E-4</v>
      </c>
      <c r="E561" s="19">
        <v>0</v>
      </c>
      <c r="F561" s="20">
        <v>7.3180000000000012E-4</v>
      </c>
      <c r="G561" s="21">
        <v>0.66996649999999991</v>
      </c>
      <c r="H561" s="21">
        <v>0.66996649999999991</v>
      </c>
      <c r="I561" s="14" t="s">
        <v>1561</v>
      </c>
      <c r="J561" s="21">
        <v>0.10802803145994623</v>
      </c>
      <c r="K561" s="21">
        <v>0.43593360000000003</v>
      </c>
      <c r="L561" s="24">
        <f t="shared" si="16"/>
        <v>0.65067969816401283</v>
      </c>
    </row>
    <row r="562" spans="1:12" x14ac:dyDescent="0.25">
      <c r="A562" s="15">
        <f t="shared" si="17"/>
        <v>557</v>
      </c>
      <c r="B562" s="17">
        <v>26613</v>
      </c>
      <c r="C562" s="18" t="s">
        <v>1137</v>
      </c>
      <c r="D562" s="20" t="s">
        <v>1556</v>
      </c>
      <c r="E562" s="19">
        <v>0</v>
      </c>
      <c r="F562" s="20" t="s">
        <v>1556</v>
      </c>
      <c r="G562" s="21">
        <v>0</v>
      </c>
      <c r="H562" s="21">
        <v>0</v>
      </c>
      <c r="I562" s="14" t="s">
        <v>1561</v>
      </c>
      <c r="J562" s="21">
        <v>0</v>
      </c>
      <c r="K562" s="21">
        <v>0</v>
      </c>
      <c r="L562" s="24">
        <f t="shared" si="16"/>
        <v>0</v>
      </c>
    </row>
    <row r="563" spans="1:12" x14ac:dyDescent="0.25">
      <c r="A563" s="15">
        <f t="shared" si="17"/>
        <v>558</v>
      </c>
      <c r="B563" s="17">
        <v>26616</v>
      </c>
      <c r="C563" s="18" t="s">
        <v>690</v>
      </c>
      <c r="D563" s="20">
        <v>9.6828000000000001E-3</v>
      </c>
      <c r="E563" s="19">
        <v>0</v>
      </c>
      <c r="F563" s="20">
        <v>9.6828000000000001E-3</v>
      </c>
      <c r="G563" s="21">
        <v>0</v>
      </c>
      <c r="H563" s="21">
        <v>0</v>
      </c>
      <c r="I563" s="14" t="s">
        <v>1561</v>
      </c>
      <c r="J563" s="21">
        <v>1.8467061747365587</v>
      </c>
      <c r="K563" s="21">
        <v>2.0688029000000001</v>
      </c>
      <c r="L563" s="24">
        <f t="shared" si="16"/>
        <v>0</v>
      </c>
    </row>
    <row r="564" spans="1:12" x14ac:dyDescent="0.25">
      <c r="A564" s="15">
        <f t="shared" si="17"/>
        <v>559</v>
      </c>
      <c r="B564" s="17">
        <v>26761</v>
      </c>
      <c r="C564" s="18" t="s">
        <v>1138</v>
      </c>
      <c r="D564" s="20">
        <v>3.0934396000000004</v>
      </c>
      <c r="E564" s="19">
        <v>0</v>
      </c>
      <c r="F564" s="20">
        <v>3.0934396000000004</v>
      </c>
      <c r="G564" s="21">
        <v>261.59160079999998</v>
      </c>
      <c r="H564" s="21">
        <v>244.11361189999997</v>
      </c>
      <c r="I564" s="14" t="s">
        <v>1561</v>
      </c>
      <c r="J564" s="21">
        <v>218.26602093149927</v>
      </c>
      <c r="K564" s="21">
        <v>324.39290770000002</v>
      </c>
      <c r="L564" s="24">
        <f t="shared" si="16"/>
        <v>1.2400738659343074</v>
      </c>
    </row>
    <row r="565" spans="1:12" x14ac:dyDescent="0.25">
      <c r="A565" s="15">
        <f t="shared" si="17"/>
        <v>560</v>
      </c>
      <c r="B565" s="17">
        <v>26772</v>
      </c>
      <c r="C565" s="18" t="s">
        <v>691</v>
      </c>
      <c r="D565" s="20">
        <v>0.38553510000000002</v>
      </c>
      <c r="E565" s="19">
        <v>0</v>
      </c>
      <c r="F565" s="20">
        <v>0.38553510000000002</v>
      </c>
      <c r="G565" s="21">
        <v>4.3797809999999995</v>
      </c>
      <c r="H565" s="21">
        <v>4.3797809999999995</v>
      </c>
      <c r="I565" s="14" t="s">
        <v>1561</v>
      </c>
      <c r="J565" s="21">
        <v>74.995533384915987</v>
      </c>
      <c r="K565" s="21">
        <v>89.779505099999994</v>
      </c>
      <c r="L565" s="24">
        <f t="shared" si="16"/>
        <v>20.498628835551369</v>
      </c>
    </row>
    <row r="566" spans="1:12" x14ac:dyDescent="0.25">
      <c r="A566" s="15">
        <f t="shared" si="17"/>
        <v>561</v>
      </c>
      <c r="B566" s="17">
        <v>26919</v>
      </c>
      <c r="C566" s="18" t="s">
        <v>1139</v>
      </c>
      <c r="D566" s="20" t="s">
        <v>1556</v>
      </c>
      <c r="E566" s="19">
        <v>0</v>
      </c>
      <c r="F566" s="20" t="s">
        <v>1556</v>
      </c>
      <c r="G566" s="21">
        <v>0</v>
      </c>
      <c r="H566" s="21">
        <v>0</v>
      </c>
      <c r="I566" s="14" t="s">
        <v>1561</v>
      </c>
      <c r="J566" s="21">
        <v>0</v>
      </c>
      <c r="K566" s="21">
        <v>0</v>
      </c>
      <c r="L566" s="24">
        <f t="shared" si="16"/>
        <v>0</v>
      </c>
    </row>
    <row r="567" spans="1:12" x14ac:dyDescent="0.25">
      <c r="A567" s="15">
        <f t="shared" si="17"/>
        <v>562</v>
      </c>
      <c r="B567" s="17">
        <v>27130</v>
      </c>
      <c r="C567" s="18" t="s">
        <v>692</v>
      </c>
      <c r="D567" s="20" t="s">
        <v>1556</v>
      </c>
      <c r="E567" s="19">
        <v>0</v>
      </c>
      <c r="F567" s="20" t="s">
        <v>1556</v>
      </c>
      <c r="G567" s="21">
        <v>0</v>
      </c>
      <c r="H567" s="21">
        <v>0</v>
      </c>
      <c r="I567" s="14" t="s">
        <v>1561</v>
      </c>
      <c r="J567" s="21">
        <v>1.9253683340142478</v>
      </c>
      <c r="K567" s="21">
        <v>2.2136910999999997</v>
      </c>
      <c r="L567" s="24">
        <f t="shared" si="16"/>
        <v>0</v>
      </c>
    </row>
    <row r="568" spans="1:12" x14ac:dyDescent="0.25">
      <c r="A568" s="15">
        <f t="shared" si="17"/>
        <v>563</v>
      </c>
      <c r="B568" s="17">
        <v>27210</v>
      </c>
      <c r="C568" s="18" t="s">
        <v>182</v>
      </c>
      <c r="D568" s="20" t="s">
        <v>1556</v>
      </c>
      <c r="E568" s="19">
        <v>0</v>
      </c>
      <c r="F568" s="20" t="s">
        <v>1556</v>
      </c>
      <c r="G568" s="21">
        <v>6.9056552</v>
      </c>
      <c r="H568" s="21">
        <v>3.8893816000000001</v>
      </c>
      <c r="I568" s="14" t="s">
        <v>1561</v>
      </c>
      <c r="J568" s="21">
        <v>1.3750925881253588</v>
      </c>
      <c r="K568" s="21">
        <v>5.2610653000000003</v>
      </c>
      <c r="L568" s="24">
        <f t="shared" si="16"/>
        <v>0.76184882500359996</v>
      </c>
    </row>
    <row r="569" spans="1:12" x14ac:dyDescent="0.25">
      <c r="A569" s="15">
        <f t="shared" si="17"/>
        <v>564</v>
      </c>
      <c r="B569" s="17">
        <v>27400</v>
      </c>
      <c r="C569" s="18" t="s">
        <v>183</v>
      </c>
      <c r="D569" s="20" t="s">
        <v>1556</v>
      </c>
      <c r="E569" s="19">
        <v>0</v>
      </c>
      <c r="F569" s="20" t="s">
        <v>1556</v>
      </c>
      <c r="G569" s="21">
        <v>0</v>
      </c>
      <c r="H569" s="21">
        <v>0</v>
      </c>
      <c r="I569" s="14" t="s">
        <v>1561</v>
      </c>
      <c r="J569" s="21">
        <v>0</v>
      </c>
      <c r="K569" s="21">
        <v>0</v>
      </c>
      <c r="L569" s="24">
        <f t="shared" si="16"/>
        <v>0</v>
      </c>
    </row>
    <row r="570" spans="1:12" x14ac:dyDescent="0.25">
      <c r="A570" s="15">
        <f t="shared" si="17"/>
        <v>565</v>
      </c>
      <c r="B570" s="17">
        <v>27403</v>
      </c>
      <c r="C570" s="18" t="s">
        <v>1140</v>
      </c>
      <c r="D570" s="20">
        <v>0.17511220000000002</v>
      </c>
      <c r="E570" s="19">
        <v>0</v>
      </c>
      <c r="F570" s="20">
        <v>0.17511220000000002</v>
      </c>
      <c r="G570" s="21">
        <v>47.307639600000002</v>
      </c>
      <c r="H570" s="21">
        <v>46.995986699999996</v>
      </c>
      <c r="I570" s="14" t="s">
        <v>1561</v>
      </c>
      <c r="J570" s="21">
        <v>12.634893780650271</v>
      </c>
      <c r="K570" s="21">
        <v>49.521921599999999</v>
      </c>
      <c r="L570" s="24">
        <f t="shared" si="16"/>
        <v>1.0468060131243579</v>
      </c>
    </row>
    <row r="571" spans="1:12" x14ac:dyDescent="0.25">
      <c r="A571" s="15">
        <f t="shared" si="17"/>
        <v>566</v>
      </c>
      <c r="B571" s="17">
        <v>27605</v>
      </c>
      <c r="C571" s="18" t="s">
        <v>693</v>
      </c>
      <c r="D571" s="20" t="s">
        <v>1556</v>
      </c>
      <c r="E571" s="19">
        <v>0</v>
      </c>
      <c r="F571" s="20" t="s">
        <v>1556</v>
      </c>
      <c r="G571" s="21">
        <v>0</v>
      </c>
      <c r="H571" s="21">
        <v>0</v>
      </c>
      <c r="I571" s="14" t="s">
        <v>1561</v>
      </c>
      <c r="J571" s="21">
        <v>0</v>
      </c>
      <c r="K571" s="21">
        <v>0</v>
      </c>
      <c r="L571" s="24">
        <f t="shared" si="16"/>
        <v>0</v>
      </c>
    </row>
    <row r="572" spans="1:12" x14ac:dyDescent="0.25">
      <c r="A572" s="15">
        <f t="shared" si="17"/>
        <v>567</v>
      </c>
      <c r="B572" s="17">
        <v>27842</v>
      </c>
      <c r="C572" s="18" t="s">
        <v>129</v>
      </c>
      <c r="D572" s="20" t="s">
        <v>1556</v>
      </c>
      <c r="E572" s="19">
        <v>0</v>
      </c>
      <c r="F572" s="20" t="s">
        <v>1556</v>
      </c>
      <c r="G572" s="21">
        <v>17.449127499999999</v>
      </c>
      <c r="H572" s="21">
        <v>14.809127500000001</v>
      </c>
      <c r="I572" s="14" t="s">
        <v>1561</v>
      </c>
      <c r="J572" s="21">
        <v>6.2991536872895164</v>
      </c>
      <c r="K572" s="21">
        <v>15.0751876</v>
      </c>
      <c r="L572" s="24">
        <f t="shared" si="16"/>
        <v>0.86395079639368788</v>
      </c>
    </row>
    <row r="573" spans="1:12" x14ac:dyDescent="0.25">
      <c r="A573" s="15">
        <f t="shared" si="17"/>
        <v>568</v>
      </c>
      <c r="B573" s="17">
        <v>27981</v>
      </c>
      <c r="C573" s="18" t="s">
        <v>1141</v>
      </c>
      <c r="D573" s="20" t="s">
        <v>1556</v>
      </c>
      <c r="E573" s="19">
        <v>0</v>
      </c>
      <c r="F573" s="20" t="s">
        <v>1556</v>
      </c>
      <c r="G573" s="21">
        <v>0</v>
      </c>
      <c r="H573" s="21">
        <v>0</v>
      </c>
      <c r="I573" s="14" t="s">
        <v>1561</v>
      </c>
      <c r="J573" s="21">
        <v>0</v>
      </c>
      <c r="K573" s="21">
        <v>0</v>
      </c>
      <c r="L573" s="24">
        <f t="shared" si="16"/>
        <v>0</v>
      </c>
    </row>
    <row r="574" spans="1:12" x14ac:dyDescent="0.25">
      <c r="A574" s="15">
        <f t="shared" si="17"/>
        <v>569</v>
      </c>
      <c r="B574" s="17">
        <v>27988</v>
      </c>
      <c r="C574" s="18" t="s">
        <v>103</v>
      </c>
      <c r="D574" s="20">
        <v>0.30442720000000001</v>
      </c>
      <c r="E574" s="19">
        <v>0</v>
      </c>
      <c r="F574" s="20">
        <v>0.30442720000000001</v>
      </c>
      <c r="G574" s="21">
        <v>14.946457800000001</v>
      </c>
      <c r="H574" s="21">
        <v>5.218952100000001</v>
      </c>
      <c r="I574" s="14" t="s">
        <v>1561</v>
      </c>
      <c r="J574" s="21">
        <v>18.025726999217571</v>
      </c>
      <c r="K574" s="21">
        <v>22.000800999999999</v>
      </c>
      <c r="L574" s="24">
        <f t="shared" si="16"/>
        <v>1.4719742493100938</v>
      </c>
    </row>
    <row r="575" spans="1:12" x14ac:dyDescent="0.25">
      <c r="A575" s="15">
        <f t="shared" si="17"/>
        <v>570</v>
      </c>
      <c r="B575" s="17">
        <v>28003</v>
      </c>
      <c r="C575" s="18" t="s">
        <v>694</v>
      </c>
      <c r="D575" s="20" t="s">
        <v>1556</v>
      </c>
      <c r="E575" s="19">
        <v>0</v>
      </c>
      <c r="F575" s="20" t="s">
        <v>1556</v>
      </c>
      <c r="G575" s="21">
        <v>0</v>
      </c>
      <c r="H575" s="21">
        <v>0</v>
      </c>
      <c r="I575" s="14" t="s">
        <v>1561</v>
      </c>
      <c r="J575" s="21">
        <v>0</v>
      </c>
      <c r="K575" s="21">
        <v>0</v>
      </c>
      <c r="L575" s="24">
        <f t="shared" si="16"/>
        <v>0</v>
      </c>
    </row>
    <row r="576" spans="1:12" x14ac:dyDescent="0.25">
      <c r="A576" s="15">
        <f t="shared" si="17"/>
        <v>571</v>
      </c>
      <c r="B576" s="17">
        <v>28004</v>
      </c>
      <c r="C576" s="18" t="s">
        <v>104</v>
      </c>
      <c r="D576" s="20">
        <v>1.4346920000000001</v>
      </c>
      <c r="E576" s="19">
        <v>0</v>
      </c>
      <c r="F576" s="20">
        <v>1.4346920000000001</v>
      </c>
      <c r="G576" s="21">
        <v>555.03689969999994</v>
      </c>
      <c r="H576" s="21">
        <v>372.44757509999999</v>
      </c>
      <c r="I576" s="14" t="s">
        <v>1561</v>
      </c>
      <c r="J576" s="21">
        <v>144.01166945352568</v>
      </c>
      <c r="K576" s="21">
        <v>394.02476509999997</v>
      </c>
      <c r="L576" s="24">
        <f t="shared" si="16"/>
        <v>0.70990733285115315</v>
      </c>
    </row>
    <row r="577" spans="1:12" x14ac:dyDescent="0.25">
      <c r="A577" s="15">
        <f t="shared" si="17"/>
        <v>572</v>
      </c>
      <c r="B577" s="17">
        <v>28230</v>
      </c>
      <c r="C577" s="18" t="s">
        <v>1142</v>
      </c>
      <c r="D577" s="20" t="s">
        <v>1556</v>
      </c>
      <c r="E577" s="19">
        <v>0</v>
      </c>
      <c r="F577" s="20" t="s">
        <v>1556</v>
      </c>
      <c r="G577" s="21">
        <v>0</v>
      </c>
      <c r="H577" s="21">
        <v>0</v>
      </c>
      <c r="I577" s="14" t="s">
        <v>1561</v>
      </c>
      <c r="J577" s="21">
        <v>0</v>
      </c>
      <c r="K577" s="21">
        <v>0</v>
      </c>
      <c r="L577" s="24">
        <f t="shared" si="16"/>
        <v>0</v>
      </c>
    </row>
    <row r="578" spans="1:12" x14ac:dyDescent="0.25">
      <c r="A578" s="15">
        <f t="shared" si="17"/>
        <v>573</v>
      </c>
      <c r="B578" s="17">
        <v>28244</v>
      </c>
      <c r="C578" s="18" t="s">
        <v>289</v>
      </c>
      <c r="D578" s="20">
        <v>6.7604799999999993E-2</v>
      </c>
      <c r="E578" s="19">
        <v>0</v>
      </c>
      <c r="F578" s="20">
        <v>6.7604799999999993E-2</v>
      </c>
      <c r="G578" s="21">
        <v>59.997</v>
      </c>
      <c r="H578" s="21">
        <v>59.997</v>
      </c>
      <c r="I578" s="14" t="s">
        <v>1561</v>
      </c>
      <c r="J578" s="21">
        <v>8.9748159837999992</v>
      </c>
      <c r="K578" s="21">
        <v>59.6527818</v>
      </c>
      <c r="L578" s="24">
        <f t="shared" si="16"/>
        <v>0.9942627431371569</v>
      </c>
    </row>
    <row r="579" spans="1:12" x14ac:dyDescent="0.25">
      <c r="A579" s="15">
        <f t="shared" si="17"/>
        <v>574</v>
      </c>
      <c r="B579" s="17">
        <v>28283</v>
      </c>
      <c r="C579" s="18" t="s">
        <v>695</v>
      </c>
      <c r="D579" s="20">
        <v>0.17883919999999998</v>
      </c>
      <c r="E579" s="19">
        <v>0</v>
      </c>
      <c r="F579" s="20">
        <v>0.17883919999999998</v>
      </c>
      <c r="G579" s="21">
        <v>36.048197500000001</v>
      </c>
      <c r="H579" s="21">
        <v>18.048197500000001</v>
      </c>
      <c r="I579" s="14" t="s">
        <v>1561</v>
      </c>
      <c r="J579" s="21">
        <v>22.662738387854564</v>
      </c>
      <c r="K579" s="21">
        <v>41.502986200000002</v>
      </c>
      <c r="L579" s="24">
        <f t="shared" si="16"/>
        <v>1.1513193190866202</v>
      </c>
    </row>
    <row r="580" spans="1:12" x14ac:dyDescent="0.25">
      <c r="A580" s="15">
        <f t="shared" si="17"/>
        <v>575</v>
      </c>
      <c r="B580" s="17">
        <v>28323</v>
      </c>
      <c r="C580" s="18" t="s">
        <v>131</v>
      </c>
      <c r="D580" s="20" t="s">
        <v>1556</v>
      </c>
      <c r="E580" s="19">
        <v>0</v>
      </c>
      <c r="F580" s="20" t="s">
        <v>1556</v>
      </c>
      <c r="G580" s="21">
        <v>0.98995050000000007</v>
      </c>
      <c r="H580" s="21">
        <v>0.98995050000000007</v>
      </c>
      <c r="I580" s="14" t="s">
        <v>1561</v>
      </c>
      <c r="J580" s="21">
        <v>0.25018106768091397</v>
      </c>
      <c r="K580" s="21">
        <v>1.0674083999999999</v>
      </c>
      <c r="L580" s="24">
        <f t="shared" si="16"/>
        <v>1.078244215241065</v>
      </c>
    </row>
    <row r="581" spans="1:12" x14ac:dyDescent="0.25">
      <c r="A581" s="15">
        <f t="shared" si="17"/>
        <v>576</v>
      </c>
      <c r="B581" s="17">
        <v>28395</v>
      </c>
      <c r="C581" s="18" t="s">
        <v>1143</v>
      </c>
      <c r="D581" s="20" t="s">
        <v>1556</v>
      </c>
      <c r="E581" s="19">
        <v>0</v>
      </c>
      <c r="F581" s="20" t="s">
        <v>1556</v>
      </c>
      <c r="G581" s="21">
        <v>0</v>
      </c>
      <c r="H581" s="21">
        <v>0</v>
      </c>
      <c r="I581" s="14" t="s">
        <v>1561</v>
      </c>
      <c r="J581" s="21">
        <v>0</v>
      </c>
      <c r="K581" s="21">
        <v>0</v>
      </c>
      <c r="L581" s="24">
        <f t="shared" si="16"/>
        <v>0</v>
      </c>
    </row>
    <row r="582" spans="1:12" x14ac:dyDescent="0.25">
      <c r="A582" s="15">
        <f t="shared" si="17"/>
        <v>577</v>
      </c>
      <c r="B582" s="17">
        <v>28400</v>
      </c>
      <c r="C582" s="18" t="s">
        <v>184</v>
      </c>
      <c r="D582" s="20">
        <v>0.17328640000000001</v>
      </c>
      <c r="E582" s="19">
        <v>0</v>
      </c>
      <c r="F582" s="20">
        <v>0.17328640000000001</v>
      </c>
      <c r="G582" s="21">
        <v>35.968201800000003</v>
      </c>
      <c r="H582" s="21">
        <v>35.968201800000003</v>
      </c>
      <c r="I582" s="14" t="s">
        <v>1561</v>
      </c>
      <c r="J582" s="21">
        <v>11.530434977571236</v>
      </c>
      <c r="K582" s="21">
        <v>38.604990600000001</v>
      </c>
      <c r="L582" s="24">
        <f t="shared" si="16"/>
        <v>1.0733088858503901</v>
      </c>
    </row>
    <row r="583" spans="1:12" x14ac:dyDescent="0.25">
      <c r="A583" s="15">
        <f t="shared" si="17"/>
        <v>578</v>
      </c>
      <c r="B583" s="17">
        <v>28405</v>
      </c>
      <c r="C583" s="18" t="s">
        <v>1144</v>
      </c>
      <c r="D583" s="20" t="s">
        <v>1556</v>
      </c>
      <c r="E583" s="19">
        <v>0</v>
      </c>
      <c r="F583" s="20" t="s">
        <v>1556</v>
      </c>
      <c r="G583" s="21">
        <v>0</v>
      </c>
      <c r="H583" s="21">
        <v>0</v>
      </c>
      <c r="I583" s="14" t="s">
        <v>1561</v>
      </c>
      <c r="J583" s="21">
        <v>0</v>
      </c>
      <c r="K583" s="21">
        <v>0</v>
      </c>
      <c r="L583" s="24">
        <f t="shared" ref="L583:L646" si="18">+IFERROR(K583/G583,0)</f>
        <v>0</v>
      </c>
    </row>
    <row r="584" spans="1:12" x14ac:dyDescent="0.25">
      <c r="A584" s="15">
        <f t="shared" ref="A584:A647" si="19">A583+1</f>
        <v>579</v>
      </c>
      <c r="B584" s="17">
        <v>28457</v>
      </c>
      <c r="C584" s="18" t="s">
        <v>696</v>
      </c>
      <c r="D584" s="20" t="s">
        <v>1556</v>
      </c>
      <c r="E584" s="19">
        <v>0</v>
      </c>
      <c r="F584" s="20" t="s">
        <v>1556</v>
      </c>
      <c r="G584" s="21">
        <v>0</v>
      </c>
      <c r="H584" s="21">
        <v>0</v>
      </c>
      <c r="I584" s="14" t="s">
        <v>1561</v>
      </c>
      <c r="J584" s="21">
        <v>0</v>
      </c>
      <c r="K584" s="21">
        <v>0</v>
      </c>
      <c r="L584" s="24">
        <f t="shared" si="18"/>
        <v>0</v>
      </c>
    </row>
    <row r="585" spans="1:12" x14ac:dyDescent="0.25">
      <c r="A585" s="15">
        <f t="shared" si="19"/>
        <v>580</v>
      </c>
      <c r="B585" s="17">
        <v>28543</v>
      </c>
      <c r="C585" s="18" t="s">
        <v>1145</v>
      </c>
      <c r="D585" s="20">
        <v>0.46790419999999999</v>
      </c>
      <c r="E585" s="19">
        <v>0</v>
      </c>
      <c r="F585" s="20">
        <v>0.46790419999999999</v>
      </c>
      <c r="G585" s="21">
        <v>162.19428099999999</v>
      </c>
      <c r="H585" s="21">
        <v>143.98689199999998</v>
      </c>
      <c r="I585" s="14" t="s">
        <v>1561</v>
      </c>
      <c r="J585" s="21">
        <v>46.60638347208674</v>
      </c>
      <c r="K585" s="21">
        <v>150.0829847</v>
      </c>
      <c r="L585" s="24">
        <f t="shared" si="18"/>
        <v>0.92532846272181446</v>
      </c>
    </row>
    <row r="586" spans="1:12" x14ac:dyDescent="0.25">
      <c r="A586" s="15">
        <f t="shared" si="19"/>
        <v>581</v>
      </c>
      <c r="B586" s="17">
        <v>28591</v>
      </c>
      <c r="C586" s="18" t="s">
        <v>697</v>
      </c>
      <c r="D586" s="20" t="s">
        <v>1556</v>
      </c>
      <c r="E586" s="19">
        <v>0</v>
      </c>
      <c r="F586" s="20" t="s">
        <v>1556</v>
      </c>
      <c r="G586" s="21">
        <v>0</v>
      </c>
      <c r="H586" s="21">
        <v>0</v>
      </c>
      <c r="I586" s="14" t="s">
        <v>1561</v>
      </c>
      <c r="J586" s="21">
        <v>0</v>
      </c>
      <c r="K586" s="21">
        <v>0</v>
      </c>
      <c r="L586" s="24">
        <f t="shared" si="18"/>
        <v>0</v>
      </c>
    </row>
    <row r="587" spans="1:12" x14ac:dyDescent="0.25">
      <c r="A587" s="15">
        <f t="shared" si="19"/>
        <v>582</v>
      </c>
      <c r="B587" s="17">
        <v>28601</v>
      </c>
      <c r="C587" s="18" t="s">
        <v>370</v>
      </c>
      <c r="D587" s="20" t="s">
        <v>1556</v>
      </c>
      <c r="E587" s="19">
        <v>0</v>
      </c>
      <c r="F587" s="20" t="s">
        <v>1556</v>
      </c>
      <c r="G587" s="21">
        <v>0</v>
      </c>
      <c r="H587" s="21">
        <v>0</v>
      </c>
      <c r="I587" s="14" t="s">
        <v>1561</v>
      </c>
      <c r="J587" s="21">
        <v>0</v>
      </c>
      <c r="K587" s="21">
        <v>0</v>
      </c>
      <c r="L587" s="24">
        <f t="shared" si="18"/>
        <v>0</v>
      </c>
    </row>
    <row r="588" spans="1:12" x14ac:dyDescent="0.25">
      <c r="A588" s="15">
        <f t="shared" si="19"/>
        <v>583</v>
      </c>
      <c r="B588" s="17">
        <v>28883</v>
      </c>
      <c r="C588" s="18" t="s">
        <v>1146</v>
      </c>
      <c r="D588" s="20" t="s">
        <v>1556</v>
      </c>
      <c r="E588" s="19">
        <v>0</v>
      </c>
      <c r="F588" s="20" t="s">
        <v>1556</v>
      </c>
      <c r="G588" s="21">
        <v>0</v>
      </c>
      <c r="H588" s="21">
        <v>0</v>
      </c>
      <c r="I588" s="14" t="s">
        <v>1561</v>
      </c>
      <c r="J588" s="21">
        <v>0</v>
      </c>
      <c r="K588" s="21">
        <v>0</v>
      </c>
      <c r="L588" s="24">
        <f t="shared" si="18"/>
        <v>0</v>
      </c>
    </row>
    <row r="589" spans="1:12" x14ac:dyDescent="0.25">
      <c r="A589" s="15">
        <f t="shared" si="19"/>
        <v>584</v>
      </c>
      <c r="B589" s="17">
        <v>28943</v>
      </c>
      <c r="C589" s="18" t="s">
        <v>1147</v>
      </c>
      <c r="D589" s="20" t="s">
        <v>1556</v>
      </c>
      <c r="E589" s="19">
        <v>0</v>
      </c>
      <c r="F589" s="20" t="s">
        <v>1556</v>
      </c>
      <c r="G589" s="21">
        <v>0</v>
      </c>
      <c r="H589" s="21">
        <v>0</v>
      </c>
      <c r="I589" s="14" t="s">
        <v>1561</v>
      </c>
      <c r="J589" s="21">
        <v>0</v>
      </c>
      <c r="K589" s="21">
        <v>0</v>
      </c>
      <c r="L589" s="24">
        <f t="shared" si="18"/>
        <v>0</v>
      </c>
    </row>
    <row r="590" spans="1:12" x14ac:dyDescent="0.25">
      <c r="A590" s="15">
        <f t="shared" si="19"/>
        <v>585</v>
      </c>
      <c r="B590" s="17">
        <v>28958</v>
      </c>
      <c r="C590" s="18" t="s">
        <v>698</v>
      </c>
      <c r="D590" s="20" t="s">
        <v>1556</v>
      </c>
      <c r="E590" s="19">
        <v>0</v>
      </c>
      <c r="F590" s="20" t="s">
        <v>1556</v>
      </c>
      <c r="G590" s="21">
        <v>115.17080619999999</v>
      </c>
      <c r="H590" s="21">
        <v>91.439241199999998</v>
      </c>
      <c r="I590" s="14" t="s">
        <v>1561</v>
      </c>
      <c r="J590" s="21">
        <v>85.056436196795957</v>
      </c>
      <c r="K590" s="21">
        <v>107.7678082</v>
      </c>
      <c r="L590" s="24">
        <f t="shared" si="18"/>
        <v>0.93572157524759969</v>
      </c>
    </row>
    <row r="591" spans="1:12" x14ac:dyDescent="0.25">
      <c r="A591" s="15">
        <f t="shared" si="19"/>
        <v>586</v>
      </c>
      <c r="B591" s="17">
        <v>29043</v>
      </c>
      <c r="C591" s="18" t="s">
        <v>699</v>
      </c>
      <c r="D591" s="20" t="s">
        <v>1556</v>
      </c>
      <c r="E591" s="19">
        <v>0</v>
      </c>
      <c r="F591" s="20" t="s">
        <v>1556</v>
      </c>
      <c r="G591" s="21">
        <v>0</v>
      </c>
      <c r="H591" s="21">
        <v>0</v>
      </c>
      <c r="I591" s="14" t="s">
        <v>1561</v>
      </c>
      <c r="J591" s="21">
        <v>0</v>
      </c>
      <c r="K591" s="21">
        <v>0</v>
      </c>
      <c r="L591" s="24">
        <f t="shared" si="18"/>
        <v>0</v>
      </c>
    </row>
    <row r="592" spans="1:12" x14ac:dyDescent="0.25">
      <c r="A592" s="15">
        <f t="shared" si="19"/>
        <v>587</v>
      </c>
      <c r="B592" s="17">
        <v>29053</v>
      </c>
      <c r="C592" s="18" t="s">
        <v>371</v>
      </c>
      <c r="D592" s="20" t="s">
        <v>1556</v>
      </c>
      <c r="E592" s="19">
        <v>0</v>
      </c>
      <c r="F592" s="20" t="s">
        <v>1556</v>
      </c>
      <c r="G592" s="21">
        <v>0</v>
      </c>
      <c r="H592" s="21">
        <v>0</v>
      </c>
      <c r="I592" s="14" t="s">
        <v>1561</v>
      </c>
      <c r="J592" s="21">
        <v>0</v>
      </c>
      <c r="K592" s="21">
        <v>0</v>
      </c>
      <c r="L592" s="24">
        <f t="shared" si="18"/>
        <v>0</v>
      </c>
    </row>
    <row r="593" spans="1:12" x14ac:dyDescent="0.25">
      <c r="A593" s="15">
        <f t="shared" si="19"/>
        <v>588</v>
      </c>
      <c r="B593" s="17">
        <v>29224</v>
      </c>
      <c r="C593" s="18" t="s">
        <v>700</v>
      </c>
      <c r="D593" s="20" t="s">
        <v>1556</v>
      </c>
      <c r="E593" s="19">
        <v>0</v>
      </c>
      <c r="F593" s="20" t="s">
        <v>1556</v>
      </c>
      <c r="G593" s="21">
        <v>1.5199240000000001</v>
      </c>
      <c r="H593" s="21">
        <v>1.5199240000000001</v>
      </c>
      <c r="I593" s="14" t="s">
        <v>1561</v>
      </c>
      <c r="J593" s="21">
        <v>1.69705164E-2</v>
      </c>
      <c r="K593" s="21">
        <v>1.5570617999999998</v>
      </c>
      <c r="L593" s="24">
        <f t="shared" si="18"/>
        <v>1.0244339848571375</v>
      </c>
    </row>
    <row r="594" spans="1:12" x14ac:dyDescent="0.25">
      <c r="A594" s="15">
        <f t="shared" si="19"/>
        <v>589</v>
      </c>
      <c r="B594" s="17">
        <v>29235</v>
      </c>
      <c r="C594" s="18" t="s">
        <v>372</v>
      </c>
      <c r="D594" s="20" t="s">
        <v>1556</v>
      </c>
      <c r="E594" s="19">
        <v>0</v>
      </c>
      <c r="F594" s="20" t="s">
        <v>1556</v>
      </c>
      <c r="G594" s="21">
        <v>0</v>
      </c>
      <c r="H594" s="21">
        <v>0</v>
      </c>
      <c r="I594" s="14" t="s">
        <v>1561</v>
      </c>
      <c r="J594" s="21">
        <v>0</v>
      </c>
      <c r="K594" s="21">
        <v>0</v>
      </c>
      <c r="L594" s="24">
        <f t="shared" si="18"/>
        <v>0</v>
      </c>
    </row>
    <row r="595" spans="1:12" x14ac:dyDescent="0.25">
      <c r="A595" s="15">
        <f t="shared" si="19"/>
        <v>590</v>
      </c>
      <c r="B595" s="17">
        <v>29261</v>
      </c>
      <c r="C595" s="18" t="s">
        <v>701</v>
      </c>
      <c r="D595" s="20" t="s">
        <v>1556</v>
      </c>
      <c r="E595" s="19">
        <v>0</v>
      </c>
      <c r="F595" s="20" t="s">
        <v>1556</v>
      </c>
      <c r="G595" s="21">
        <v>0.7299635000000001</v>
      </c>
      <c r="H595" s="21">
        <v>0.7299635000000001</v>
      </c>
      <c r="I595" s="14" t="s">
        <v>1561</v>
      </c>
      <c r="J595" s="21">
        <v>2.8239686225000005E-2</v>
      </c>
      <c r="K595" s="21">
        <v>0.75217649999999991</v>
      </c>
      <c r="L595" s="24">
        <f t="shared" si="18"/>
        <v>1.0304302886377192</v>
      </c>
    </row>
    <row r="596" spans="1:12" x14ac:dyDescent="0.25">
      <c r="A596" s="15">
        <f t="shared" si="19"/>
        <v>591</v>
      </c>
      <c r="B596" s="17">
        <v>29333</v>
      </c>
      <c r="C596" s="18" t="s">
        <v>1148</v>
      </c>
      <c r="D596" s="20" t="s">
        <v>1556</v>
      </c>
      <c r="E596" s="19">
        <v>0</v>
      </c>
      <c r="F596" s="20" t="s">
        <v>1556</v>
      </c>
      <c r="G596" s="21">
        <v>1.8399079999999999</v>
      </c>
      <c r="H596" s="21">
        <v>1.8399079999999999</v>
      </c>
      <c r="I596" s="14" t="s">
        <v>1561</v>
      </c>
      <c r="J596" s="21">
        <v>0.50929731684265234</v>
      </c>
      <c r="K596" s="21">
        <v>1.8980566000000001</v>
      </c>
      <c r="L596" s="24">
        <f t="shared" si="18"/>
        <v>1.0316040802040103</v>
      </c>
    </row>
    <row r="597" spans="1:12" x14ac:dyDescent="0.25">
      <c r="A597" s="15">
        <f t="shared" si="19"/>
        <v>592</v>
      </c>
      <c r="B597" s="17">
        <v>29345</v>
      </c>
      <c r="C597" s="18" t="s">
        <v>105</v>
      </c>
      <c r="D597" s="20">
        <v>2.1927891000000002</v>
      </c>
      <c r="E597" s="19">
        <v>0</v>
      </c>
      <c r="F597" s="20">
        <v>2.1927891000000002</v>
      </c>
      <c r="G597" s="21">
        <v>274.68110860000002</v>
      </c>
      <c r="H597" s="21">
        <v>261.3217042</v>
      </c>
      <c r="I597" s="14" t="s">
        <v>1561</v>
      </c>
      <c r="J597" s="21">
        <v>150.45643252541092</v>
      </c>
      <c r="K597" s="21">
        <v>318.00821409999998</v>
      </c>
      <c r="L597" s="24">
        <f t="shared" si="18"/>
        <v>1.1577360224036899</v>
      </c>
    </row>
    <row r="598" spans="1:12" x14ac:dyDescent="0.25">
      <c r="A598" s="15">
        <f t="shared" si="19"/>
        <v>593</v>
      </c>
      <c r="B598" s="17">
        <v>29656</v>
      </c>
      <c r="C598" s="18" t="s">
        <v>1149</v>
      </c>
      <c r="D598" s="20">
        <v>0.18047779999999999</v>
      </c>
      <c r="E598" s="19">
        <v>0</v>
      </c>
      <c r="F598" s="20">
        <v>0.18047779999999999</v>
      </c>
      <c r="G598" s="21">
        <v>73.398399999999995</v>
      </c>
      <c r="H598" s="21">
        <v>58.898400000000002</v>
      </c>
      <c r="I598" s="14" t="s">
        <v>1561</v>
      </c>
      <c r="J598" s="21">
        <v>23.631593579826621</v>
      </c>
      <c r="K598" s="21">
        <v>63.1536349</v>
      </c>
      <c r="L598" s="24">
        <f t="shared" si="18"/>
        <v>0.86042250103544493</v>
      </c>
    </row>
    <row r="599" spans="1:12" x14ac:dyDescent="0.25">
      <c r="A599" s="15">
        <f t="shared" si="19"/>
        <v>594</v>
      </c>
      <c r="B599" s="17">
        <v>29727</v>
      </c>
      <c r="C599" s="18" t="s">
        <v>702</v>
      </c>
      <c r="D599" s="20" t="s">
        <v>1556</v>
      </c>
      <c r="E599" s="19">
        <v>0</v>
      </c>
      <c r="F599" s="20" t="s">
        <v>1556</v>
      </c>
      <c r="G599" s="21">
        <v>0</v>
      </c>
      <c r="H599" s="21">
        <v>0</v>
      </c>
      <c r="I599" s="14" t="s">
        <v>1561</v>
      </c>
      <c r="J599" s="21">
        <v>0</v>
      </c>
      <c r="K599" s="21">
        <v>0</v>
      </c>
      <c r="L599" s="24">
        <f t="shared" si="18"/>
        <v>0</v>
      </c>
    </row>
    <row r="600" spans="1:12" x14ac:dyDescent="0.25">
      <c r="A600" s="15">
        <f t="shared" si="19"/>
        <v>595</v>
      </c>
      <c r="B600" s="17">
        <v>29819</v>
      </c>
      <c r="C600" s="18" t="s">
        <v>106</v>
      </c>
      <c r="D600" s="20">
        <v>0.24968070000000001</v>
      </c>
      <c r="E600" s="19">
        <v>0</v>
      </c>
      <c r="F600" s="20">
        <v>0.24968070000000001</v>
      </c>
      <c r="G600" s="21">
        <v>48.247587500000002</v>
      </c>
      <c r="H600" s="21">
        <v>43.497587500000002</v>
      </c>
      <c r="I600" s="14" t="s">
        <v>1561</v>
      </c>
      <c r="J600" s="21">
        <v>22.535489520114702</v>
      </c>
      <c r="K600" s="21">
        <v>48.242840700000002</v>
      </c>
      <c r="L600" s="24">
        <f t="shared" si="18"/>
        <v>0.99990161580617887</v>
      </c>
    </row>
    <row r="601" spans="1:12" x14ac:dyDescent="0.25">
      <c r="A601" s="15">
        <f t="shared" si="19"/>
        <v>596</v>
      </c>
      <c r="B601" s="17">
        <v>29860</v>
      </c>
      <c r="C601" s="18" t="s">
        <v>703</v>
      </c>
      <c r="D601" s="20" t="s">
        <v>1556</v>
      </c>
      <c r="E601" s="19">
        <v>0</v>
      </c>
      <c r="F601" s="20" t="s">
        <v>1556</v>
      </c>
      <c r="G601" s="21">
        <v>0</v>
      </c>
      <c r="H601" s="21">
        <v>0</v>
      </c>
      <c r="I601" s="14" t="s">
        <v>1561</v>
      </c>
      <c r="J601" s="21">
        <v>0</v>
      </c>
      <c r="K601" s="21">
        <v>0</v>
      </c>
      <c r="L601" s="24">
        <f t="shared" si="18"/>
        <v>0</v>
      </c>
    </row>
    <row r="602" spans="1:12" x14ac:dyDescent="0.25">
      <c r="A602" s="15">
        <f t="shared" si="19"/>
        <v>597</v>
      </c>
      <c r="B602" s="17">
        <v>29886</v>
      </c>
      <c r="C602" s="18" t="s">
        <v>443</v>
      </c>
      <c r="D602" s="20">
        <v>0.67205490000000001</v>
      </c>
      <c r="E602" s="19">
        <v>0</v>
      </c>
      <c r="F602" s="20">
        <v>0.67205490000000001</v>
      </c>
      <c r="G602" s="21">
        <v>144.91869439999999</v>
      </c>
      <c r="H602" s="21">
        <v>144.0017637</v>
      </c>
      <c r="I602" s="14" t="s">
        <v>1561</v>
      </c>
      <c r="J602" s="21">
        <v>53.122246235227323</v>
      </c>
      <c r="K602" s="21">
        <v>151.78870470000001</v>
      </c>
      <c r="L602" s="24">
        <f t="shared" si="18"/>
        <v>1.0474059632433455</v>
      </c>
    </row>
    <row r="603" spans="1:12" x14ac:dyDescent="0.25">
      <c r="A603" s="15">
        <f t="shared" si="19"/>
        <v>598</v>
      </c>
      <c r="B603" s="17">
        <v>29889</v>
      </c>
      <c r="C603" s="18" t="s">
        <v>107</v>
      </c>
      <c r="D603" s="20">
        <v>0.112883</v>
      </c>
      <c r="E603" s="19">
        <v>0</v>
      </c>
      <c r="F603" s="20">
        <v>0.112883</v>
      </c>
      <c r="G603" s="21">
        <v>13.768311599999999</v>
      </c>
      <c r="H603" s="21">
        <v>13.768311599999999</v>
      </c>
      <c r="I603" s="14" t="s">
        <v>1561</v>
      </c>
      <c r="J603" s="21">
        <v>19.072517475317735</v>
      </c>
      <c r="K603" s="21">
        <v>35.134681200000003</v>
      </c>
      <c r="L603" s="24">
        <f t="shared" si="18"/>
        <v>2.5518511071466459</v>
      </c>
    </row>
    <row r="604" spans="1:12" x14ac:dyDescent="0.25">
      <c r="A604" s="15">
        <f t="shared" si="19"/>
        <v>599</v>
      </c>
      <c r="B604" s="17">
        <v>29900</v>
      </c>
      <c r="C604" s="18" t="s">
        <v>373</v>
      </c>
      <c r="D604" s="20" t="s">
        <v>1556</v>
      </c>
      <c r="E604" s="19">
        <v>0</v>
      </c>
      <c r="F604" s="20" t="s">
        <v>1556</v>
      </c>
      <c r="G604" s="21">
        <v>0</v>
      </c>
      <c r="H604" s="21">
        <v>0</v>
      </c>
      <c r="I604" s="14" t="s">
        <v>1561</v>
      </c>
      <c r="J604" s="21">
        <v>0</v>
      </c>
      <c r="K604" s="21">
        <v>0</v>
      </c>
      <c r="L604" s="24">
        <f t="shared" si="18"/>
        <v>0</v>
      </c>
    </row>
    <row r="605" spans="1:12" x14ac:dyDescent="0.25">
      <c r="A605" s="15">
        <f t="shared" si="19"/>
        <v>600</v>
      </c>
      <c r="B605" s="17">
        <v>30061</v>
      </c>
      <c r="C605" s="18" t="s">
        <v>290</v>
      </c>
      <c r="D605" s="20" t="s">
        <v>1556</v>
      </c>
      <c r="E605" s="19">
        <v>0</v>
      </c>
      <c r="F605" s="20" t="s">
        <v>1556</v>
      </c>
      <c r="G605" s="21">
        <v>1.9949005</v>
      </c>
      <c r="H605" s="21">
        <v>1.9288034000000001</v>
      </c>
      <c r="I605" s="14" t="s">
        <v>1561</v>
      </c>
      <c r="J605" s="21">
        <v>0.80967192459068105</v>
      </c>
      <c r="K605" s="21">
        <v>2.0999150000000002</v>
      </c>
      <c r="L605" s="24">
        <f t="shared" si="18"/>
        <v>1.0526414725947486</v>
      </c>
    </row>
    <row r="606" spans="1:12" x14ac:dyDescent="0.25">
      <c r="A606" s="15">
        <f t="shared" si="19"/>
        <v>601</v>
      </c>
      <c r="B606" s="17">
        <v>30156</v>
      </c>
      <c r="C606" s="18" t="s">
        <v>108</v>
      </c>
      <c r="D606" s="20" t="s">
        <v>1556</v>
      </c>
      <c r="E606" s="19">
        <v>0</v>
      </c>
      <c r="F606" s="20" t="s">
        <v>1556</v>
      </c>
      <c r="G606" s="21">
        <v>3.8998053000000001</v>
      </c>
      <c r="H606" s="21">
        <v>3.8998053000000001</v>
      </c>
      <c r="I606" s="14" t="s">
        <v>1561</v>
      </c>
      <c r="J606" s="21">
        <v>1.5791754079551974</v>
      </c>
      <c r="K606" s="21">
        <v>3.2883371999999995</v>
      </c>
      <c r="L606" s="24">
        <f t="shared" si="18"/>
        <v>0.84320548002742579</v>
      </c>
    </row>
    <row r="607" spans="1:12" x14ac:dyDescent="0.25">
      <c r="A607" s="15">
        <f t="shared" si="19"/>
        <v>602</v>
      </c>
      <c r="B607" s="17">
        <v>30173</v>
      </c>
      <c r="C607" s="18" t="s">
        <v>1150</v>
      </c>
      <c r="D607" s="20" t="s">
        <v>1556</v>
      </c>
      <c r="E607" s="19">
        <v>0</v>
      </c>
      <c r="F607" s="20" t="s">
        <v>1556</v>
      </c>
      <c r="G607" s="21">
        <v>0</v>
      </c>
      <c r="H607" s="21">
        <v>0</v>
      </c>
      <c r="I607" s="14" t="s">
        <v>1561</v>
      </c>
      <c r="J607" s="21">
        <v>0</v>
      </c>
      <c r="K607" s="21">
        <v>0</v>
      </c>
      <c r="L607" s="24">
        <f t="shared" si="18"/>
        <v>0</v>
      </c>
    </row>
    <row r="608" spans="1:12" x14ac:dyDescent="0.25">
      <c r="A608" s="15">
        <f t="shared" si="19"/>
        <v>603</v>
      </c>
      <c r="B608" s="17">
        <v>30242</v>
      </c>
      <c r="C608" s="18" t="s">
        <v>291</v>
      </c>
      <c r="D608" s="20">
        <v>8.8027999999999995E-3</v>
      </c>
      <c r="E608" s="19">
        <v>0</v>
      </c>
      <c r="F608" s="20">
        <v>8.8027999999999995E-3</v>
      </c>
      <c r="G608" s="21">
        <v>10.7686884</v>
      </c>
      <c r="H608" s="21">
        <v>6.9994615000000016</v>
      </c>
      <c r="I608" s="14" t="s">
        <v>1561</v>
      </c>
      <c r="J608" s="21">
        <v>1.661739908130466</v>
      </c>
      <c r="K608" s="21">
        <v>7.0586527000000006</v>
      </c>
      <c r="L608" s="24">
        <f t="shared" si="18"/>
        <v>0.6554793339549132</v>
      </c>
    </row>
    <row r="609" spans="1:12" x14ac:dyDescent="0.25">
      <c r="A609" s="15">
        <f t="shared" si="19"/>
        <v>604</v>
      </c>
      <c r="B609" s="17">
        <v>30246</v>
      </c>
      <c r="C609" s="18" t="s">
        <v>704</v>
      </c>
      <c r="D609" s="20" t="s">
        <v>1556</v>
      </c>
      <c r="E609" s="19">
        <v>0</v>
      </c>
      <c r="F609" s="20" t="s">
        <v>1556</v>
      </c>
      <c r="G609" s="21">
        <v>0</v>
      </c>
      <c r="H609" s="21">
        <v>0</v>
      </c>
      <c r="I609" s="14" t="s">
        <v>1561</v>
      </c>
      <c r="J609" s="21">
        <v>0</v>
      </c>
      <c r="K609" s="21">
        <v>0</v>
      </c>
      <c r="L609" s="24">
        <f t="shared" si="18"/>
        <v>0</v>
      </c>
    </row>
    <row r="610" spans="1:12" x14ac:dyDescent="0.25">
      <c r="A610" s="15">
        <f t="shared" si="19"/>
        <v>605</v>
      </c>
      <c r="B610" s="17">
        <v>30370</v>
      </c>
      <c r="C610" s="18" t="s">
        <v>136</v>
      </c>
      <c r="D610" s="20">
        <v>2.3910300000000002E-2</v>
      </c>
      <c r="E610" s="19">
        <v>0</v>
      </c>
      <c r="F610" s="20">
        <v>2.3910300000000002E-2</v>
      </c>
      <c r="G610" s="21">
        <v>8.5895705000000007</v>
      </c>
      <c r="H610" s="21">
        <v>8.5895705000000007</v>
      </c>
      <c r="I610" s="14" t="s">
        <v>1561</v>
      </c>
      <c r="J610" s="21">
        <v>2.1431613468146056</v>
      </c>
      <c r="K610" s="21">
        <v>8.8864839999999994</v>
      </c>
      <c r="L610" s="24">
        <f t="shared" si="18"/>
        <v>1.0345667457994552</v>
      </c>
    </row>
    <row r="611" spans="1:12" x14ac:dyDescent="0.25">
      <c r="A611" s="15">
        <f t="shared" si="19"/>
        <v>606</v>
      </c>
      <c r="B611" s="17">
        <v>30544</v>
      </c>
      <c r="C611" s="18" t="s">
        <v>374</v>
      </c>
      <c r="D611" s="20" t="s">
        <v>1556</v>
      </c>
      <c r="E611" s="19">
        <v>0</v>
      </c>
      <c r="F611" s="20" t="s">
        <v>1556</v>
      </c>
      <c r="G611" s="21">
        <v>0</v>
      </c>
      <c r="H611" s="21">
        <v>0</v>
      </c>
      <c r="I611" s="14" t="s">
        <v>1561</v>
      </c>
      <c r="J611" s="21">
        <v>0</v>
      </c>
      <c r="K611" s="21">
        <v>0</v>
      </c>
      <c r="L611" s="24">
        <f t="shared" si="18"/>
        <v>0</v>
      </c>
    </row>
    <row r="612" spans="1:12" x14ac:dyDescent="0.25">
      <c r="A612" s="15">
        <f t="shared" si="19"/>
        <v>607</v>
      </c>
      <c r="B612" s="17">
        <v>30601</v>
      </c>
      <c r="C612" s="18" t="s">
        <v>1151</v>
      </c>
      <c r="D612" s="20" t="s">
        <v>1556</v>
      </c>
      <c r="E612" s="19">
        <v>0</v>
      </c>
      <c r="F612" s="20" t="s">
        <v>1556</v>
      </c>
      <c r="G612" s="21">
        <v>0</v>
      </c>
      <c r="H612" s="21">
        <v>0</v>
      </c>
      <c r="I612" s="14" t="s">
        <v>1561</v>
      </c>
      <c r="J612" s="21">
        <v>0</v>
      </c>
      <c r="K612" s="21">
        <v>0</v>
      </c>
      <c r="L612" s="24">
        <f t="shared" si="18"/>
        <v>0</v>
      </c>
    </row>
    <row r="613" spans="1:12" x14ac:dyDescent="0.25">
      <c r="A613" s="15">
        <f t="shared" si="19"/>
        <v>608</v>
      </c>
      <c r="B613" s="17">
        <v>30808</v>
      </c>
      <c r="C613" s="18" t="s">
        <v>705</v>
      </c>
      <c r="D613" s="20" t="s">
        <v>1556</v>
      </c>
      <c r="E613" s="19">
        <v>0</v>
      </c>
      <c r="F613" s="20" t="s">
        <v>1556</v>
      </c>
      <c r="G613" s="21">
        <v>0</v>
      </c>
      <c r="H613" s="21">
        <v>0</v>
      </c>
      <c r="I613" s="14" t="s">
        <v>1561</v>
      </c>
      <c r="J613" s="21">
        <v>0</v>
      </c>
      <c r="K613" s="21">
        <v>0</v>
      </c>
      <c r="L613" s="24">
        <f t="shared" si="18"/>
        <v>0</v>
      </c>
    </row>
    <row r="614" spans="1:12" x14ac:dyDescent="0.25">
      <c r="A614" s="15">
        <f t="shared" si="19"/>
        <v>609</v>
      </c>
      <c r="B614" s="17">
        <v>30846</v>
      </c>
      <c r="C614" s="18" t="s">
        <v>109</v>
      </c>
      <c r="D614" s="20" t="s">
        <v>1556</v>
      </c>
      <c r="E614" s="19">
        <v>0</v>
      </c>
      <c r="F614" s="20" t="s">
        <v>1556</v>
      </c>
      <c r="G614" s="21">
        <v>0</v>
      </c>
      <c r="H614" s="21">
        <v>0</v>
      </c>
      <c r="I614" s="14" t="s">
        <v>1561</v>
      </c>
      <c r="J614" s="21">
        <v>0</v>
      </c>
      <c r="K614" s="21">
        <v>0</v>
      </c>
      <c r="L614" s="24">
        <f t="shared" si="18"/>
        <v>0</v>
      </c>
    </row>
    <row r="615" spans="1:12" x14ac:dyDescent="0.25">
      <c r="A615" s="15">
        <f t="shared" si="19"/>
        <v>610</v>
      </c>
      <c r="B615" s="17">
        <v>31210</v>
      </c>
      <c r="C615" s="18" t="s">
        <v>706</v>
      </c>
      <c r="D615" s="20">
        <v>1.0900000000000001E-5</v>
      </c>
      <c r="E615" s="19">
        <v>0</v>
      </c>
      <c r="F615" s="20">
        <v>1.0900000000000001E-5</v>
      </c>
      <c r="G615" s="21">
        <v>3.9997999999999999E-2</v>
      </c>
      <c r="H615" s="21">
        <v>3.9997999999999999E-2</v>
      </c>
      <c r="I615" s="14" t="s">
        <v>1561</v>
      </c>
      <c r="J615" s="21">
        <v>3.8729127833333336E-3</v>
      </c>
      <c r="K615" s="21">
        <v>3.9579400000000001E-2</v>
      </c>
      <c r="L615" s="24">
        <f t="shared" si="18"/>
        <v>0.98953447672383621</v>
      </c>
    </row>
    <row r="616" spans="1:12" x14ac:dyDescent="0.25">
      <c r="A616" s="15">
        <f t="shared" si="19"/>
        <v>611</v>
      </c>
      <c r="B616" s="17">
        <v>31237</v>
      </c>
      <c r="C616" s="18" t="s">
        <v>1152</v>
      </c>
      <c r="D616" s="20" t="s">
        <v>1556</v>
      </c>
      <c r="E616" s="19">
        <v>0</v>
      </c>
      <c r="F616" s="20" t="s">
        <v>1556</v>
      </c>
      <c r="G616" s="21">
        <v>0</v>
      </c>
      <c r="H616" s="21">
        <v>0</v>
      </c>
      <c r="I616" s="14" t="s">
        <v>1561</v>
      </c>
      <c r="J616" s="21">
        <v>0</v>
      </c>
      <c r="K616" s="21">
        <v>0</v>
      </c>
      <c r="L616" s="24">
        <f t="shared" si="18"/>
        <v>0</v>
      </c>
    </row>
    <row r="617" spans="1:12" x14ac:dyDescent="0.25">
      <c r="A617" s="15">
        <f t="shared" si="19"/>
        <v>612</v>
      </c>
      <c r="B617" s="17">
        <v>31267</v>
      </c>
      <c r="C617" s="18" t="s">
        <v>707</v>
      </c>
      <c r="D617" s="20" t="s">
        <v>1556</v>
      </c>
      <c r="E617" s="19">
        <v>0</v>
      </c>
      <c r="F617" s="20" t="s">
        <v>1556</v>
      </c>
      <c r="G617" s="21">
        <v>0</v>
      </c>
      <c r="H617" s="21">
        <v>0</v>
      </c>
      <c r="I617" s="14" t="s">
        <v>1561</v>
      </c>
      <c r="J617" s="21">
        <v>0</v>
      </c>
      <c r="K617" s="21">
        <v>0</v>
      </c>
      <c r="L617" s="24">
        <f t="shared" si="18"/>
        <v>0</v>
      </c>
    </row>
    <row r="618" spans="1:12" x14ac:dyDescent="0.25">
      <c r="A618" s="15">
        <f t="shared" si="19"/>
        <v>613</v>
      </c>
      <c r="B618" s="17">
        <v>31321</v>
      </c>
      <c r="C618" s="18" t="s">
        <v>708</v>
      </c>
      <c r="D618" s="20">
        <v>0.16370000000000001</v>
      </c>
      <c r="E618" s="19">
        <v>0</v>
      </c>
      <c r="F618" s="20">
        <v>0.16370000000000001</v>
      </c>
      <c r="G618" s="21">
        <v>80.837486799999994</v>
      </c>
      <c r="H618" s="21">
        <v>77.455943899999994</v>
      </c>
      <c r="I618" s="14" t="s">
        <v>1561</v>
      </c>
      <c r="J618" s="21">
        <v>16.117277148216132</v>
      </c>
      <c r="K618" s="21">
        <v>80.118569600000001</v>
      </c>
      <c r="L618" s="24">
        <f t="shared" si="18"/>
        <v>0.99110663593762305</v>
      </c>
    </row>
    <row r="619" spans="1:12" x14ac:dyDescent="0.25">
      <c r="A619" s="15">
        <f t="shared" si="19"/>
        <v>614</v>
      </c>
      <c r="B619" s="17">
        <v>31340</v>
      </c>
      <c r="C619" s="18" t="s">
        <v>709</v>
      </c>
      <c r="D619" s="20" t="s">
        <v>1556</v>
      </c>
      <c r="E619" s="19">
        <v>0</v>
      </c>
      <c r="F619" s="20" t="s">
        <v>1556</v>
      </c>
      <c r="G619" s="21">
        <v>0</v>
      </c>
      <c r="H619" s="21">
        <v>0</v>
      </c>
      <c r="I619" s="14" t="s">
        <v>1561</v>
      </c>
      <c r="J619" s="21">
        <v>0</v>
      </c>
      <c r="K619" s="21">
        <v>0</v>
      </c>
      <c r="L619" s="24">
        <f t="shared" si="18"/>
        <v>0</v>
      </c>
    </row>
    <row r="620" spans="1:12" x14ac:dyDescent="0.25">
      <c r="A620" s="15">
        <f t="shared" si="19"/>
        <v>615</v>
      </c>
      <c r="B620" s="17">
        <v>31375</v>
      </c>
      <c r="C620" s="18" t="s">
        <v>1153</v>
      </c>
      <c r="D620" s="20" t="s">
        <v>1556</v>
      </c>
      <c r="E620" s="19">
        <v>0</v>
      </c>
      <c r="F620" s="20" t="s">
        <v>1556</v>
      </c>
      <c r="G620" s="21">
        <v>0</v>
      </c>
      <c r="H620" s="21">
        <v>0</v>
      </c>
      <c r="I620" s="14" t="s">
        <v>1561</v>
      </c>
      <c r="J620" s="21">
        <v>0</v>
      </c>
      <c r="K620" s="21">
        <v>0</v>
      </c>
      <c r="L620" s="24">
        <f t="shared" si="18"/>
        <v>0</v>
      </c>
    </row>
    <row r="621" spans="1:12" x14ac:dyDescent="0.25">
      <c r="A621" s="15">
        <f t="shared" si="19"/>
        <v>616</v>
      </c>
      <c r="B621" s="17">
        <v>31388</v>
      </c>
      <c r="C621" s="18" t="s">
        <v>110</v>
      </c>
      <c r="D621" s="20" t="s">
        <v>1556</v>
      </c>
      <c r="E621" s="19">
        <v>0</v>
      </c>
      <c r="F621" s="20" t="s">
        <v>1556</v>
      </c>
      <c r="G621" s="21">
        <v>0</v>
      </c>
      <c r="H621" s="21">
        <v>0</v>
      </c>
      <c r="I621" s="14" t="s">
        <v>1561</v>
      </c>
      <c r="J621" s="21">
        <v>0</v>
      </c>
      <c r="K621" s="21">
        <v>0</v>
      </c>
      <c r="L621" s="24">
        <f t="shared" si="18"/>
        <v>0</v>
      </c>
    </row>
    <row r="622" spans="1:12" x14ac:dyDescent="0.25">
      <c r="A622" s="15">
        <f t="shared" si="19"/>
        <v>617</v>
      </c>
      <c r="B622" s="17">
        <v>31514</v>
      </c>
      <c r="C622" s="18" t="s">
        <v>710</v>
      </c>
      <c r="D622" s="20" t="s">
        <v>1556</v>
      </c>
      <c r="E622" s="19">
        <v>0</v>
      </c>
      <c r="F622" s="20" t="s">
        <v>1556</v>
      </c>
      <c r="G622" s="21">
        <v>0</v>
      </c>
      <c r="H622" s="21">
        <v>0</v>
      </c>
      <c r="I622" s="14" t="s">
        <v>1561</v>
      </c>
      <c r="J622" s="21">
        <v>0</v>
      </c>
      <c r="K622" s="21">
        <v>0</v>
      </c>
      <c r="L622" s="24">
        <f t="shared" si="18"/>
        <v>0</v>
      </c>
    </row>
    <row r="623" spans="1:12" x14ac:dyDescent="0.25">
      <c r="A623" s="15">
        <f t="shared" si="19"/>
        <v>618</v>
      </c>
      <c r="B623" s="17">
        <v>31574</v>
      </c>
      <c r="C623" s="18" t="s">
        <v>1154</v>
      </c>
      <c r="D623" s="20" t="s">
        <v>1556</v>
      </c>
      <c r="E623" s="19">
        <v>0</v>
      </c>
      <c r="F623" s="20" t="s">
        <v>1556</v>
      </c>
      <c r="G623" s="21">
        <v>0</v>
      </c>
      <c r="H623" s="21">
        <v>0</v>
      </c>
      <c r="I623" s="14" t="s">
        <v>1561</v>
      </c>
      <c r="J623" s="21">
        <v>0</v>
      </c>
      <c r="K623" s="21">
        <v>0</v>
      </c>
      <c r="L623" s="24">
        <f t="shared" si="18"/>
        <v>0</v>
      </c>
    </row>
    <row r="624" spans="1:12" x14ac:dyDescent="0.25">
      <c r="A624" s="15">
        <f t="shared" si="19"/>
        <v>619</v>
      </c>
      <c r="B624" s="17">
        <v>31735</v>
      </c>
      <c r="C624" s="18" t="s">
        <v>1155</v>
      </c>
      <c r="D624" s="20" t="s">
        <v>1556</v>
      </c>
      <c r="E624" s="19">
        <v>0</v>
      </c>
      <c r="F624" s="20" t="s">
        <v>1556</v>
      </c>
      <c r="G624" s="21">
        <v>1.2999350000000001</v>
      </c>
      <c r="H624" s="21">
        <v>1.2999350000000001</v>
      </c>
      <c r="I624" s="14" t="s">
        <v>1561</v>
      </c>
      <c r="J624" s="21">
        <v>0.40899971358987458</v>
      </c>
      <c r="K624" s="21">
        <v>1.2761989</v>
      </c>
      <c r="L624" s="24">
        <f t="shared" si="18"/>
        <v>0.98174054856588977</v>
      </c>
    </row>
    <row r="625" spans="1:12" x14ac:dyDescent="0.25">
      <c r="A625" s="15">
        <f t="shared" si="19"/>
        <v>620</v>
      </c>
      <c r="B625" s="17">
        <v>31751</v>
      </c>
      <c r="C625" s="18" t="s">
        <v>221</v>
      </c>
      <c r="D625" s="20">
        <v>0.18758839999999999</v>
      </c>
      <c r="E625" s="19">
        <v>0</v>
      </c>
      <c r="F625" s="20">
        <v>0.18758839999999999</v>
      </c>
      <c r="G625" s="21">
        <v>65.213191500000008</v>
      </c>
      <c r="H625" s="21">
        <v>56.213709100000003</v>
      </c>
      <c r="I625" s="14" t="s">
        <v>1561</v>
      </c>
      <c r="J625" s="21">
        <v>18.896777711812355</v>
      </c>
      <c r="K625" s="21">
        <v>60.503258799999998</v>
      </c>
      <c r="L625" s="24">
        <f t="shared" si="18"/>
        <v>0.92777638094893711</v>
      </c>
    </row>
    <row r="626" spans="1:12" x14ac:dyDescent="0.25">
      <c r="A626" s="15">
        <f t="shared" si="19"/>
        <v>621</v>
      </c>
      <c r="B626" s="17">
        <v>31899</v>
      </c>
      <c r="C626" s="18" t="s">
        <v>375</v>
      </c>
      <c r="D626" s="20" t="s">
        <v>1556</v>
      </c>
      <c r="E626" s="19">
        <v>0</v>
      </c>
      <c r="F626" s="20" t="s">
        <v>1556</v>
      </c>
      <c r="G626" s="21">
        <v>0</v>
      </c>
      <c r="H626" s="21">
        <v>0</v>
      </c>
      <c r="I626" s="14" t="s">
        <v>1561</v>
      </c>
      <c r="J626" s="21">
        <v>0</v>
      </c>
      <c r="K626" s="21">
        <v>0</v>
      </c>
      <c r="L626" s="24">
        <f t="shared" si="18"/>
        <v>0</v>
      </c>
    </row>
    <row r="627" spans="1:12" x14ac:dyDescent="0.25">
      <c r="A627" s="15">
        <f t="shared" si="19"/>
        <v>622</v>
      </c>
      <c r="B627" s="17">
        <v>32205</v>
      </c>
      <c r="C627" s="18" t="s">
        <v>376</v>
      </c>
      <c r="D627" s="20" t="s">
        <v>1556</v>
      </c>
      <c r="E627" s="19">
        <v>0</v>
      </c>
      <c r="F627" s="20" t="s">
        <v>1556</v>
      </c>
      <c r="G627" s="21">
        <v>0</v>
      </c>
      <c r="H627" s="21">
        <v>0</v>
      </c>
      <c r="I627" s="14" t="s">
        <v>1561</v>
      </c>
      <c r="J627" s="21">
        <v>0</v>
      </c>
      <c r="K627" s="21">
        <v>0</v>
      </c>
      <c r="L627" s="24">
        <f t="shared" si="18"/>
        <v>0</v>
      </c>
    </row>
    <row r="628" spans="1:12" x14ac:dyDescent="0.25">
      <c r="A628" s="15">
        <f t="shared" si="19"/>
        <v>623</v>
      </c>
      <c r="B628" s="17">
        <v>32347</v>
      </c>
      <c r="C628" s="18" t="s">
        <v>1156</v>
      </c>
      <c r="D628" s="20" t="s">
        <v>1556</v>
      </c>
      <c r="E628" s="19">
        <v>0</v>
      </c>
      <c r="F628" s="20" t="s">
        <v>1556</v>
      </c>
      <c r="G628" s="21">
        <v>0</v>
      </c>
      <c r="H628" s="21">
        <v>0</v>
      </c>
      <c r="I628" s="14" t="s">
        <v>1561</v>
      </c>
      <c r="J628" s="21">
        <v>0</v>
      </c>
      <c r="K628" s="21">
        <v>0</v>
      </c>
      <c r="L628" s="24">
        <f t="shared" si="18"/>
        <v>0</v>
      </c>
    </row>
    <row r="629" spans="1:12" x14ac:dyDescent="0.25">
      <c r="A629" s="15">
        <f t="shared" si="19"/>
        <v>624</v>
      </c>
      <c r="B629" s="17">
        <v>32418</v>
      </c>
      <c r="C629" s="18" t="s">
        <v>1157</v>
      </c>
      <c r="D629" s="20" t="s">
        <v>1556</v>
      </c>
      <c r="E629" s="19">
        <v>0</v>
      </c>
      <c r="F629" s="20" t="s">
        <v>1556</v>
      </c>
      <c r="G629" s="21">
        <v>0</v>
      </c>
      <c r="H629" s="21">
        <v>0</v>
      </c>
      <c r="I629" s="14" t="s">
        <v>1561</v>
      </c>
      <c r="J629" s="21">
        <v>0</v>
      </c>
      <c r="K629" s="21">
        <v>0</v>
      </c>
      <c r="L629" s="24">
        <f t="shared" si="18"/>
        <v>0</v>
      </c>
    </row>
    <row r="630" spans="1:12" x14ac:dyDescent="0.25">
      <c r="A630" s="15">
        <f t="shared" si="19"/>
        <v>625</v>
      </c>
      <c r="B630" s="17">
        <v>32455</v>
      </c>
      <c r="C630" s="18" t="s">
        <v>377</v>
      </c>
      <c r="D630" s="20" t="s">
        <v>1556</v>
      </c>
      <c r="E630" s="19">
        <v>0</v>
      </c>
      <c r="F630" s="20" t="s">
        <v>1556</v>
      </c>
      <c r="G630" s="21">
        <v>0</v>
      </c>
      <c r="H630" s="21">
        <v>0</v>
      </c>
      <c r="I630" s="14" t="s">
        <v>1561</v>
      </c>
      <c r="J630" s="21">
        <v>0</v>
      </c>
      <c r="K630" s="21">
        <v>0</v>
      </c>
      <c r="L630" s="24">
        <f t="shared" si="18"/>
        <v>0</v>
      </c>
    </row>
    <row r="631" spans="1:12" x14ac:dyDescent="0.25">
      <c r="A631" s="15">
        <f t="shared" si="19"/>
        <v>626</v>
      </c>
      <c r="B631" s="17">
        <v>32652</v>
      </c>
      <c r="C631" s="18" t="s">
        <v>292</v>
      </c>
      <c r="D631" s="20">
        <v>1.1041400000000002E-2</v>
      </c>
      <c r="E631" s="19">
        <v>0</v>
      </c>
      <c r="F631" s="20">
        <v>1.1041400000000002E-2</v>
      </c>
      <c r="G631" s="21">
        <v>3.1498425000000001</v>
      </c>
      <c r="H631" s="21">
        <v>3.1498425000000001</v>
      </c>
      <c r="I631" s="14" t="s">
        <v>1561</v>
      </c>
      <c r="J631" s="21">
        <v>1.1972678489580646</v>
      </c>
      <c r="K631" s="21">
        <v>3.4569782</v>
      </c>
      <c r="L631" s="24">
        <f t="shared" si="18"/>
        <v>1.0975082722390088</v>
      </c>
    </row>
    <row r="632" spans="1:12" x14ac:dyDescent="0.25">
      <c r="A632" s="15">
        <f t="shared" si="19"/>
        <v>627</v>
      </c>
      <c r="B632" s="17">
        <v>32848</v>
      </c>
      <c r="C632" s="18" t="s">
        <v>711</v>
      </c>
      <c r="D632" s="20" t="s">
        <v>1556</v>
      </c>
      <c r="E632" s="19">
        <v>0</v>
      </c>
      <c r="F632" s="20" t="s">
        <v>1556</v>
      </c>
      <c r="G632" s="21">
        <v>0</v>
      </c>
      <c r="H632" s="21">
        <v>0</v>
      </c>
      <c r="I632" s="14" t="s">
        <v>1561</v>
      </c>
      <c r="J632" s="21">
        <v>0</v>
      </c>
      <c r="K632" s="21">
        <v>0</v>
      </c>
      <c r="L632" s="24">
        <f t="shared" si="18"/>
        <v>0</v>
      </c>
    </row>
    <row r="633" spans="1:12" x14ac:dyDescent="0.25">
      <c r="A633" s="15">
        <f t="shared" si="19"/>
        <v>628</v>
      </c>
      <c r="B633" s="17">
        <v>32972</v>
      </c>
      <c r="C633" s="18" t="s">
        <v>1158</v>
      </c>
      <c r="D633" s="20">
        <v>0.2458851</v>
      </c>
      <c r="E633" s="19">
        <v>0</v>
      </c>
      <c r="F633" s="20">
        <v>0.2458851</v>
      </c>
      <c r="G633" s="21">
        <v>0</v>
      </c>
      <c r="H633" s="21">
        <v>-27.555721000000002</v>
      </c>
      <c r="I633" s="14" t="s">
        <v>1561</v>
      </c>
      <c r="J633" s="21">
        <v>16.233005663096417</v>
      </c>
      <c r="K633" s="21">
        <v>16.075120600000002</v>
      </c>
      <c r="L633" s="24">
        <f t="shared" si="18"/>
        <v>0</v>
      </c>
    </row>
    <row r="634" spans="1:12" x14ac:dyDescent="0.25">
      <c r="A634" s="15">
        <f t="shared" si="19"/>
        <v>629</v>
      </c>
      <c r="B634" s="17">
        <v>33035</v>
      </c>
      <c r="C634" s="18" t="s">
        <v>293</v>
      </c>
      <c r="D634" s="20" t="s">
        <v>1556</v>
      </c>
      <c r="E634" s="19">
        <v>0</v>
      </c>
      <c r="F634" s="20" t="s">
        <v>1556</v>
      </c>
      <c r="G634" s="21">
        <v>0</v>
      </c>
      <c r="H634" s="21">
        <v>0</v>
      </c>
      <c r="I634" s="14" t="s">
        <v>1561</v>
      </c>
      <c r="J634" s="21">
        <v>0</v>
      </c>
      <c r="K634" s="21">
        <v>0</v>
      </c>
      <c r="L634" s="24">
        <f t="shared" si="18"/>
        <v>0</v>
      </c>
    </row>
    <row r="635" spans="1:12" x14ac:dyDescent="0.25">
      <c r="A635" s="15">
        <f t="shared" si="19"/>
        <v>630</v>
      </c>
      <c r="B635" s="17">
        <v>33051</v>
      </c>
      <c r="C635" s="18" t="s">
        <v>1159</v>
      </c>
      <c r="D635" s="20" t="s">
        <v>1556</v>
      </c>
      <c r="E635" s="19">
        <v>0</v>
      </c>
      <c r="F635" s="20" t="s">
        <v>1556</v>
      </c>
      <c r="G635" s="21">
        <v>0</v>
      </c>
      <c r="H635" s="21">
        <v>0</v>
      </c>
      <c r="I635" s="14" t="s">
        <v>1561</v>
      </c>
      <c r="J635" s="21">
        <v>0</v>
      </c>
      <c r="K635" s="21">
        <v>0</v>
      </c>
      <c r="L635" s="24">
        <f t="shared" si="18"/>
        <v>0</v>
      </c>
    </row>
    <row r="636" spans="1:12" x14ac:dyDescent="0.25">
      <c r="A636" s="15">
        <f t="shared" si="19"/>
        <v>631</v>
      </c>
      <c r="B636" s="17">
        <v>33074</v>
      </c>
      <c r="C636" s="18" t="s">
        <v>1160</v>
      </c>
      <c r="D636" s="20" t="s">
        <v>1556</v>
      </c>
      <c r="E636" s="19">
        <v>0</v>
      </c>
      <c r="F636" s="20" t="s">
        <v>1556</v>
      </c>
      <c r="G636" s="21">
        <v>0</v>
      </c>
      <c r="H636" s="21">
        <v>0</v>
      </c>
      <c r="I636" s="14" t="s">
        <v>1561</v>
      </c>
      <c r="J636" s="21">
        <v>0</v>
      </c>
      <c r="K636" s="21">
        <v>0</v>
      </c>
      <c r="L636" s="24">
        <f t="shared" si="18"/>
        <v>0</v>
      </c>
    </row>
    <row r="637" spans="1:12" x14ac:dyDescent="0.25">
      <c r="A637" s="15">
        <f t="shared" si="19"/>
        <v>632</v>
      </c>
      <c r="B637" s="17">
        <v>33241</v>
      </c>
      <c r="C637" s="18" t="s">
        <v>1161</v>
      </c>
      <c r="D637" s="20">
        <v>1.2187935999999999</v>
      </c>
      <c r="E637" s="19">
        <v>0</v>
      </c>
      <c r="F637" s="20">
        <v>1.2187935999999999</v>
      </c>
      <c r="G637" s="21">
        <v>258.81166809999996</v>
      </c>
      <c r="H637" s="21">
        <v>206.12423509999999</v>
      </c>
      <c r="I637" s="14" t="s">
        <v>1561</v>
      </c>
      <c r="J637" s="21">
        <v>87.965252526836352</v>
      </c>
      <c r="K637" s="21">
        <v>221.62995809999998</v>
      </c>
      <c r="L637" s="24">
        <f t="shared" si="18"/>
        <v>0.85633680941450574</v>
      </c>
    </row>
    <row r="638" spans="1:12" x14ac:dyDescent="0.25">
      <c r="A638" s="15">
        <f t="shared" si="19"/>
        <v>633</v>
      </c>
      <c r="B638" s="17">
        <v>33249</v>
      </c>
      <c r="C638" s="18" t="s">
        <v>712</v>
      </c>
      <c r="D638" s="20" t="s">
        <v>1556</v>
      </c>
      <c r="E638" s="19">
        <v>0</v>
      </c>
      <c r="F638" s="20" t="s">
        <v>1556</v>
      </c>
      <c r="G638" s="21">
        <v>0</v>
      </c>
      <c r="H638" s="21">
        <v>0</v>
      </c>
      <c r="I638" s="14" t="s">
        <v>1561</v>
      </c>
      <c r="J638" s="21">
        <v>0</v>
      </c>
      <c r="K638" s="21">
        <v>0</v>
      </c>
      <c r="L638" s="24">
        <f t="shared" si="18"/>
        <v>0</v>
      </c>
    </row>
    <row r="639" spans="1:12" x14ac:dyDescent="0.25">
      <c r="A639" s="15">
        <f t="shared" si="19"/>
        <v>634</v>
      </c>
      <c r="B639" s="17">
        <v>33307</v>
      </c>
      <c r="C639" s="18" t="s">
        <v>1162</v>
      </c>
      <c r="D639" s="20" t="s">
        <v>1556</v>
      </c>
      <c r="E639" s="19">
        <v>0</v>
      </c>
      <c r="F639" s="20" t="s">
        <v>1556</v>
      </c>
      <c r="G639" s="21">
        <v>0</v>
      </c>
      <c r="H639" s="21">
        <v>0</v>
      </c>
      <c r="I639" s="14" t="s">
        <v>1561</v>
      </c>
      <c r="J639" s="21">
        <v>0</v>
      </c>
      <c r="K639" s="21">
        <v>0</v>
      </c>
      <c r="L639" s="24">
        <f t="shared" si="18"/>
        <v>0</v>
      </c>
    </row>
    <row r="640" spans="1:12" x14ac:dyDescent="0.25">
      <c r="A640" s="15">
        <f t="shared" si="19"/>
        <v>635</v>
      </c>
      <c r="B640" s="17">
        <v>33349</v>
      </c>
      <c r="C640" s="18" t="s">
        <v>509</v>
      </c>
      <c r="D640" s="20">
        <v>1.0383867999999998</v>
      </c>
      <c r="E640" s="19">
        <v>0</v>
      </c>
      <c r="F640" s="20">
        <v>1.0383867999999998</v>
      </c>
      <c r="G640" s="21">
        <v>299.2033424</v>
      </c>
      <c r="H640" s="21">
        <v>191.60999319999999</v>
      </c>
      <c r="I640" s="14" t="s">
        <v>1561</v>
      </c>
      <c r="J640" s="21">
        <v>108.76659797300255</v>
      </c>
      <c r="K640" s="21">
        <v>207.11012600000001</v>
      </c>
      <c r="L640" s="24">
        <f t="shared" si="18"/>
        <v>0.69220525525787047</v>
      </c>
    </row>
    <row r="641" spans="1:12" x14ac:dyDescent="0.25">
      <c r="A641" s="15">
        <f t="shared" si="19"/>
        <v>636</v>
      </c>
      <c r="B641" s="17">
        <v>33422</v>
      </c>
      <c r="C641" s="18" t="s">
        <v>444</v>
      </c>
      <c r="D641" s="20">
        <v>1.2348208999999999</v>
      </c>
      <c r="E641" s="19">
        <v>0</v>
      </c>
      <c r="F641" s="20">
        <v>1.2348208999999999</v>
      </c>
      <c r="G641" s="21">
        <v>269.71673440000001</v>
      </c>
      <c r="H641" s="21">
        <v>258.76593600000001</v>
      </c>
      <c r="I641" s="14" t="s">
        <v>1561</v>
      </c>
      <c r="J641" s="21">
        <v>96.456808398880554</v>
      </c>
      <c r="K641" s="21">
        <v>278.24372469999997</v>
      </c>
      <c r="L641" s="24">
        <f t="shared" si="18"/>
        <v>1.0316146134535136</v>
      </c>
    </row>
    <row r="642" spans="1:12" x14ac:dyDescent="0.25">
      <c r="A642" s="15">
        <f t="shared" si="19"/>
        <v>637</v>
      </c>
      <c r="B642" s="17">
        <v>33430</v>
      </c>
      <c r="C642" s="18" t="s">
        <v>294</v>
      </c>
      <c r="D642" s="20" t="s">
        <v>1556</v>
      </c>
      <c r="E642" s="19">
        <v>0</v>
      </c>
      <c r="F642" s="20" t="s">
        <v>1556</v>
      </c>
      <c r="G642" s="21">
        <v>0</v>
      </c>
      <c r="H642" s="21">
        <v>0</v>
      </c>
      <c r="I642" s="14" t="s">
        <v>1561</v>
      </c>
      <c r="J642" s="21">
        <v>0</v>
      </c>
      <c r="K642" s="21">
        <v>0</v>
      </c>
      <c r="L642" s="24">
        <f t="shared" si="18"/>
        <v>0</v>
      </c>
    </row>
    <row r="643" spans="1:12" x14ac:dyDescent="0.25">
      <c r="A643" s="15">
        <f t="shared" si="19"/>
        <v>638</v>
      </c>
      <c r="B643" s="17">
        <v>33614</v>
      </c>
      <c r="C643" s="18" t="s">
        <v>713</v>
      </c>
      <c r="D643" s="20" t="s">
        <v>1556</v>
      </c>
      <c r="E643" s="19">
        <v>0</v>
      </c>
      <c r="F643" s="20" t="s">
        <v>1556</v>
      </c>
      <c r="G643" s="21">
        <v>0</v>
      </c>
      <c r="H643" s="21">
        <v>0</v>
      </c>
      <c r="I643" s="14" t="s">
        <v>1561</v>
      </c>
      <c r="J643" s="21">
        <v>0</v>
      </c>
      <c r="K643" s="21">
        <v>0</v>
      </c>
      <c r="L643" s="24">
        <f t="shared" si="18"/>
        <v>0</v>
      </c>
    </row>
    <row r="644" spans="1:12" x14ac:dyDescent="0.25">
      <c r="A644" s="15">
        <f t="shared" si="19"/>
        <v>639</v>
      </c>
      <c r="B644" s="17">
        <v>33666</v>
      </c>
      <c r="C644" s="18" t="s">
        <v>1163</v>
      </c>
      <c r="D644" s="20">
        <v>3.0944299999999998E-2</v>
      </c>
      <c r="E644" s="19">
        <v>0</v>
      </c>
      <c r="F644" s="20">
        <v>3.0944299999999998E-2</v>
      </c>
      <c r="G644" s="21">
        <v>16.9819374</v>
      </c>
      <c r="H644" s="21">
        <v>9.9641471999999993</v>
      </c>
      <c r="I644" s="14" t="s">
        <v>1561</v>
      </c>
      <c r="J644" s="21">
        <v>3.7047128300960566</v>
      </c>
      <c r="K644" s="21">
        <v>10.3298039</v>
      </c>
      <c r="L644" s="24">
        <f t="shared" si="18"/>
        <v>0.60828182654824769</v>
      </c>
    </row>
    <row r="645" spans="1:12" x14ac:dyDescent="0.25">
      <c r="A645" s="15">
        <f t="shared" si="19"/>
        <v>640</v>
      </c>
      <c r="B645" s="17">
        <v>33684</v>
      </c>
      <c r="C645" s="18" t="s">
        <v>714</v>
      </c>
      <c r="D645" s="20" t="s">
        <v>1556</v>
      </c>
      <c r="E645" s="19">
        <v>0</v>
      </c>
      <c r="F645" s="20" t="s">
        <v>1556</v>
      </c>
      <c r="G645" s="21">
        <v>0</v>
      </c>
      <c r="H645" s="21">
        <v>0</v>
      </c>
      <c r="I645" s="14" t="s">
        <v>1561</v>
      </c>
      <c r="J645" s="21">
        <v>0</v>
      </c>
      <c r="K645" s="21">
        <v>0</v>
      </c>
      <c r="L645" s="24">
        <f t="shared" si="18"/>
        <v>0</v>
      </c>
    </row>
    <row r="646" spans="1:12" x14ac:dyDescent="0.25">
      <c r="A646" s="15">
        <f t="shared" si="19"/>
        <v>641</v>
      </c>
      <c r="B646" s="17">
        <v>33752</v>
      </c>
      <c r="C646" s="18" t="s">
        <v>111</v>
      </c>
      <c r="D646" s="20">
        <v>8.2352159</v>
      </c>
      <c r="E646" s="19">
        <v>0</v>
      </c>
      <c r="F646" s="20">
        <v>8.2352159</v>
      </c>
      <c r="G646" s="21">
        <v>1514.0003633000001</v>
      </c>
      <c r="H646" s="21">
        <v>1259.8421428000001</v>
      </c>
      <c r="I646" s="14" t="s">
        <v>1561</v>
      </c>
      <c r="J646" s="21">
        <v>629.4684413386708</v>
      </c>
      <c r="K646" s="21">
        <v>1376.1581168999999</v>
      </c>
      <c r="L646" s="24">
        <f t="shared" si="18"/>
        <v>0.90895494496477425</v>
      </c>
    </row>
    <row r="647" spans="1:12" x14ac:dyDescent="0.25">
      <c r="A647" s="15">
        <f t="shared" si="19"/>
        <v>642</v>
      </c>
      <c r="B647" s="17">
        <v>33764</v>
      </c>
      <c r="C647" s="18" t="s">
        <v>715</v>
      </c>
      <c r="D647" s="20" t="s">
        <v>1556</v>
      </c>
      <c r="E647" s="19">
        <v>0</v>
      </c>
      <c r="F647" s="20" t="s">
        <v>1556</v>
      </c>
      <c r="G647" s="21">
        <v>0</v>
      </c>
      <c r="H647" s="21">
        <v>0</v>
      </c>
      <c r="I647" s="14" t="s">
        <v>1561</v>
      </c>
      <c r="J647" s="21">
        <v>1.4872740713518817</v>
      </c>
      <c r="K647" s="21">
        <v>1.6840012</v>
      </c>
      <c r="L647" s="24">
        <f t="shared" ref="L647:L710" si="20">+IFERROR(K647/G647,0)</f>
        <v>0</v>
      </c>
    </row>
    <row r="648" spans="1:12" x14ac:dyDescent="0.25">
      <c r="A648" s="15">
        <f t="shared" ref="A648:A711" si="21">A647+1</f>
        <v>643</v>
      </c>
      <c r="B648" s="17">
        <v>33919</v>
      </c>
      <c r="C648" s="18" t="s">
        <v>716</v>
      </c>
      <c r="D648" s="20">
        <v>0.59917359999999997</v>
      </c>
      <c r="E648" s="19">
        <v>0</v>
      </c>
      <c r="F648" s="20">
        <v>0.59917359999999997</v>
      </c>
      <c r="G648" s="21">
        <v>84.746649199999993</v>
      </c>
      <c r="H648" s="21">
        <v>71.703163899999993</v>
      </c>
      <c r="I648" s="14" t="s">
        <v>1561</v>
      </c>
      <c r="J648" s="21">
        <v>60.872482569436023</v>
      </c>
      <c r="K648" s="21">
        <v>104.5488835</v>
      </c>
      <c r="L648" s="24">
        <f t="shared" si="20"/>
        <v>1.2336639204845401</v>
      </c>
    </row>
    <row r="649" spans="1:12" x14ac:dyDescent="0.25">
      <c r="A649" s="15">
        <f t="shared" si="21"/>
        <v>644</v>
      </c>
      <c r="B649" s="17">
        <v>34042</v>
      </c>
      <c r="C649" s="18" t="s">
        <v>1164</v>
      </c>
      <c r="D649" s="20">
        <v>0.2092734</v>
      </c>
      <c r="E649" s="19">
        <v>0</v>
      </c>
      <c r="F649" s="20">
        <v>0.2092734</v>
      </c>
      <c r="G649" s="21">
        <v>45.997700000000002</v>
      </c>
      <c r="H649" s="21">
        <v>45.997700000000002</v>
      </c>
      <c r="I649" s="14" t="s">
        <v>1561</v>
      </c>
      <c r="J649" s="21">
        <v>21.68154161917769</v>
      </c>
      <c r="K649" s="21">
        <v>46.990306799999999</v>
      </c>
      <c r="L649" s="24">
        <f t="shared" si="20"/>
        <v>1.0215794876700357</v>
      </c>
    </row>
    <row r="650" spans="1:12" x14ac:dyDescent="0.25">
      <c r="A650" s="15">
        <f t="shared" si="21"/>
        <v>645</v>
      </c>
      <c r="B650" s="17">
        <v>34074</v>
      </c>
      <c r="C650" s="18" t="s">
        <v>112</v>
      </c>
      <c r="D650" s="20" t="s">
        <v>1556</v>
      </c>
      <c r="E650" s="19">
        <v>0</v>
      </c>
      <c r="F650" s="20" t="s">
        <v>1556</v>
      </c>
      <c r="G650" s="21">
        <v>0</v>
      </c>
      <c r="H650" s="21">
        <v>0</v>
      </c>
      <c r="I650" s="14" t="s">
        <v>1561</v>
      </c>
      <c r="J650" s="21">
        <v>0</v>
      </c>
      <c r="K650" s="21">
        <v>0</v>
      </c>
      <c r="L650" s="24">
        <f t="shared" si="20"/>
        <v>0</v>
      </c>
    </row>
    <row r="651" spans="1:12" x14ac:dyDescent="0.25">
      <c r="A651" s="15">
        <f t="shared" si="21"/>
        <v>646</v>
      </c>
      <c r="B651" s="17">
        <v>34180</v>
      </c>
      <c r="C651" s="18" t="s">
        <v>717</v>
      </c>
      <c r="D651" s="20">
        <v>0.44616610000000001</v>
      </c>
      <c r="E651" s="19">
        <v>0</v>
      </c>
      <c r="F651" s="20">
        <v>0.44616610000000001</v>
      </c>
      <c r="G651" s="21">
        <v>100.9449548</v>
      </c>
      <c r="H651" s="21">
        <v>100.54492610000001</v>
      </c>
      <c r="I651" s="14" t="s">
        <v>1561</v>
      </c>
      <c r="J651" s="21">
        <v>33.143724370375537</v>
      </c>
      <c r="K651" s="21">
        <v>123.3752283</v>
      </c>
      <c r="L651" s="24">
        <f t="shared" si="20"/>
        <v>1.2222030169258147</v>
      </c>
    </row>
    <row r="652" spans="1:12" x14ac:dyDescent="0.25">
      <c r="A652" s="15">
        <f t="shared" si="21"/>
        <v>647</v>
      </c>
      <c r="B652" s="17">
        <v>34238</v>
      </c>
      <c r="C652" s="18" t="s">
        <v>445</v>
      </c>
      <c r="D652" s="20" t="s">
        <v>1556</v>
      </c>
      <c r="E652" s="19">
        <v>0</v>
      </c>
      <c r="F652" s="20" t="s">
        <v>1556</v>
      </c>
      <c r="G652" s="21">
        <v>0</v>
      </c>
      <c r="H652" s="21">
        <v>0</v>
      </c>
      <c r="I652" s="14" t="s">
        <v>1561</v>
      </c>
      <c r="J652" s="21">
        <v>0</v>
      </c>
      <c r="K652" s="21">
        <v>0</v>
      </c>
      <c r="L652" s="24">
        <f t="shared" si="20"/>
        <v>0</v>
      </c>
    </row>
    <row r="653" spans="1:12" x14ac:dyDescent="0.25">
      <c r="A653" s="15">
        <f t="shared" si="21"/>
        <v>648</v>
      </c>
      <c r="B653" s="17">
        <v>34269</v>
      </c>
      <c r="C653" s="18" t="s">
        <v>1165</v>
      </c>
      <c r="D653" s="20" t="s">
        <v>1556</v>
      </c>
      <c r="E653" s="19">
        <v>0</v>
      </c>
      <c r="F653" s="20" t="s">
        <v>1556</v>
      </c>
      <c r="G653" s="21">
        <v>0</v>
      </c>
      <c r="H653" s="21">
        <v>0</v>
      </c>
      <c r="I653" s="14" t="s">
        <v>1561</v>
      </c>
      <c r="J653" s="21">
        <v>0</v>
      </c>
      <c r="K653" s="21">
        <v>0</v>
      </c>
      <c r="L653" s="24">
        <f t="shared" si="20"/>
        <v>0</v>
      </c>
    </row>
    <row r="654" spans="1:12" x14ac:dyDescent="0.25">
      <c r="A654" s="15">
        <f t="shared" si="21"/>
        <v>649</v>
      </c>
      <c r="B654" s="17">
        <v>34347</v>
      </c>
      <c r="C654" s="18" t="s">
        <v>1166</v>
      </c>
      <c r="D654" s="20">
        <v>1.6131E-2</v>
      </c>
      <c r="E654" s="19">
        <v>0</v>
      </c>
      <c r="F654" s="20">
        <v>1.6131E-2</v>
      </c>
      <c r="G654" s="21">
        <v>10.7494625</v>
      </c>
      <c r="H654" s="21">
        <v>10.2971965</v>
      </c>
      <c r="I654" s="14" t="s">
        <v>1561</v>
      </c>
      <c r="J654" s="21">
        <v>2.222863686697671</v>
      </c>
      <c r="K654" s="21">
        <v>10.3562493</v>
      </c>
      <c r="L654" s="24">
        <f t="shared" si="20"/>
        <v>0.96342019891692254</v>
      </c>
    </row>
    <row r="655" spans="1:12" x14ac:dyDescent="0.25">
      <c r="A655" s="15">
        <f t="shared" si="21"/>
        <v>650</v>
      </c>
      <c r="B655" s="17">
        <v>34348</v>
      </c>
      <c r="C655" s="18" t="s">
        <v>1167</v>
      </c>
      <c r="D655" s="20" t="s">
        <v>1556</v>
      </c>
      <c r="E655" s="19">
        <v>0</v>
      </c>
      <c r="F655" s="20" t="s">
        <v>1556</v>
      </c>
      <c r="G655" s="21">
        <v>0</v>
      </c>
      <c r="H655" s="21">
        <v>0</v>
      </c>
      <c r="I655" s="14" t="s">
        <v>1561</v>
      </c>
      <c r="J655" s="21">
        <v>0</v>
      </c>
      <c r="K655" s="21">
        <v>0</v>
      </c>
      <c r="L655" s="24">
        <f t="shared" si="20"/>
        <v>0</v>
      </c>
    </row>
    <row r="656" spans="1:12" x14ac:dyDescent="0.25">
      <c r="A656" s="15">
        <f t="shared" si="21"/>
        <v>651</v>
      </c>
      <c r="B656" s="17">
        <v>34364</v>
      </c>
      <c r="C656" s="18" t="s">
        <v>718</v>
      </c>
      <c r="D656" s="20" t="s">
        <v>1556</v>
      </c>
      <c r="E656" s="19">
        <v>0</v>
      </c>
      <c r="F656" s="20" t="s">
        <v>1556</v>
      </c>
      <c r="G656" s="21">
        <v>0</v>
      </c>
      <c r="H656" s="21">
        <v>0</v>
      </c>
      <c r="I656" s="14" t="s">
        <v>1561</v>
      </c>
      <c r="J656" s="21">
        <v>0</v>
      </c>
      <c r="K656" s="21">
        <v>0</v>
      </c>
      <c r="L656" s="24">
        <f t="shared" si="20"/>
        <v>0</v>
      </c>
    </row>
    <row r="657" spans="1:12" x14ac:dyDescent="0.25">
      <c r="A657" s="15">
        <f t="shared" si="21"/>
        <v>652</v>
      </c>
      <c r="B657" s="17">
        <v>34372</v>
      </c>
      <c r="C657" s="18" t="s">
        <v>510</v>
      </c>
      <c r="D657" s="20" t="s">
        <v>1556</v>
      </c>
      <c r="E657" s="19">
        <v>0</v>
      </c>
      <c r="F657" s="20" t="s">
        <v>1556</v>
      </c>
      <c r="G657" s="21">
        <v>0</v>
      </c>
      <c r="H657" s="21">
        <v>0</v>
      </c>
      <c r="I657" s="14" t="s">
        <v>1561</v>
      </c>
      <c r="J657" s="21">
        <v>0</v>
      </c>
      <c r="K657" s="21">
        <v>0</v>
      </c>
      <c r="L657" s="24">
        <f t="shared" si="20"/>
        <v>0</v>
      </c>
    </row>
    <row r="658" spans="1:12" x14ac:dyDescent="0.25">
      <c r="A658" s="15">
        <f t="shared" si="21"/>
        <v>653</v>
      </c>
      <c r="B658" s="17">
        <v>34481</v>
      </c>
      <c r="C658" s="18" t="s">
        <v>1168</v>
      </c>
      <c r="D658" s="20" t="s">
        <v>1556</v>
      </c>
      <c r="E658" s="19">
        <v>0</v>
      </c>
      <c r="F658" s="20" t="s">
        <v>1556</v>
      </c>
      <c r="G658" s="21">
        <v>0</v>
      </c>
      <c r="H658" s="21">
        <v>0</v>
      </c>
      <c r="I658" s="14" t="s">
        <v>1561</v>
      </c>
      <c r="J658" s="21">
        <v>0</v>
      </c>
      <c r="K658" s="21">
        <v>0</v>
      </c>
      <c r="L658" s="24">
        <f t="shared" si="20"/>
        <v>0</v>
      </c>
    </row>
    <row r="659" spans="1:12" x14ac:dyDescent="0.25">
      <c r="A659" s="15">
        <f t="shared" si="21"/>
        <v>654</v>
      </c>
      <c r="B659" s="17">
        <v>34503</v>
      </c>
      <c r="C659" s="18" t="s">
        <v>1169</v>
      </c>
      <c r="D659" s="20" t="s">
        <v>1556</v>
      </c>
      <c r="E659" s="19">
        <v>0</v>
      </c>
      <c r="F659" s="20" t="s">
        <v>1556</v>
      </c>
      <c r="G659" s="21">
        <v>0</v>
      </c>
      <c r="H659" s="21">
        <v>0</v>
      </c>
      <c r="I659" s="14" t="s">
        <v>1561</v>
      </c>
      <c r="J659" s="21">
        <v>0</v>
      </c>
      <c r="K659" s="21">
        <v>0</v>
      </c>
      <c r="L659" s="24">
        <f t="shared" si="20"/>
        <v>0</v>
      </c>
    </row>
    <row r="660" spans="1:12" x14ac:dyDescent="0.25">
      <c r="A660" s="15">
        <f t="shared" si="21"/>
        <v>655</v>
      </c>
      <c r="B660" s="17">
        <v>34515</v>
      </c>
      <c r="C660" s="18" t="s">
        <v>719</v>
      </c>
      <c r="D660" s="20" t="s">
        <v>1556</v>
      </c>
      <c r="E660" s="19">
        <v>0</v>
      </c>
      <c r="F660" s="20" t="s">
        <v>1556</v>
      </c>
      <c r="G660" s="21">
        <v>0</v>
      </c>
      <c r="H660" s="21">
        <v>0</v>
      </c>
      <c r="I660" s="14" t="s">
        <v>1561</v>
      </c>
      <c r="J660" s="21">
        <v>0</v>
      </c>
      <c r="K660" s="21">
        <v>0</v>
      </c>
      <c r="L660" s="24">
        <f t="shared" si="20"/>
        <v>0</v>
      </c>
    </row>
    <row r="661" spans="1:12" x14ac:dyDescent="0.25">
      <c r="A661" s="15">
        <f t="shared" si="21"/>
        <v>656</v>
      </c>
      <c r="B661" s="17">
        <v>34637</v>
      </c>
      <c r="C661" s="18" t="s">
        <v>1170</v>
      </c>
      <c r="D661" s="20" t="s">
        <v>1556</v>
      </c>
      <c r="E661" s="19">
        <v>0</v>
      </c>
      <c r="F661" s="20" t="s">
        <v>1556</v>
      </c>
      <c r="G661" s="21">
        <v>0</v>
      </c>
      <c r="H661" s="21">
        <v>0</v>
      </c>
      <c r="I661" s="14" t="s">
        <v>1561</v>
      </c>
      <c r="J661" s="21">
        <v>0</v>
      </c>
      <c r="K661" s="21">
        <v>0</v>
      </c>
      <c r="L661" s="24">
        <f t="shared" si="20"/>
        <v>0</v>
      </c>
    </row>
    <row r="662" spans="1:12" x14ac:dyDescent="0.25">
      <c r="A662" s="15">
        <f t="shared" si="21"/>
        <v>657</v>
      </c>
      <c r="B662" s="17">
        <v>34796</v>
      </c>
      <c r="C662" s="18" t="s">
        <v>1171</v>
      </c>
      <c r="D662" s="20" t="s">
        <v>1556</v>
      </c>
      <c r="E662" s="19">
        <v>0</v>
      </c>
      <c r="F662" s="20" t="s">
        <v>1556</v>
      </c>
      <c r="G662" s="21">
        <v>0</v>
      </c>
      <c r="H662" s="21">
        <v>0</v>
      </c>
      <c r="I662" s="14" t="s">
        <v>1561</v>
      </c>
      <c r="J662" s="21">
        <v>0</v>
      </c>
      <c r="K662" s="21">
        <v>0</v>
      </c>
      <c r="L662" s="24">
        <f t="shared" si="20"/>
        <v>0</v>
      </c>
    </row>
    <row r="663" spans="1:12" x14ac:dyDescent="0.25">
      <c r="A663" s="15">
        <f t="shared" si="21"/>
        <v>658</v>
      </c>
      <c r="B663" s="17">
        <v>34797</v>
      </c>
      <c r="C663" s="18" t="s">
        <v>720</v>
      </c>
      <c r="D663" s="20" t="s">
        <v>1556</v>
      </c>
      <c r="E663" s="19">
        <v>0</v>
      </c>
      <c r="F663" s="20" t="s">
        <v>1556</v>
      </c>
      <c r="G663" s="21">
        <v>0</v>
      </c>
      <c r="H663" s="21">
        <v>-0.1955335</v>
      </c>
      <c r="I663" s="14" t="s">
        <v>1561</v>
      </c>
      <c r="J663" s="21">
        <v>0.17832015965672046</v>
      </c>
      <c r="K663" s="21">
        <v>0</v>
      </c>
      <c r="L663" s="24">
        <f t="shared" si="20"/>
        <v>0</v>
      </c>
    </row>
    <row r="664" spans="1:12" x14ac:dyDescent="0.25">
      <c r="A664" s="15">
        <f t="shared" si="21"/>
        <v>659</v>
      </c>
      <c r="B664" s="17">
        <v>34829</v>
      </c>
      <c r="C664" s="18" t="s">
        <v>1172</v>
      </c>
      <c r="D664" s="20">
        <v>2.9232095</v>
      </c>
      <c r="E664" s="19">
        <v>0</v>
      </c>
      <c r="F664" s="20">
        <v>2.9232095</v>
      </c>
      <c r="G664" s="21">
        <v>267.17812550000002</v>
      </c>
      <c r="H664" s="21">
        <v>243.5181996</v>
      </c>
      <c r="I664" s="14" t="s">
        <v>1561</v>
      </c>
      <c r="J664" s="21">
        <v>135.38295734070988</v>
      </c>
      <c r="K664" s="21">
        <v>317.7389579</v>
      </c>
      <c r="L664" s="24">
        <f t="shared" si="20"/>
        <v>1.1892401644235653</v>
      </c>
    </row>
    <row r="665" spans="1:12" x14ac:dyDescent="0.25">
      <c r="A665" s="15">
        <f t="shared" si="21"/>
        <v>660</v>
      </c>
      <c r="B665" s="17">
        <v>34907</v>
      </c>
      <c r="C665" s="18" t="s">
        <v>1173</v>
      </c>
      <c r="D665" s="20">
        <v>2.0914896999999999</v>
      </c>
      <c r="E665" s="19">
        <v>0</v>
      </c>
      <c r="F665" s="20">
        <v>2.0914896999999999</v>
      </c>
      <c r="G665" s="21">
        <v>556.47685479999996</v>
      </c>
      <c r="H665" s="21">
        <v>379.00790139999998</v>
      </c>
      <c r="I665" s="14" t="s">
        <v>1561</v>
      </c>
      <c r="J665" s="21">
        <v>188.11769369699766</v>
      </c>
      <c r="K665" s="21">
        <v>412.30469790000001</v>
      </c>
      <c r="L665" s="24">
        <f t="shared" si="20"/>
        <v>0.74091976035226836</v>
      </c>
    </row>
    <row r="666" spans="1:12" x14ac:dyDescent="0.25">
      <c r="A666" s="15">
        <f t="shared" si="21"/>
        <v>661</v>
      </c>
      <c r="B666" s="17">
        <v>34910</v>
      </c>
      <c r="C666" s="18" t="s">
        <v>721</v>
      </c>
      <c r="D666" s="20">
        <v>9.7146200000000002E-2</v>
      </c>
      <c r="E666" s="19">
        <v>0</v>
      </c>
      <c r="F666" s="20">
        <v>9.7146200000000002E-2</v>
      </c>
      <c r="G666" s="21">
        <v>96.2832875</v>
      </c>
      <c r="H666" s="21">
        <v>70.509625</v>
      </c>
      <c r="I666" s="14" t="s">
        <v>1561</v>
      </c>
      <c r="J666" s="21">
        <v>13.875416707601618</v>
      </c>
      <c r="K666" s="21">
        <v>73.458168499999999</v>
      </c>
      <c r="L666" s="24">
        <f t="shared" si="20"/>
        <v>0.76293789303777149</v>
      </c>
    </row>
    <row r="667" spans="1:12" x14ac:dyDescent="0.25">
      <c r="A667" s="15">
        <f t="shared" si="21"/>
        <v>662</v>
      </c>
      <c r="B667" s="17">
        <v>34962</v>
      </c>
      <c r="C667" s="18" t="s">
        <v>295</v>
      </c>
      <c r="D667" s="20" t="s">
        <v>1556</v>
      </c>
      <c r="E667" s="19">
        <v>0</v>
      </c>
      <c r="F667" s="20" t="s">
        <v>1556</v>
      </c>
      <c r="G667" s="21">
        <v>0</v>
      </c>
      <c r="H667" s="21">
        <v>0</v>
      </c>
      <c r="I667" s="14" t="s">
        <v>1561</v>
      </c>
      <c r="J667" s="21">
        <v>0</v>
      </c>
      <c r="K667" s="21">
        <v>0</v>
      </c>
      <c r="L667" s="24">
        <f t="shared" si="20"/>
        <v>0</v>
      </c>
    </row>
    <row r="668" spans="1:12" x14ac:dyDescent="0.25">
      <c r="A668" s="15">
        <f t="shared" si="21"/>
        <v>663</v>
      </c>
      <c r="B668" s="17">
        <v>34976</v>
      </c>
      <c r="C668" s="18" t="s">
        <v>378</v>
      </c>
      <c r="D668" s="20">
        <v>5.0580299999999995E-2</v>
      </c>
      <c r="E668" s="19">
        <v>0</v>
      </c>
      <c r="F668" s="20">
        <v>5.0580299999999995E-2</v>
      </c>
      <c r="G668" s="21">
        <v>15.449227499999999</v>
      </c>
      <c r="H668" s="21">
        <v>10.799227500000001</v>
      </c>
      <c r="I668" s="14" t="s">
        <v>1561</v>
      </c>
      <c r="J668" s="21">
        <v>6.4866573193655919</v>
      </c>
      <c r="K668" s="21">
        <v>11.816218300000001</v>
      </c>
      <c r="L668" s="24">
        <f t="shared" si="20"/>
        <v>0.76484201556356146</v>
      </c>
    </row>
    <row r="669" spans="1:12" x14ac:dyDescent="0.25">
      <c r="A669" s="15">
        <f t="shared" si="21"/>
        <v>664</v>
      </c>
      <c r="B669" s="17">
        <v>35161</v>
      </c>
      <c r="C669" s="18" t="s">
        <v>1174</v>
      </c>
      <c r="D669" s="20" t="s">
        <v>1556</v>
      </c>
      <c r="E669" s="19">
        <v>0</v>
      </c>
      <c r="F669" s="20" t="s">
        <v>1556</v>
      </c>
      <c r="G669" s="21">
        <v>0</v>
      </c>
      <c r="H669" s="21">
        <v>0</v>
      </c>
      <c r="I669" s="14" t="s">
        <v>1561</v>
      </c>
      <c r="J669" s="21">
        <v>0</v>
      </c>
      <c r="K669" s="21">
        <v>0</v>
      </c>
      <c r="L669" s="24">
        <f t="shared" si="20"/>
        <v>0</v>
      </c>
    </row>
    <row r="670" spans="1:12" x14ac:dyDescent="0.25">
      <c r="A670" s="15">
        <f t="shared" si="21"/>
        <v>665</v>
      </c>
      <c r="B670" s="17">
        <v>35323</v>
      </c>
      <c r="C670" s="18" t="s">
        <v>296</v>
      </c>
      <c r="D670" s="20" t="s">
        <v>1556</v>
      </c>
      <c r="E670" s="19">
        <v>0</v>
      </c>
      <c r="F670" s="20" t="s">
        <v>1556</v>
      </c>
      <c r="G670" s="21">
        <v>0</v>
      </c>
      <c r="H670" s="21">
        <v>0</v>
      </c>
      <c r="I670" s="14" t="s">
        <v>1561</v>
      </c>
      <c r="J670" s="21">
        <v>0</v>
      </c>
      <c r="K670" s="21">
        <v>0</v>
      </c>
      <c r="L670" s="24">
        <f t="shared" si="20"/>
        <v>0</v>
      </c>
    </row>
    <row r="671" spans="1:12" x14ac:dyDescent="0.25">
      <c r="A671" s="15">
        <f t="shared" si="21"/>
        <v>666</v>
      </c>
      <c r="B671" s="17">
        <v>35331</v>
      </c>
      <c r="C671" s="18" t="s">
        <v>511</v>
      </c>
      <c r="D671" s="20" t="s">
        <v>1556</v>
      </c>
      <c r="E671" s="19">
        <v>0</v>
      </c>
      <c r="F671" s="20" t="s">
        <v>1556</v>
      </c>
      <c r="G671" s="21">
        <v>0</v>
      </c>
      <c r="H671" s="21">
        <v>0</v>
      </c>
      <c r="I671" s="14" t="s">
        <v>1561</v>
      </c>
      <c r="J671" s="21">
        <v>0</v>
      </c>
      <c r="K671" s="21">
        <v>0</v>
      </c>
      <c r="L671" s="24">
        <f t="shared" si="20"/>
        <v>0</v>
      </c>
    </row>
    <row r="672" spans="1:12" x14ac:dyDescent="0.25">
      <c r="A672" s="15">
        <f t="shared" si="21"/>
        <v>667</v>
      </c>
      <c r="B672" s="17">
        <v>35392</v>
      </c>
      <c r="C672" s="18" t="s">
        <v>1175</v>
      </c>
      <c r="D672" s="20">
        <v>2.72845E-2</v>
      </c>
      <c r="E672" s="19">
        <v>0</v>
      </c>
      <c r="F672" s="20">
        <v>2.72845E-2</v>
      </c>
      <c r="G672" s="21">
        <v>4.1197940000000006</v>
      </c>
      <c r="H672" s="21">
        <v>3.9997940000000001</v>
      </c>
      <c r="I672" s="14" t="s">
        <v>1561</v>
      </c>
      <c r="J672" s="21">
        <v>1.4312082755364697</v>
      </c>
      <c r="K672" s="21">
        <v>4.1957643999999998</v>
      </c>
      <c r="L672" s="24">
        <f t="shared" si="20"/>
        <v>1.0184403394927026</v>
      </c>
    </row>
    <row r="673" spans="1:12" x14ac:dyDescent="0.25">
      <c r="A673" s="15">
        <f t="shared" si="21"/>
        <v>668</v>
      </c>
      <c r="B673" s="17">
        <v>35783</v>
      </c>
      <c r="C673" s="18" t="s">
        <v>187</v>
      </c>
      <c r="D673" s="20" t="s">
        <v>1556</v>
      </c>
      <c r="E673" s="19">
        <v>0</v>
      </c>
      <c r="F673" s="20" t="s">
        <v>1556</v>
      </c>
      <c r="G673" s="21">
        <v>4.9167543</v>
      </c>
      <c r="H673" s="21">
        <v>4.9167543</v>
      </c>
      <c r="I673" s="14" t="s">
        <v>1561</v>
      </c>
      <c r="J673" s="21">
        <v>6.6633264413646947</v>
      </c>
      <c r="K673" s="21">
        <v>9.4533819000000001</v>
      </c>
      <c r="L673" s="24">
        <f t="shared" si="20"/>
        <v>1.922687472912771</v>
      </c>
    </row>
    <row r="674" spans="1:12" x14ac:dyDescent="0.25">
      <c r="A674" s="15">
        <f t="shared" si="21"/>
        <v>669</v>
      </c>
      <c r="B674" s="17">
        <v>35981</v>
      </c>
      <c r="C674" s="18" t="s">
        <v>1176</v>
      </c>
      <c r="D674" s="20" t="s">
        <v>1556</v>
      </c>
      <c r="E674" s="19">
        <v>0</v>
      </c>
      <c r="F674" s="20" t="s">
        <v>1556</v>
      </c>
      <c r="G674" s="21">
        <v>0</v>
      </c>
      <c r="H674" s="21">
        <v>0</v>
      </c>
      <c r="I674" s="14" t="s">
        <v>1561</v>
      </c>
      <c r="J674" s="21">
        <v>0</v>
      </c>
      <c r="K674" s="21">
        <v>0</v>
      </c>
      <c r="L674" s="24">
        <f t="shared" si="20"/>
        <v>0</v>
      </c>
    </row>
    <row r="675" spans="1:12" x14ac:dyDescent="0.25">
      <c r="A675" s="15">
        <f t="shared" si="21"/>
        <v>670</v>
      </c>
      <c r="B675" s="17">
        <v>36152</v>
      </c>
      <c r="C675" s="18" t="s">
        <v>379</v>
      </c>
      <c r="D675" s="20">
        <v>10.352661899999999</v>
      </c>
      <c r="E675" s="19">
        <v>0</v>
      </c>
      <c r="F675" s="20">
        <v>10.352661899999999</v>
      </c>
      <c r="G675" s="21">
        <v>2950.3201657</v>
      </c>
      <c r="H675" s="21">
        <v>1681.8246077999997</v>
      </c>
      <c r="I675" s="14" t="s">
        <v>1561</v>
      </c>
      <c r="J675" s="21">
        <v>937.33777572434326</v>
      </c>
      <c r="K675" s="21">
        <v>1812.5184488999998</v>
      </c>
      <c r="L675" s="24">
        <f t="shared" si="20"/>
        <v>0.6143463580570272</v>
      </c>
    </row>
    <row r="676" spans="1:12" x14ac:dyDescent="0.25">
      <c r="A676" s="15">
        <f t="shared" si="21"/>
        <v>671</v>
      </c>
      <c r="B676" s="17">
        <v>36190</v>
      </c>
      <c r="C676" s="18" t="s">
        <v>113</v>
      </c>
      <c r="D676" s="20" t="s">
        <v>1556</v>
      </c>
      <c r="E676" s="19">
        <v>0</v>
      </c>
      <c r="F676" s="20" t="s">
        <v>1556</v>
      </c>
      <c r="G676" s="21">
        <v>0</v>
      </c>
      <c r="H676" s="21">
        <v>0</v>
      </c>
      <c r="I676" s="14" t="s">
        <v>1561</v>
      </c>
      <c r="J676" s="21">
        <v>0</v>
      </c>
      <c r="K676" s="21">
        <v>0</v>
      </c>
      <c r="L676" s="24">
        <f t="shared" si="20"/>
        <v>0</v>
      </c>
    </row>
    <row r="677" spans="1:12" x14ac:dyDescent="0.25">
      <c r="A677" s="15">
        <f t="shared" si="21"/>
        <v>672</v>
      </c>
      <c r="B677" s="17">
        <v>36254</v>
      </c>
      <c r="C677" s="18" t="s">
        <v>1177</v>
      </c>
      <c r="D677" s="20" t="s">
        <v>1556</v>
      </c>
      <c r="E677" s="19">
        <v>0</v>
      </c>
      <c r="F677" s="20" t="s">
        <v>1556</v>
      </c>
      <c r="G677" s="21">
        <v>17.135511699999999</v>
      </c>
      <c r="H677" s="21">
        <v>10.599143199999999</v>
      </c>
      <c r="I677" s="14" t="s">
        <v>1561</v>
      </c>
      <c r="J677" s="21">
        <v>2.9561046943032259</v>
      </c>
      <c r="K677" s="21">
        <v>10.8136349</v>
      </c>
      <c r="L677" s="24">
        <f t="shared" si="20"/>
        <v>0.63106577085760451</v>
      </c>
    </row>
    <row r="678" spans="1:12" x14ac:dyDescent="0.25">
      <c r="A678" s="15">
        <f t="shared" si="21"/>
        <v>673</v>
      </c>
      <c r="B678" s="17">
        <v>36266</v>
      </c>
      <c r="C678" s="18" t="s">
        <v>722</v>
      </c>
      <c r="D678" s="20" t="s">
        <v>1556</v>
      </c>
      <c r="E678" s="19">
        <v>0</v>
      </c>
      <c r="F678" s="20" t="s">
        <v>1556</v>
      </c>
      <c r="G678" s="21">
        <v>0</v>
      </c>
      <c r="H678" s="21">
        <v>0</v>
      </c>
      <c r="I678" s="14" t="s">
        <v>1561</v>
      </c>
      <c r="J678" s="21">
        <v>0</v>
      </c>
      <c r="K678" s="21">
        <v>0</v>
      </c>
      <c r="L678" s="24">
        <f t="shared" si="20"/>
        <v>0</v>
      </c>
    </row>
    <row r="679" spans="1:12" x14ac:dyDescent="0.25">
      <c r="A679" s="15">
        <f t="shared" si="21"/>
        <v>674</v>
      </c>
      <c r="B679" s="17">
        <v>36400</v>
      </c>
      <c r="C679" s="18" t="s">
        <v>1178</v>
      </c>
      <c r="D679" s="20" t="s">
        <v>1556</v>
      </c>
      <c r="E679" s="19">
        <v>0</v>
      </c>
      <c r="F679" s="20" t="s">
        <v>1556</v>
      </c>
      <c r="G679" s="21">
        <v>0</v>
      </c>
      <c r="H679" s="21">
        <v>0</v>
      </c>
      <c r="I679" s="14" t="s">
        <v>1561</v>
      </c>
      <c r="J679" s="21">
        <v>0</v>
      </c>
      <c r="K679" s="21">
        <v>0</v>
      </c>
      <c r="L679" s="24">
        <f t="shared" si="20"/>
        <v>0</v>
      </c>
    </row>
    <row r="680" spans="1:12" x14ac:dyDescent="0.25">
      <c r="A680" s="15">
        <f t="shared" si="21"/>
        <v>675</v>
      </c>
      <c r="B680" s="17">
        <v>36437</v>
      </c>
      <c r="C680" s="18" t="s">
        <v>723</v>
      </c>
      <c r="D680" s="20">
        <v>1.7297E-3</v>
      </c>
      <c r="E680" s="19">
        <v>0</v>
      </c>
      <c r="F680" s="20">
        <v>1.7297E-3</v>
      </c>
      <c r="G680" s="21">
        <v>2.699865</v>
      </c>
      <c r="H680" s="21">
        <v>2.699865</v>
      </c>
      <c r="I680" s="14" t="s">
        <v>1561</v>
      </c>
      <c r="J680" s="21">
        <v>0.34689941240833339</v>
      </c>
      <c r="K680" s="21">
        <v>2.8101400000000001</v>
      </c>
      <c r="L680" s="24">
        <f t="shared" si="20"/>
        <v>1.0408446348243339</v>
      </c>
    </row>
    <row r="681" spans="1:12" x14ac:dyDescent="0.25">
      <c r="A681" s="15">
        <f t="shared" si="21"/>
        <v>676</v>
      </c>
      <c r="B681" s="17">
        <v>36701</v>
      </c>
      <c r="C681" s="18" t="s">
        <v>1179</v>
      </c>
      <c r="D681" s="20" t="s">
        <v>1556</v>
      </c>
      <c r="E681" s="19">
        <v>0</v>
      </c>
      <c r="F681" s="20" t="s">
        <v>1556</v>
      </c>
      <c r="G681" s="21">
        <v>0</v>
      </c>
      <c r="H681" s="21">
        <v>0</v>
      </c>
      <c r="I681" s="14" t="s">
        <v>1561</v>
      </c>
      <c r="J681" s="21">
        <v>0</v>
      </c>
      <c r="K681" s="21">
        <v>0</v>
      </c>
      <c r="L681" s="24">
        <f t="shared" si="20"/>
        <v>0</v>
      </c>
    </row>
    <row r="682" spans="1:12" x14ac:dyDescent="0.25">
      <c r="A682" s="15">
        <f t="shared" si="21"/>
        <v>677</v>
      </c>
      <c r="B682" s="17">
        <v>36805</v>
      </c>
      <c r="C682" s="18" t="s">
        <v>222</v>
      </c>
      <c r="D682" s="20" t="s">
        <v>1556</v>
      </c>
      <c r="E682" s="19">
        <v>0</v>
      </c>
      <c r="F682" s="20" t="s">
        <v>1556</v>
      </c>
      <c r="G682" s="21">
        <v>0</v>
      </c>
      <c r="H682" s="21">
        <v>0</v>
      </c>
      <c r="I682" s="14" t="s">
        <v>1561</v>
      </c>
      <c r="J682" s="21">
        <v>0</v>
      </c>
      <c r="K682" s="21">
        <v>0</v>
      </c>
      <c r="L682" s="24">
        <f t="shared" si="20"/>
        <v>0</v>
      </c>
    </row>
    <row r="683" spans="1:12" x14ac:dyDescent="0.25">
      <c r="A683" s="15">
        <f t="shared" si="21"/>
        <v>678</v>
      </c>
      <c r="B683" s="17">
        <v>36863</v>
      </c>
      <c r="C683" s="18" t="s">
        <v>446</v>
      </c>
      <c r="D683" s="20">
        <v>9.6291999999999992E-3</v>
      </c>
      <c r="E683" s="19">
        <v>0</v>
      </c>
      <c r="F683" s="20">
        <v>9.6291999999999992E-3</v>
      </c>
      <c r="G683" s="21">
        <v>1.3799320000000002</v>
      </c>
      <c r="H683" s="21">
        <v>1.3799320000000002</v>
      </c>
      <c r="I683" s="14" t="s">
        <v>1561</v>
      </c>
      <c r="J683" s="21">
        <v>0.93820842251397862</v>
      </c>
      <c r="K683" s="21">
        <v>1.6534863</v>
      </c>
      <c r="L683" s="24">
        <f t="shared" si="20"/>
        <v>1.1982375218489025</v>
      </c>
    </row>
    <row r="684" spans="1:12" x14ac:dyDescent="0.25">
      <c r="A684" s="15">
        <f t="shared" si="21"/>
        <v>679</v>
      </c>
      <c r="B684" s="17">
        <v>36894</v>
      </c>
      <c r="C684" s="18" t="s">
        <v>1180</v>
      </c>
      <c r="D684" s="20" t="s">
        <v>1556</v>
      </c>
      <c r="E684" s="19">
        <v>0</v>
      </c>
      <c r="F684" s="20" t="s">
        <v>1556</v>
      </c>
      <c r="G684" s="21">
        <v>0</v>
      </c>
      <c r="H684" s="21">
        <v>0</v>
      </c>
      <c r="I684" s="14" t="s">
        <v>1561</v>
      </c>
      <c r="J684" s="21">
        <v>0</v>
      </c>
      <c r="K684" s="21">
        <v>0</v>
      </c>
      <c r="L684" s="24">
        <f t="shared" si="20"/>
        <v>0</v>
      </c>
    </row>
    <row r="685" spans="1:12" x14ac:dyDescent="0.25">
      <c r="A685" s="15">
        <f t="shared" si="21"/>
        <v>680</v>
      </c>
      <c r="B685" s="17">
        <v>37133</v>
      </c>
      <c r="C685" s="18" t="s">
        <v>724</v>
      </c>
      <c r="D685" s="20">
        <v>3.2012274999999999</v>
      </c>
      <c r="E685" s="19">
        <v>0</v>
      </c>
      <c r="F685" s="20">
        <v>3.2012274999999999</v>
      </c>
      <c r="G685" s="21">
        <v>536.12132829999996</v>
      </c>
      <c r="H685" s="21">
        <v>428.1553639</v>
      </c>
      <c r="I685" s="14" t="s">
        <v>1561</v>
      </c>
      <c r="J685" s="21">
        <v>264.78403535899969</v>
      </c>
      <c r="K685" s="21">
        <v>522.54905589999998</v>
      </c>
      <c r="L685" s="24">
        <f t="shared" si="20"/>
        <v>0.97468432669329419</v>
      </c>
    </row>
    <row r="686" spans="1:12" x14ac:dyDescent="0.25">
      <c r="A686" s="15">
        <f t="shared" si="21"/>
        <v>681</v>
      </c>
      <c r="B686" s="17">
        <v>37184</v>
      </c>
      <c r="C686" s="18" t="s">
        <v>725</v>
      </c>
      <c r="D686" s="20">
        <v>7.7165999999999997E-3</v>
      </c>
      <c r="E686" s="19">
        <v>0</v>
      </c>
      <c r="F686" s="20">
        <v>7.7165999999999997E-3</v>
      </c>
      <c r="G686" s="21">
        <v>5.4967253000000005</v>
      </c>
      <c r="H686" s="21">
        <v>4.9264798000000001</v>
      </c>
      <c r="I686" s="14" t="s">
        <v>1561</v>
      </c>
      <c r="J686" s="21">
        <v>0.53913937739354845</v>
      </c>
      <c r="K686" s="21">
        <v>5.0014509</v>
      </c>
      <c r="L686" s="24">
        <f t="shared" si="20"/>
        <v>0.90989646144405278</v>
      </c>
    </row>
    <row r="687" spans="1:12" x14ac:dyDescent="0.25">
      <c r="A687" s="15">
        <f t="shared" si="21"/>
        <v>682</v>
      </c>
      <c r="B687" s="17">
        <v>37283</v>
      </c>
      <c r="C687" s="18" t="s">
        <v>512</v>
      </c>
      <c r="D687" s="20" t="s">
        <v>1556</v>
      </c>
      <c r="E687" s="19">
        <v>0</v>
      </c>
      <c r="F687" s="20" t="s">
        <v>1556</v>
      </c>
      <c r="G687" s="21">
        <v>0</v>
      </c>
      <c r="H687" s="21">
        <v>0</v>
      </c>
      <c r="I687" s="14" t="s">
        <v>1561</v>
      </c>
      <c r="J687" s="21">
        <v>0</v>
      </c>
      <c r="K687" s="21">
        <v>0</v>
      </c>
      <c r="L687" s="24">
        <f t="shared" si="20"/>
        <v>0</v>
      </c>
    </row>
    <row r="688" spans="1:12" x14ac:dyDescent="0.25">
      <c r="A688" s="15">
        <f t="shared" si="21"/>
        <v>683</v>
      </c>
      <c r="B688" s="17">
        <v>37314</v>
      </c>
      <c r="C688" s="18" t="s">
        <v>1181</v>
      </c>
      <c r="D688" s="20" t="s">
        <v>1556</v>
      </c>
      <c r="E688" s="19">
        <v>0</v>
      </c>
      <c r="F688" s="20" t="s">
        <v>1556</v>
      </c>
      <c r="G688" s="21">
        <v>0</v>
      </c>
      <c r="H688" s="21">
        <v>0</v>
      </c>
      <c r="I688" s="14" t="s">
        <v>1561</v>
      </c>
      <c r="J688" s="21">
        <v>0</v>
      </c>
      <c r="K688" s="21">
        <v>0</v>
      </c>
      <c r="L688" s="24">
        <f t="shared" si="20"/>
        <v>0</v>
      </c>
    </row>
    <row r="689" spans="1:12" x14ac:dyDescent="0.25">
      <c r="A689" s="15">
        <f t="shared" si="21"/>
        <v>684</v>
      </c>
      <c r="B689" s="17">
        <v>37550</v>
      </c>
      <c r="C689" s="18" t="s">
        <v>1182</v>
      </c>
      <c r="D689" s="20" t="s">
        <v>1556</v>
      </c>
      <c r="E689" s="19">
        <v>0</v>
      </c>
      <c r="F689" s="20" t="s">
        <v>1556</v>
      </c>
      <c r="G689" s="21">
        <v>0</v>
      </c>
      <c r="H689" s="21">
        <v>0</v>
      </c>
      <c r="I689" s="14" t="s">
        <v>1561</v>
      </c>
      <c r="J689" s="21">
        <v>0</v>
      </c>
      <c r="K689" s="21">
        <v>0</v>
      </c>
      <c r="L689" s="24">
        <f t="shared" si="20"/>
        <v>0</v>
      </c>
    </row>
    <row r="690" spans="1:12" x14ac:dyDescent="0.25">
      <c r="A690" s="15">
        <f t="shared" si="21"/>
        <v>685</v>
      </c>
      <c r="B690" s="17">
        <v>37643</v>
      </c>
      <c r="C690" s="18" t="s">
        <v>1183</v>
      </c>
      <c r="D690" s="20">
        <v>0.16566650000000002</v>
      </c>
      <c r="E690" s="19">
        <v>0</v>
      </c>
      <c r="F690" s="20">
        <v>0.16566650000000002</v>
      </c>
      <c r="G690" s="21">
        <v>4.8497574999999999</v>
      </c>
      <c r="H690" s="21">
        <v>4.8497574999999999</v>
      </c>
      <c r="I690" s="14" t="s">
        <v>1561</v>
      </c>
      <c r="J690" s="21">
        <v>5.2922622704311832</v>
      </c>
      <c r="K690" s="21">
        <v>9.183489100000001</v>
      </c>
      <c r="L690" s="24">
        <f t="shared" si="20"/>
        <v>1.8935975870958499</v>
      </c>
    </row>
    <row r="691" spans="1:12" x14ac:dyDescent="0.25">
      <c r="A691" s="15">
        <f t="shared" si="21"/>
        <v>686</v>
      </c>
      <c r="B691" s="17">
        <v>37795</v>
      </c>
      <c r="C691" s="18" t="s">
        <v>726</v>
      </c>
      <c r="D691" s="20" t="s">
        <v>1556</v>
      </c>
      <c r="E691" s="19">
        <v>0</v>
      </c>
      <c r="F691" s="20" t="s">
        <v>1556</v>
      </c>
      <c r="G691" s="21">
        <v>0</v>
      </c>
      <c r="H691" s="21">
        <v>0</v>
      </c>
      <c r="I691" s="14" t="s">
        <v>1561</v>
      </c>
      <c r="J691" s="21">
        <v>0</v>
      </c>
      <c r="K691" s="21">
        <v>0</v>
      </c>
      <c r="L691" s="24">
        <f t="shared" si="20"/>
        <v>0</v>
      </c>
    </row>
    <row r="692" spans="1:12" x14ac:dyDescent="0.25">
      <c r="A692" s="15">
        <f t="shared" si="21"/>
        <v>687</v>
      </c>
      <c r="B692" s="17">
        <v>37827</v>
      </c>
      <c r="C692" s="18" t="s">
        <v>189</v>
      </c>
      <c r="D692" s="20" t="s">
        <v>1556</v>
      </c>
      <c r="E692" s="19">
        <v>0</v>
      </c>
      <c r="F692" s="20" t="s">
        <v>1556</v>
      </c>
      <c r="G692" s="21">
        <v>0</v>
      </c>
      <c r="H692" s="21">
        <v>0</v>
      </c>
      <c r="I692" s="14" t="s">
        <v>1561</v>
      </c>
      <c r="J692" s="21">
        <v>0</v>
      </c>
      <c r="K692" s="21">
        <v>0</v>
      </c>
      <c r="L692" s="24">
        <f t="shared" si="20"/>
        <v>0</v>
      </c>
    </row>
    <row r="693" spans="1:12" x14ac:dyDescent="0.25">
      <c r="A693" s="15">
        <f t="shared" si="21"/>
        <v>688</v>
      </c>
      <c r="B693" s="17">
        <v>37958</v>
      </c>
      <c r="C693" s="18" t="s">
        <v>380</v>
      </c>
      <c r="D693" s="20">
        <v>2.3879999999999998E-4</v>
      </c>
      <c r="E693" s="19">
        <v>0</v>
      </c>
      <c r="F693" s="20">
        <v>2.3879999999999998E-4</v>
      </c>
      <c r="G693" s="21">
        <v>2.2758862</v>
      </c>
      <c r="H693" s="21">
        <v>2.0598861999999998</v>
      </c>
      <c r="I693" s="14" t="s">
        <v>1561</v>
      </c>
      <c r="J693" s="21">
        <v>0.24571438080000005</v>
      </c>
      <c r="K693" s="21">
        <v>2.1185176999999999</v>
      </c>
      <c r="L693" s="24">
        <f t="shared" si="20"/>
        <v>0.93085396800595743</v>
      </c>
    </row>
    <row r="694" spans="1:12" x14ac:dyDescent="0.25">
      <c r="A694" s="15">
        <f t="shared" si="21"/>
        <v>689</v>
      </c>
      <c r="B694" s="17">
        <v>37997</v>
      </c>
      <c r="C694" s="18" t="s">
        <v>727</v>
      </c>
      <c r="D694" s="20" t="s">
        <v>1556</v>
      </c>
      <c r="E694" s="19">
        <v>0</v>
      </c>
      <c r="F694" s="20" t="s">
        <v>1556</v>
      </c>
      <c r="G694" s="21">
        <v>0</v>
      </c>
      <c r="H694" s="21">
        <v>0</v>
      </c>
      <c r="I694" s="14" t="s">
        <v>1561</v>
      </c>
      <c r="J694" s="21">
        <v>0</v>
      </c>
      <c r="K694" s="21">
        <v>0</v>
      </c>
      <c r="L694" s="24">
        <f t="shared" si="20"/>
        <v>0</v>
      </c>
    </row>
    <row r="695" spans="1:12" x14ac:dyDescent="0.25">
      <c r="A695" s="15">
        <f t="shared" si="21"/>
        <v>690</v>
      </c>
      <c r="B695" s="17">
        <v>38053</v>
      </c>
      <c r="C695" s="18" t="s">
        <v>1184</v>
      </c>
      <c r="D695" s="20" t="s">
        <v>1556</v>
      </c>
      <c r="E695" s="19">
        <v>0</v>
      </c>
      <c r="F695" s="20" t="s">
        <v>1556</v>
      </c>
      <c r="G695" s="21">
        <v>0</v>
      </c>
      <c r="H695" s="21">
        <v>0</v>
      </c>
      <c r="I695" s="14" t="s">
        <v>1561</v>
      </c>
      <c r="J695" s="21">
        <v>0</v>
      </c>
      <c r="K695" s="21">
        <v>0</v>
      </c>
      <c r="L695" s="24">
        <f t="shared" si="20"/>
        <v>0</v>
      </c>
    </row>
    <row r="696" spans="1:12" x14ac:dyDescent="0.25">
      <c r="A696" s="15">
        <f t="shared" si="21"/>
        <v>691</v>
      </c>
      <c r="B696" s="17">
        <v>38058</v>
      </c>
      <c r="C696" s="18" t="s">
        <v>728</v>
      </c>
      <c r="D696" s="20">
        <v>0.29315180000000002</v>
      </c>
      <c r="E696" s="19">
        <v>0</v>
      </c>
      <c r="F696" s="20">
        <v>0.29315180000000002</v>
      </c>
      <c r="G696" s="21">
        <v>122.22810749999999</v>
      </c>
      <c r="H696" s="21">
        <v>80.698524399999997</v>
      </c>
      <c r="I696" s="14" t="s">
        <v>1561</v>
      </c>
      <c r="J696" s="21">
        <v>22.817008308670861</v>
      </c>
      <c r="K696" s="21">
        <v>86.639285000000001</v>
      </c>
      <c r="L696" s="24">
        <f t="shared" si="20"/>
        <v>0.70883274536505447</v>
      </c>
    </row>
    <row r="697" spans="1:12" x14ac:dyDescent="0.25">
      <c r="A697" s="15">
        <f t="shared" si="21"/>
        <v>692</v>
      </c>
      <c r="B697" s="17">
        <v>38606</v>
      </c>
      <c r="C697" s="18" t="s">
        <v>729</v>
      </c>
      <c r="D697" s="20">
        <v>2.9679199999999999E-2</v>
      </c>
      <c r="E697" s="19">
        <v>0</v>
      </c>
      <c r="F697" s="20">
        <v>2.9679199999999999E-2</v>
      </c>
      <c r="G697" s="21">
        <v>4.4097795</v>
      </c>
      <c r="H697" s="21">
        <v>4.4097795</v>
      </c>
      <c r="I697" s="14" t="s">
        <v>1561</v>
      </c>
      <c r="J697" s="21">
        <v>2.4216937800897851</v>
      </c>
      <c r="K697" s="21">
        <v>6.2140643999999998</v>
      </c>
      <c r="L697" s="24">
        <f t="shared" si="20"/>
        <v>1.40915535572697</v>
      </c>
    </row>
    <row r="698" spans="1:12" x14ac:dyDescent="0.25">
      <c r="A698" s="15">
        <f t="shared" si="21"/>
        <v>693</v>
      </c>
      <c r="B698" s="17">
        <v>39103</v>
      </c>
      <c r="C698" s="18" t="s">
        <v>1185</v>
      </c>
      <c r="D698" s="20" t="s">
        <v>1556</v>
      </c>
      <c r="E698" s="19">
        <v>0</v>
      </c>
      <c r="F698" s="20" t="s">
        <v>1556</v>
      </c>
      <c r="G698" s="21">
        <v>0</v>
      </c>
      <c r="H698" s="21">
        <v>0</v>
      </c>
      <c r="I698" s="14" t="s">
        <v>1561</v>
      </c>
      <c r="J698" s="21">
        <v>0</v>
      </c>
      <c r="K698" s="21">
        <v>0</v>
      </c>
      <c r="L698" s="24">
        <f t="shared" si="20"/>
        <v>0</v>
      </c>
    </row>
    <row r="699" spans="1:12" x14ac:dyDescent="0.25">
      <c r="A699" s="15">
        <f t="shared" si="21"/>
        <v>694</v>
      </c>
      <c r="B699" s="17">
        <v>39107</v>
      </c>
      <c r="C699" s="18" t="s">
        <v>381</v>
      </c>
      <c r="D699" s="20">
        <v>1.2016500000000001E-2</v>
      </c>
      <c r="E699" s="19">
        <v>0</v>
      </c>
      <c r="F699" s="20">
        <v>1.2016500000000001E-2</v>
      </c>
      <c r="G699" s="21">
        <v>5.3497325</v>
      </c>
      <c r="H699" s="21">
        <v>5.3497325</v>
      </c>
      <c r="I699" s="14" t="s">
        <v>1561</v>
      </c>
      <c r="J699" s="21">
        <v>1.3178996427361112</v>
      </c>
      <c r="K699" s="21">
        <v>5.4327142000000004</v>
      </c>
      <c r="L699" s="24">
        <f t="shared" si="20"/>
        <v>1.0155113736995263</v>
      </c>
    </row>
    <row r="700" spans="1:12" x14ac:dyDescent="0.25">
      <c r="A700" s="15">
        <f t="shared" si="21"/>
        <v>695</v>
      </c>
      <c r="B700" s="17">
        <v>39155</v>
      </c>
      <c r="C700" s="18" t="s">
        <v>1186</v>
      </c>
      <c r="D700" s="20">
        <v>0.964337</v>
      </c>
      <c r="E700" s="19">
        <v>0</v>
      </c>
      <c r="F700" s="20">
        <v>0.964337</v>
      </c>
      <c r="G700" s="21">
        <v>97.035958600000001</v>
      </c>
      <c r="H700" s="21">
        <v>76.845031899999995</v>
      </c>
      <c r="I700" s="14" t="s">
        <v>1561</v>
      </c>
      <c r="J700" s="21">
        <v>59.424585958069116</v>
      </c>
      <c r="K700" s="21">
        <v>93.005831400000005</v>
      </c>
      <c r="L700" s="24">
        <f t="shared" si="20"/>
        <v>0.9584676932330527</v>
      </c>
    </row>
    <row r="701" spans="1:12" x14ac:dyDescent="0.25">
      <c r="A701" s="15">
        <f t="shared" si="21"/>
        <v>696</v>
      </c>
      <c r="B701" s="17">
        <v>39208</v>
      </c>
      <c r="C701" s="18" t="s">
        <v>1187</v>
      </c>
      <c r="D701" s="20" t="s">
        <v>1556</v>
      </c>
      <c r="E701" s="19">
        <v>0</v>
      </c>
      <c r="F701" s="20" t="s">
        <v>1556</v>
      </c>
      <c r="G701" s="21">
        <v>18.1690921</v>
      </c>
      <c r="H701" s="21">
        <v>17.7291606</v>
      </c>
      <c r="I701" s="14" t="s">
        <v>1561</v>
      </c>
      <c r="J701" s="21">
        <v>10.670523492156452</v>
      </c>
      <c r="K701" s="21">
        <v>20.626681100000003</v>
      </c>
      <c r="L701" s="24">
        <f t="shared" si="20"/>
        <v>1.135262069589047</v>
      </c>
    </row>
    <row r="702" spans="1:12" x14ac:dyDescent="0.25">
      <c r="A702" s="15">
        <f t="shared" si="21"/>
        <v>697</v>
      </c>
      <c r="B702" s="17">
        <v>39269</v>
      </c>
      <c r="C702" s="18" t="s">
        <v>1188</v>
      </c>
      <c r="D702" s="20" t="s">
        <v>1556</v>
      </c>
      <c r="E702" s="19">
        <v>0</v>
      </c>
      <c r="F702" s="20" t="s">
        <v>1556</v>
      </c>
      <c r="G702" s="21">
        <v>0</v>
      </c>
      <c r="H702" s="21">
        <v>0</v>
      </c>
      <c r="I702" s="14" t="s">
        <v>1561</v>
      </c>
      <c r="J702" s="21">
        <v>0</v>
      </c>
      <c r="K702" s="21">
        <v>0</v>
      </c>
      <c r="L702" s="24">
        <f t="shared" si="20"/>
        <v>0</v>
      </c>
    </row>
    <row r="703" spans="1:12" x14ac:dyDescent="0.25">
      <c r="A703" s="15">
        <f t="shared" si="21"/>
        <v>698</v>
      </c>
      <c r="B703" s="17">
        <v>39461</v>
      </c>
      <c r="C703" s="18" t="s">
        <v>447</v>
      </c>
      <c r="D703" s="20">
        <v>1.07501E-2</v>
      </c>
      <c r="E703" s="19">
        <v>0</v>
      </c>
      <c r="F703" s="20">
        <v>1.07501E-2</v>
      </c>
      <c r="G703" s="21">
        <v>38.968052200000002</v>
      </c>
      <c r="H703" s="21">
        <v>23.663324199999998</v>
      </c>
      <c r="I703" s="14" t="s">
        <v>1561</v>
      </c>
      <c r="J703" s="21">
        <v>5.3218251228618287</v>
      </c>
      <c r="K703" s="21">
        <v>23.886276299999999</v>
      </c>
      <c r="L703" s="24">
        <f t="shared" si="20"/>
        <v>0.61297075300058224</v>
      </c>
    </row>
    <row r="704" spans="1:12" x14ac:dyDescent="0.25">
      <c r="A704" s="15">
        <f t="shared" si="21"/>
        <v>699</v>
      </c>
      <c r="B704" s="17">
        <v>39470</v>
      </c>
      <c r="C704" s="18" t="s">
        <v>730</v>
      </c>
      <c r="D704" s="20" t="s">
        <v>1556</v>
      </c>
      <c r="E704" s="19">
        <v>0</v>
      </c>
      <c r="F704" s="20" t="s">
        <v>1556</v>
      </c>
      <c r="G704" s="21">
        <v>0</v>
      </c>
      <c r="H704" s="21">
        <v>0</v>
      </c>
      <c r="I704" s="14" t="s">
        <v>1561</v>
      </c>
      <c r="J704" s="21">
        <v>0</v>
      </c>
      <c r="K704" s="21">
        <v>0</v>
      </c>
      <c r="L704" s="24">
        <f t="shared" si="20"/>
        <v>0</v>
      </c>
    </row>
    <row r="705" spans="1:12" x14ac:dyDescent="0.25">
      <c r="A705" s="15">
        <f t="shared" si="21"/>
        <v>700</v>
      </c>
      <c r="B705" s="17">
        <v>39636</v>
      </c>
      <c r="C705" s="18" t="s">
        <v>731</v>
      </c>
      <c r="D705" s="20" t="s">
        <v>1556</v>
      </c>
      <c r="E705" s="19">
        <v>0</v>
      </c>
      <c r="F705" s="20" t="s">
        <v>1556</v>
      </c>
      <c r="G705" s="21">
        <v>0</v>
      </c>
      <c r="H705" s="21">
        <v>0</v>
      </c>
      <c r="I705" s="14" t="s">
        <v>1561</v>
      </c>
      <c r="J705" s="21">
        <v>0</v>
      </c>
      <c r="K705" s="21">
        <v>0</v>
      </c>
      <c r="L705" s="24">
        <f t="shared" si="20"/>
        <v>0</v>
      </c>
    </row>
    <row r="706" spans="1:12" x14ac:dyDescent="0.25">
      <c r="A706" s="15">
        <f t="shared" si="21"/>
        <v>701</v>
      </c>
      <c r="B706" s="17">
        <v>40107</v>
      </c>
      <c r="C706" s="18" t="s">
        <v>297</v>
      </c>
      <c r="D706" s="20" t="s">
        <v>1556</v>
      </c>
      <c r="E706" s="19">
        <v>0</v>
      </c>
      <c r="F706" s="20" t="s">
        <v>1556</v>
      </c>
      <c r="G706" s="21">
        <v>1.499925</v>
      </c>
      <c r="H706" s="21">
        <v>1.499925</v>
      </c>
      <c r="I706" s="14" t="s">
        <v>1561</v>
      </c>
      <c r="J706" s="21">
        <v>6.6568967208333329E-2</v>
      </c>
      <c r="K706" s="21">
        <v>1.5950122</v>
      </c>
      <c r="L706" s="24">
        <f t="shared" si="20"/>
        <v>1.0633946363984865</v>
      </c>
    </row>
    <row r="707" spans="1:12" x14ac:dyDescent="0.25">
      <c r="A707" s="15">
        <f t="shared" si="21"/>
        <v>702</v>
      </c>
      <c r="B707" s="17">
        <v>40312</v>
      </c>
      <c r="C707" s="18" t="s">
        <v>1189</v>
      </c>
      <c r="D707" s="20" t="s">
        <v>1556</v>
      </c>
      <c r="E707" s="19">
        <v>0</v>
      </c>
      <c r="F707" s="20" t="s">
        <v>1556</v>
      </c>
      <c r="G707" s="21">
        <v>0</v>
      </c>
      <c r="H707" s="21">
        <v>0</v>
      </c>
      <c r="I707" s="14" t="s">
        <v>1561</v>
      </c>
      <c r="J707" s="21">
        <v>0</v>
      </c>
      <c r="K707" s="21">
        <v>0</v>
      </c>
      <c r="L707" s="24">
        <f t="shared" si="20"/>
        <v>0</v>
      </c>
    </row>
    <row r="708" spans="1:12" x14ac:dyDescent="0.25">
      <c r="A708" s="15">
        <f t="shared" si="21"/>
        <v>703</v>
      </c>
      <c r="B708" s="17">
        <v>40594</v>
      </c>
      <c r="C708" s="18" t="s">
        <v>732</v>
      </c>
      <c r="D708" s="20" t="s">
        <v>1556</v>
      </c>
      <c r="E708" s="19">
        <v>0</v>
      </c>
      <c r="F708" s="20" t="s">
        <v>1556</v>
      </c>
      <c r="G708" s="21">
        <v>0</v>
      </c>
      <c r="H708" s="21">
        <v>0</v>
      </c>
      <c r="I708" s="14" t="s">
        <v>1561</v>
      </c>
      <c r="J708" s="21">
        <v>0</v>
      </c>
      <c r="K708" s="21">
        <v>0</v>
      </c>
      <c r="L708" s="24">
        <f t="shared" si="20"/>
        <v>0</v>
      </c>
    </row>
    <row r="709" spans="1:12" x14ac:dyDescent="0.25">
      <c r="A709" s="15">
        <f t="shared" si="21"/>
        <v>704</v>
      </c>
      <c r="B709" s="17">
        <v>40717</v>
      </c>
      <c r="C709" s="18" t="s">
        <v>1190</v>
      </c>
      <c r="D709" s="20" t="s">
        <v>1556</v>
      </c>
      <c r="E709" s="19">
        <v>0</v>
      </c>
      <c r="F709" s="20" t="s">
        <v>1556</v>
      </c>
      <c r="G709" s="21">
        <v>0</v>
      </c>
      <c r="H709" s="21">
        <v>0</v>
      </c>
      <c r="I709" s="14" t="s">
        <v>1561</v>
      </c>
      <c r="J709" s="21">
        <v>0</v>
      </c>
      <c r="K709" s="21">
        <v>0</v>
      </c>
      <c r="L709" s="24">
        <f t="shared" si="20"/>
        <v>0</v>
      </c>
    </row>
    <row r="710" spans="1:12" x14ac:dyDescent="0.25">
      <c r="A710" s="15">
        <f t="shared" si="21"/>
        <v>705</v>
      </c>
      <c r="B710" s="17">
        <v>40733</v>
      </c>
      <c r="C710" s="18" t="s">
        <v>298</v>
      </c>
      <c r="D710" s="20" t="s">
        <v>1556</v>
      </c>
      <c r="E710" s="19">
        <v>0</v>
      </c>
      <c r="F710" s="20" t="s">
        <v>1556</v>
      </c>
      <c r="G710" s="21">
        <v>0</v>
      </c>
      <c r="H710" s="21">
        <v>0</v>
      </c>
      <c r="I710" s="14" t="s">
        <v>1561</v>
      </c>
      <c r="J710" s="21">
        <v>0</v>
      </c>
      <c r="K710" s="21">
        <v>0</v>
      </c>
      <c r="L710" s="24">
        <f t="shared" si="20"/>
        <v>0</v>
      </c>
    </row>
    <row r="711" spans="1:12" x14ac:dyDescent="0.25">
      <c r="A711" s="15">
        <f t="shared" si="21"/>
        <v>706</v>
      </c>
      <c r="B711" s="17">
        <v>41043</v>
      </c>
      <c r="C711" s="18" t="s">
        <v>733</v>
      </c>
      <c r="D711" s="20">
        <v>5.0349259000000002</v>
      </c>
      <c r="E711" s="19">
        <v>0</v>
      </c>
      <c r="F711" s="20">
        <v>5.0349259000000002</v>
      </c>
      <c r="G711" s="21">
        <v>195.5227893</v>
      </c>
      <c r="H711" s="21">
        <v>152.0308277</v>
      </c>
      <c r="I711" s="14" t="s">
        <v>1561</v>
      </c>
      <c r="J711" s="21">
        <v>339.27831840727515</v>
      </c>
      <c r="K711" s="21">
        <v>416.07533909999995</v>
      </c>
      <c r="L711" s="24">
        <f t="shared" ref="L711:L774" si="22">+IFERROR(K711/G711,0)</f>
        <v>2.1280145429062776</v>
      </c>
    </row>
    <row r="712" spans="1:12" x14ac:dyDescent="0.25">
      <c r="A712" s="15">
        <f t="shared" ref="A712:A775" si="23">A711+1</f>
        <v>707</v>
      </c>
      <c r="B712" s="17">
        <v>41063</v>
      </c>
      <c r="C712" s="18" t="s">
        <v>1191</v>
      </c>
      <c r="D712" s="20">
        <v>0.19262889999999999</v>
      </c>
      <c r="E712" s="19">
        <v>0</v>
      </c>
      <c r="F712" s="20">
        <v>0.19262889999999999</v>
      </c>
      <c r="G712" s="21">
        <v>98.039394600000008</v>
      </c>
      <c r="H712" s="21">
        <v>83.627726200000012</v>
      </c>
      <c r="I712" s="14" t="s">
        <v>1561</v>
      </c>
      <c r="J712" s="21">
        <v>13.737269830885753</v>
      </c>
      <c r="K712" s="21">
        <v>85.327820899999992</v>
      </c>
      <c r="L712" s="24">
        <f t="shared" si="22"/>
        <v>0.87034218487513981</v>
      </c>
    </row>
    <row r="713" spans="1:12" x14ac:dyDescent="0.25">
      <c r="A713" s="15">
        <f t="shared" si="23"/>
        <v>708</v>
      </c>
      <c r="B713" s="17">
        <v>41070</v>
      </c>
      <c r="C713" s="18" t="s">
        <v>513</v>
      </c>
      <c r="D713" s="20" t="s">
        <v>1556</v>
      </c>
      <c r="E713" s="19">
        <v>0</v>
      </c>
      <c r="F713" s="20" t="s">
        <v>1556</v>
      </c>
      <c r="G713" s="21">
        <v>0</v>
      </c>
      <c r="H713" s="21">
        <v>0</v>
      </c>
      <c r="I713" s="14" t="s">
        <v>1561</v>
      </c>
      <c r="J713" s="21">
        <v>0</v>
      </c>
      <c r="K713" s="21">
        <v>0</v>
      </c>
      <c r="L713" s="24">
        <f t="shared" si="22"/>
        <v>0</v>
      </c>
    </row>
    <row r="714" spans="1:12" x14ac:dyDescent="0.25">
      <c r="A714" s="15">
        <f t="shared" si="23"/>
        <v>709</v>
      </c>
      <c r="B714" s="17">
        <v>41132</v>
      </c>
      <c r="C714" s="18" t="s">
        <v>223</v>
      </c>
      <c r="D714" s="20" t="s">
        <v>1556</v>
      </c>
      <c r="E714" s="19">
        <v>0</v>
      </c>
      <c r="F714" s="20" t="s">
        <v>1556</v>
      </c>
      <c r="G714" s="21">
        <v>0</v>
      </c>
      <c r="H714" s="21">
        <v>0</v>
      </c>
      <c r="I714" s="14" t="s">
        <v>1561</v>
      </c>
      <c r="J714" s="21">
        <v>0</v>
      </c>
      <c r="K714" s="21">
        <v>0</v>
      </c>
      <c r="L714" s="24">
        <f t="shared" si="22"/>
        <v>0</v>
      </c>
    </row>
    <row r="715" spans="1:12" x14ac:dyDescent="0.25">
      <c r="A715" s="15">
        <f t="shared" si="23"/>
        <v>710</v>
      </c>
      <c r="B715" s="17">
        <v>41137</v>
      </c>
      <c r="C715" s="18" t="s">
        <v>382</v>
      </c>
      <c r="D715" s="20" t="s">
        <v>1556</v>
      </c>
      <c r="E715" s="19">
        <v>0</v>
      </c>
      <c r="F715" s="20" t="s">
        <v>1556</v>
      </c>
      <c r="G715" s="21">
        <v>0</v>
      </c>
      <c r="H715" s="21">
        <v>0</v>
      </c>
      <c r="I715" s="14" t="s">
        <v>1561</v>
      </c>
      <c r="J715" s="21">
        <v>0</v>
      </c>
      <c r="K715" s="21">
        <v>0</v>
      </c>
      <c r="L715" s="24">
        <f t="shared" si="22"/>
        <v>0</v>
      </c>
    </row>
    <row r="716" spans="1:12" x14ac:dyDescent="0.25">
      <c r="A716" s="15">
        <f t="shared" si="23"/>
        <v>711</v>
      </c>
      <c r="B716" s="17">
        <v>41198</v>
      </c>
      <c r="C716" s="18" t="s">
        <v>1192</v>
      </c>
      <c r="D716" s="20" t="s">
        <v>1556</v>
      </c>
      <c r="E716" s="19">
        <v>0</v>
      </c>
      <c r="F716" s="20" t="s">
        <v>1556</v>
      </c>
      <c r="G716" s="21">
        <v>0</v>
      </c>
      <c r="H716" s="21">
        <v>0</v>
      </c>
      <c r="I716" s="14" t="s">
        <v>1561</v>
      </c>
      <c r="J716" s="21">
        <v>0</v>
      </c>
      <c r="K716" s="21">
        <v>0</v>
      </c>
      <c r="L716" s="24">
        <f t="shared" si="22"/>
        <v>0</v>
      </c>
    </row>
    <row r="717" spans="1:12" x14ac:dyDescent="0.25">
      <c r="A717" s="15">
        <f t="shared" si="23"/>
        <v>712</v>
      </c>
      <c r="B717" s="17">
        <v>41216</v>
      </c>
      <c r="C717" s="18" t="s">
        <v>299</v>
      </c>
      <c r="D717" s="20">
        <v>1.2331E-2</v>
      </c>
      <c r="E717" s="19">
        <v>0</v>
      </c>
      <c r="F717" s="20">
        <v>1.2331E-2</v>
      </c>
      <c r="G717" s="21">
        <v>11.7154142</v>
      </c>
      <c r="H717" s="21">
        <v>9.6394141999999992</v>
      </c>
      <c r="I717" s="14" t="s">
        <v>1561</v>
      </c>
      <c r="J717" s="21">
        <v>2.2314203319824371</v>
      </c>
      <c r="K717" s="21">
        <v>10.445051899999999</v>
      </c>
      <c r="L717" s="24">
        <f t="shared" si="22"/>
        <v>0.89156488380922971</v>
      </c>
    </row>
    <row r="718" spans="1:12" x14ac:dyDescent="0.25">
      <c r="A718" s="15">
        <f t="shared" si="23"/>
        <v>713</v>
      </c>
      <c r="B718" s="17">
        <v>41427</v>
      </c>
      <c r="C718" s="18" t="s">
        <v>734</v>
      </c>
      <c r="D718" s="20">
        <v>2.6561100000000001E-2</v>
      </c>
      <c r="E718" s="19">
        <v>0</v>
      </c>
      <c r="F718" s="20">
        <v>2.6561100000000001E-2</v>
      </c>
      <c r="G718" s="21">
        <v>21.608919500000003</v>
      </c>
      <c r="H718" s="21">
        <v>21.608919500000003</v>
      </c>
      <c r="I718" s="14" t="s">
        <v>1561</v>
      </c>
      <c r="J718" s="21">
        <v>3.7475189819857526</v>
      </c>
      <c r="K718" s="21">
        <v>22.292168799999999</v>
      </c>
      <c r="L718" s="24">
        <f t="shared" si="22"/>
        <v>1.0316188553527628</v>
      </c>
    </row>
    <row r="719" spans="1:12" x14ac:dyDescent="0.25">
      <c r="A719" s="15">
        <f t="shared" si="23"/>
        <v>714</v>
      </c>
      <c r="B719" s="17">
        <v>41541</v>
      </c>
      <c r="C719" s="18" t="s">
        <v>383</v>
      </c>
      <c r="D719" s="20">
        <v>4.9523000000000005E-2</v>
      </c>
      <c r="E719" s="19">
        <v>0</v>
      </c>
      <c r="F719" s="20">
        <v>4.9523000000000005E-2</v>
      </c>
      <c r="G719" s="21">
        <v>7.4956254000000007</v>
      </c>
      <c r="H719" s="21">
        <v>6.6535031000000009</v>
      </c>
      <c r="I719" s="14" t="s">
        <v>1561</v>
      </c>
      <c r="J719" s="21">
        <v>1.6827603619221327</v>
      </c>
      <c r="K719" s="21">
        <v>8.0575332999999993</v>
      </c>
      <c r="L719" s="24">
        <f t="shared" si="22"/>
        <v>1.0749647787895056</v>
      </c>
    </row>
    <row r="720" spans="1:12" x14ac:dyDescent="0.25">
      <c r="A720" s="15">
        <f t="shared" si="23"/>
        <v>715</v>
      </c>
      <c r="B720" s="17">
        <v>41571</v>
      </c>
      <c r="C720" s="18" t="s">
        <v>735</v>
      </c>
      <c r="D720" s="20" t="s">
        <v>1556</v>
      </c>
      <c r="E720" s="19">
        <v>0</v>
      </c>
      <c r="F720" s="20" t="s">
        <v>1556</v>
      </c>
      <c r="G720" s="21">
        <v>0</v>
      </c>
      <c r="H720" s="21">
        <v>0</v>
      </c>
      <c r="I720" s="14" t="s">
        <v>1561</v>
      </c>
      <c r="J720" s="21">
        <v>0</v>
      </c>
      <c r="K720" s="21">
        <v>0</v>
      </c>
      <c r="L720" s="24">
        <f t="shared" si="22"/>
        <v>0</v>
      </c>
    </row>
    <row r="721" spans="1:12" x14ac:dyDescent="0.25">
      <c r="A721" s="15">
        <f t="shared" si="23"/>
        <v>716</v>
      </c>
      <c r="B721" s="17">
        <v>41674</v>
      </c>
      <c r="C721" s="18" t="s">
        <v>736</v>
      </c>
      <c r="D721" s="20" t="s">
        <v>1556</v>
      </c>
      <c r="E721" s="19">
        <v>0</v>
      </c>
      <c r="F721" s="20" t="s">
        <v>1556</v>
      </c>
      <c r="G721" s="21">
        <v>0</v>
      </c>
      <c r="H721" s="21">
        <v>0</v>
      </c>
      <c r="I721" s="14" t="s">
        <v>1561</v>
      </c>
      <c r="J721" s="21">
        <v>0</v>
      </c>
      <c r="K721" s="21">
        <v>0</v>
      </c>
      <c r="L721" s="24">
        <f t="shared" si="22"/>
        <v>0</v>
      </c>
    </row>
    <row r="722" spans="1:12" x14ac:dyDescent="0.25">
      <c r="A722" s="15">
        <f t="shared" si="23"/>
        <v>717</v>
      </c>
      <c r="B722" s="17">
        <v>42141</v>
      </c>
      <c r="C722" s="18" t="s">
        <v>1193</v>
      </c>
      <c r="D722" s="20" t="s">
        <v>1556</v>
      </c>
      <c r="E722" s="19">
        <v>0</v>
      </c>
      <c r="F722" s="20" t="s">
        <v>1556</v>
      </c>
      <c r="G722" s="21">
        <v>0</v>
      </c>
      <c r="H722" s="21">
        <v>0</v>
      </c>
      <c r="I722" s="14" t="s">
        <v>1561</v>
      </c>
      <c r="J722" s="21">
        <v>0</v>
      </c>
      <c r="K722" s="21">
        <v>0</v>
      </c>
      <c r="L722" s="24">
        <f t="shared" si="22"/>
        <v>0</v>
      </c>
    </row>
    <row r="723" spans="1:12" x14ac:dyDescent="0.25">
      <c r="A723" s="15">
        <f t="shared" si="23"/>
        <v>718</v>
      </c>
      <c r="B723" s="17">
        <v>42506</v>
      </c>
      <c r="C723" s="18" t="s">
        <v>737</v>
      </c>
      <c r="D723" s="20" t="s">
        <v>1556</v>
      </c>
      <c r="E723" s="19">
        <v>0</v>
      </c>
      <c r="F723" s="20" t="s">
        <v>1556</v>
      </c>
      <c r="G723" s="21">
        <v>10.839458200000001</v>
      </c>
      <c r="H723" s="21">
        <v>10.679458200000001</v>
      </c>
      <c r="I723" s="14" t="s">
        <v>1561</v>
      </c>
      <c r="J723" s="21">
        <v>1.0627846569407706</v>
      </c>
      <c r="K723" s="21">
        <v>10.7543788</v>
      </c>
      <c r="L723" s="24">
        <f t="shared" si="22"/>
        <v>0.99215095455601265</v>
      </c>
    </row>
    <row r="724" spans="1:12" x14ac:dyDescent="0.25">
      <c r="A724" s="15">
        <f t="shared" si="23"/>
        <v>719</v>
      </c>
      <c r="B724" s="17">
        <v>42632</v>
      </c>
      <c r="C724" s="18" t="s">
        <v>738</v>
      </c>
      <c r="D724" s="20" t="s">
        <v>1556</v>
      </c>
      <c r="E724" s="19">
        <v>0</v>
      </c>
      <c r="F724" s="20" t="s">
        <v>1556</v>
      </c>
      <c r="G724" s="21">
        <v>0</v>
      </c>
      <c r="H724" s="21">
        <v>0</v>
      </c>
      <c r="I724" s="14" t="s">
        <v>1561</v>
      </c>
      <c r="J724" s="21">
        <v>0</v>
      </c>
      <c r="K724" s="21">
        <v>0</v>
      </c>
      <c r="L724" s="24">
        <f t="shared" si="22"/>
        <v>0</v>
      </c>
    </row>
    <row r="725" spans="1:12" x14ac:dyDescent="0.25">
      <c r="A725" s="15">
        <f t="shared" si="23"/>
        <v>720</v>
      </c>
      <c r="B725" s="17">
        <v>42760</v>
      </c>
      <c r="C725" s="18" t="s">
        <v>1194</v>
      </c>
      <c r="D725" s="20" t="s">
        <v>1556</v>
      </c>
      <c r="E725" s="19">
        <v>0</v>
      </c>
      <c r="F725" s="20" t="s">
        <v>1556</v>
      </c>
      <c r="G725" s="21">
        <v>0.64996750000000003</v>
      </c>
      <c r="H725" s="21">
        <v>0.64996750000000003</v>
      </c>
      <c r="I725" s="14" t="s">
        <v>1561</v>
      </c>
      <c r="J725" s="21">
        <v>0.15343338672356632</v>
      </c>
      <c r="K725" s="21">
        <v>0.69771910000000004</v>
      </c>
      <c r="L725" s="24">
        <f t="shared" si="22"/>
        <v>1.0734676733836692</v>
      </c>
    </row>
    <row r="726" spans="1:12" x14ac:dyDescent="0.25">
      <c r="A726" s="15">
        <f t="shared" si="23"/>
        <v>721</v>
      </c>
      <c r="B726" s="17">
        <v>42874</v>
      </c>
      <c r="C726" s="18" t="s">
        <v>1195</v>
      </c>
      <c r="D726" s="20" t="s">
        <v>1556</v>
      </c>
      <c r="E726" s="19">
        <v>0</v>
      </c>
      <c r="F726" s="20" t="s">
        <v>1556</v>
      </c>
      <c r="G726" s="21">
        <v>0</v>
      </c>
      <c r="H726" s="21">
        <v>0</v>
      </c>
      <c r="I726" s="14" t="s">
        <v>1561</v>
      </c>
      <c r="J726" s="21">
        <v>0</v>
      </c>
      <c r="K726" s="21">
        <v>0</v>
      </c>
      <c r="L726" s="24">
        <f t="shared" si="22"/>
        <v>0</v>
      </c>
    </row>
    <row r="727" spans="1:12" x14ac:dyDescent="0.25">
      <c r="A727" s="15">
        <f t="shared" si="23"/>
        <v>722</v>
      </c>
      <c r="B727" s="17">
        <v>42937</v>
      </c>
      <c r="C727" s="18" t="s">
        <v>384</v>
      </c>
      <c r="D727" s="20" t="s">
        <v>1556</v>
      </c>
      <c r="E727" s="19">
        <v>0</v>
      </c>
      <c r="F727" s="20" t="s">
        <v>1556</v>
      </c>
      <c r="G727" s="21">
        <v>0</v>
      </c>
      <c r="H727" s="21">
        <v>0</v>
      </c>
      <c r="I727" s="14" t="s">
        <v>1561</v>
      </c>
      <c r="J727" s="21">
        <v>0</v>
      </c>
      <c r="K727" s="21">
        <v>0</v>
      </c>
      <c r="L727" s="24">
        <f t="shared" si="22"/>
        <v>0</v>
      </c>
    </row>
    <row r="728" spans="1:12" x14ac:dyDescent="0.25">
      <c r="A728" s="15">
        <f t="shared" si="23"/>
        <v>723</v>
      </c>
      <c r="B728" s="17">
        <v>42964</v>
      </c>
      <c r="C728" s="18" t="s">
        <v>116</v>
      </c>
      <c r="D728" s="20" t="s">
        <v>1556</v>
      </c>
      <c r="E728" s="19">
        <v>0</v>
      </c>
      <c r="F728" s="20" t="s">
        <v>1556</v>
      </c>
      <c r="G728" s="21">
        <v>0</v>
      </c>
      <c r="H728" s="21">
        <v>0</v>
      </c>
      <c r="I728" s="14" t="s">
        <v>1561</v>
      </c>
      <c r="J728" s="21">
        <v>0</v>
      </c>
      <c r="K728" s="21">
        <v>0</v>
      </c>
      <c r="L728" s="24">
        <f t="shared" si="22"/>
        <v>0</v>
      </c>
    </row>
    <row r="729" spans="1:12" x14ac:dyDescent="0.25">
      <c r="A729" s="15">
        <f t="shared" si="23"/>
        <v>724</v>
      </c>
      <c r="B729" s="17">
        <v>44026</v>
      </c>
      <c r="C729" s="18" t="s">
        <v>739</v>
      </c>
      <c r="D729" s="20" t="s">
        <v>1556</v>
      </c>
      <c r="E729" s="19">
        <v>0</v>
      </c>
      <c r="F729" s="20" t="s">
        <v>1556</v>
      </c>
      <c r="G729" s="21">
        <v>4.99975E-2</v>
      </c>
      <c r="H729" s="21">
        <v>4.99975E-2</v>
      </c>
      <c r="I729" s="14" t="s">
        <v>1561</v>
      </c>
      <c r="J729" s="21">
        <v>9.4555826250000002E-3</v>
      </c>
      <c r="K729" s="21">
        <v>4.5557100000000003E-2</v>
      </c>
      <c r="L729" s="24">
        <f t="shared" si="22"/>
        <v>0.91118755937796891</v>
      </c>
    </row>
    <row r="730" spans="1:12" x14ac:dyDescent="0.25">
      <c r="A730" s="15">
        <f t="shared" si="23"/>
        <v>725</v>
      </c>
      <c r="B730" s="17">
        <v>44290</v>
      </c>
      <c r="C730" s="18" t="s">
        <v>740</v>
      </c>
      <c r="D730" s="20" t="s">
        <v>1556</v>
      </c>
      <c r="E730" s="19">
        <v>0</v>
      </c>
      <c r="F730" s="20" t="s">
        <v>1556</v>
      </c>
      <c r="G730" s="21">
        <v>1.499925</v>
      </c>
      <c r="H730" s="21">
        <v>1.499925</v>
      </c>
      <c r="I730" s="14" t="s">
        <v>1561</v>
      </c>
      <c r="J730" s="21">
        <v>4.0320564499999999E-3</v>
      </c>
      <c r="K730" s="21">
        <v>1.499925</v>
      </c>
      <c r="L730" s="24">
        <f t="shared" si="22"/>
        <v>1</v>
      </c>
    </row>
    <row r="731" spans="1:12" x14ac:dyDescent="0.25">
      <c r="A731" s="15">
        <f t="shared" si="23"/>
        <v>726</v>
      </c>
      <c r="B731" s="17">
        <v>44504</v>
      </c>
      <c r="C731" s="18" t="s">
        <v>300</v>
      </c>
      <c r="D731" s="20" t="s">
        <v>1556</v>
      </c>
      <c r="E731" s="19">
        <v>0</v>
      </c>
      <c r="F731" s="20" t="s">
        <v>1556</v>
      </c>
      <c r="G731" s="21">
        <v>0</v>
      </c>
      <c r="H731" s="21">
        <v>0</v>
      </c>
      <c r="I731" s="14" t="s">
        <v>1561</v>
      </c>
      <c r="J731" s="21">
        <v>0</v>
      </c>
      <c r="K731" s="21">
        <v>0</v>
      </c>
      <c r="L731" s="24">
        <f t="shared" si="22"/>
        <v>0</v>
      </c>
    </row>
    <row r="732" spans="1:12" x14ac:dyDescent="0.25">
      <c r="A732" s="15">
        <f t="shared" si="23"/>
        <v>727</v>
      </c>
      <c r="B732" s="17">
        <v>44580</v>
      </c>
      <c r="C732" s="18" t="s">
        <v>224</v>
      </c>
      <c r="D732" s="20" t="s">
        <v>1556</v>
      </c>
      <c r="E732" s="19">
        <v>0</v>
      </c>
      <c r="F732" s="20" t="s">
        <v>1556</v>
      </c>
      <c r="G732" s="21">
        <v>0</v>
      </c>
      <c r="H732" s="21">
        <v>0</v>
      </c>
      <c r="I732" s="14" t="s">
        <v>1561</v>
      </c>
      <c r="J732" s="21">
        <v>0</v>
      </c>
      <c r="K732" s="21">
        <v>0</v>
      </c>
      <c r="L732" s="24">
        <f t="shared" si="22"/>
        <v>0</v>
      </c>
    </row>
    <row r="733" spans="1:12" x14ac:dyDescent="0.25">
      <c r="A733" s="15">
        <f t="shared" si="23"/>
        <v>728</v>
      </c>
      <c r="B733" s="17">
        <v>44863</v>
      </c>
      <c r="C733" s="18" t="s">
        <v>1196</v>
      </c>
      <c r="D733" s="20">
        <v>3.7637136</v>
      </c>
      <c r="E733" s="19">
        <v>0</v>
      </c>
      <c r="F733" s="20">
        <v>3.7637136</v>
      </c>
      <c r="G733" s="21">
        <v>236.1176495</v>
      </c>
      <c r="H733" s="21">
        <v>151.10307109999999</v>
      </c>
      <c r="I733" s="14" t="s">
        <v>1561</v>
      </c>
      <c r="J733" s="21">
        <v>147.61290182732139</v>
      </c>
      <c r="K733" s="21">
        <v>201.96519519999998</v>
      </c>
      <c r="L733" s="24">
        <f t="shared" si="22"/>
        <v>0.85535831661749617</v>
      </c>
    </row>
    <row r="734" spans="1:12" x14ac:dyDescent="0.25">
      <c r="A734" s="15">
        <f t="shared" si="23"/>
        <v>729</v>
      </c>
      <c r="B734" s="17">
        <v>45042</v>
      </c>
      <c r="C734" s="18" t="s">
        <v>144</v>
      </c>
      <c r="D734" s="20" t="s">
        <v>1556</v>
      </c>
      <c r="E734" s="19">
        <v>0</v>
      </c>
      <c r="F734" s="20" t="s">
        <v>1556</v>
      </c>
      <c r="G734" s="21">
        <v>0</v>
      </c>
      <c r="H734" s="21">
        <v>0</v>
      </c>
      <c r="I734" s="14" t="s">
        <v>1561</v>
      </c>
      <c r="J734" s="21">
        <v>0</v>
      </c>
      <c r="K734" s="21">
        <v>0</v>
      </c>
      <c r="L734" s="24">
        <f t="shared" si="22"/>
        <v>0</v>
      </c>
    </row>
    <row r="735" spans="1:12" x14ac:dyDescent="0.25">
      <c r="A735" s="15">
        <f t="shared" si="23"/>
        <v>730</v>
      </c>
      <c r="B735" s="17">
        <v>45289</v>
      </c>
      <c r="C735" s="18" t="s">
        <v>301</v>
      </c>
      <c r="D735" s="20" t="s">
        <v>1556</v>
      </c>
      <c r="E735" s="19">
        <v>0</v>
      </c>
      <c r="F735" s="20" t="s">
        <v>1556</v>
      </c>
      <c r="G735" s="21">
        <v>0</v>
      </c>
      <c r="H735" s="21">
        <v>0</v>
      </c>
      <c r="I735" s="14" t="s">
        <v>1561</v>
      </c>
      <c r="J735" s="21">
        <v>0</v>
      </c>
      <c r="K735" s="21">
        <v>0</v>
      </c>
      <c r="L735" s="24">
        <f t="shared" si="22"/>
        <v>0</v>
      </c>
    </row>
    <row r="736" spans="1:12" x14ac:dyDescent="0.25">
      <c r="A736" s="15">
        <f t="shared" si="23"/>
        <v>731</v>
      </c>
      <c r="B736" s="17">
        <v>45392</v>
      </c>
      <c r="C736" s="18" t="s">
        <v>1197</v>
      </c>
      <c r="D736" s="20" t="s">
        <v>1556</v>
      </c>
      <c r="E736" s="19">
        <v>0</v>
      </c>
      <c r="F736" s="20" t="s">
        <v>1556</v>
      </c>
      <c r="G736" s="21">
        <v>0</v>
      </c>
      <c r="H736" s="21">
        <v>0</v>
      </c>
      <c r="I736" s="14" t="s">
        <v>1561</v>
      </c>
      <c r="J736" s="21">
        <v>0</v>
      </c>
      <c r="K736" s="21">
        <v>0</v>
      </c>
      <c r="L736" s="24">
        <f t="shared" si="22"/>
        <v>0</v>
      </c>
    </row>
    <row r="737" spans="1:12" x14ac:dyDescent="0.25">
      <c r="A737" s="15">
        <f t="shared" si="23"/>
        <v>732</v>
      </c>
      <c r="B737" s="17">
        <v>45415</v>
      </c>
      <c r="C737" s="18" t="s">
        <v>741</v>
      </c>
      <c r="D737" s="20">
        <v>6.9237099999999996E-2</v>
      </c>
      <c r="E737" s="19">
        <v>0</v>
      </c>
      <c r="F737" s="20">
        <v>6.9237099999999996E-2</v>
      </c>
      <c r="G737" s="21">
        <v>16.009206599999999</v>
      </c>
      <c r="H737" s="21">
        <v>9.1192065999999983</v>
      </c>
      <c r="I737" s="14" t="s">
        <v>1561</v>
      </c>
      <c r="J737" s="21">
        <v>6.0975683093885324</v>
      </c>
      <c r="K737" s="21">
        <v>9.7374408999999993</v>
      </c>
      <c r="L737" s="24">
        <f t="shared" si="22"/>
        <v>0.60824006731226765</v>
      </c>
    </row>
    <row r="738" spans="1:12" x14ac:dyDescent="0.25">
      <c r="A738" s="15">
        <f t="shared" si="23"/>
        <v>733</v>
      </c>
      <c r="B738" s="17">
        <v>45422</v>
      </c>
      <c r="C738" s="18" t="s">
        <v>1198</v>
      </c>
      <c r="D738" s="20" t="s">
        <v>1556</v>
      </c>
      <c r="E738" s="19">
        <v>0</v>
      </c>
      <c r="F738" s="20" t="s">
        <v>1556</v>
      </c>
      <c r="G738" s="21">
        <v>0</v>
      </c>
      <c r="H738" s="21">
        <v>0</v>
      </c>
      <c r="I738" s="14" t="s">
        <v>1561</v>
      </c>
      <c r="J738" s="21">
        <v>0</v>
      </c>
      <c r="K738" s="21">
        <v>0</v>
      </c>
      <c r="L738" s="24">
        <f t="shared" si="22"/>
        <v>0</v>
      </c>
    </row>
    <row r="739" spans="1:12" x14ac:dyDescent="0.25">
      <c r="A739" s="15">
        <f t="shared" si="23"/>
        <v>734</v>
      </c>
      <c r="B739" s="17">
        <v>45545</v>
      </c>
      <c r="C739" s="18" t="s">
        <v>1199</v>
      </c>
      <c r="D739" s="20">
        <v>8.6073999999999994E-3</v>
      </c>
      <c r="E739" s="19">
        <v>0</v>
      </c>
      <c r="F739" s="20">
        <v>8.6073999999999994E-3</v>
      </c>
      <c r="G739" s="21">
        <v>7.7296135999999995</v>
      </c>
      <c r="H739" s="21">
        <v>7.7296135999999995</v>
      </c>
      <c r="I739" s="14" t="s">
        <v>1561</v>
      </c>
      <c r="J739" s="21">
        <v>1.2443196605770608</v>
      </c>
      <c r="K739" s="21">
        <v>7.9379393999999994</v>
      </c>
      <c r="L739" s="24">
        <f t="shared" si="22"/>
        <v>1.0269516447756197</v>
      </c>
    </row>
    <row r="740" spans="1:12" x14ac:dyDescent="0.25">
      <c r="A740" s="15">
        <f t="shared" si="23"/>
        <v>735</v>
      </c>
      <c r="B740" s="17">
        <v>45888</v>
      </c>
      <c r="C740" s="18" t="s">
        <v>742</v>
      </c>
      <c r="D740" s="20" t="s">
        <v>1556</v>
      </c>
      <c r="E740" s="19">
        <v>0</v>
      </c>
      <c r="F740" s="20" t="s">
        <v>1556</v>
      </c>
      <c r="G740" s="21">
        <v>0.299985</v>
      </c>
      <c r="H740" s="21">
        <v>0.299985</v>
      </c>
      <c r="I740" s="14" t="s">
        <v>1561</v>
      </c>
      <c r="J740" s="21">
        <v>6.6364125461290321E-2</v>
      </c>
      <c r="K740" s="21">
        <v>0.30978349999999999</v>
      </c>
      <c r="L740" s="24">
        <f t="shared" si="22"/>
        <v>1.0326632998316583</v>
      </c>
    </row>
    <row r="741" spans="1:12" x14ac:dyDescent="0.25">
      <c r="A741" s="15">
        <f t="shared" si="23"/>
        <v>736</v>
      </c>
      <c r="B741" s="17">
        <v>45990</v>
      </c>
      <c r="C741" s="18" t="s">
        <v>118</v>
      </c>
      <c r="D741" s="20" t="s">
        <v>1556</v>
      </c>
      <c r="E741" s="19">
        <v>0</v>
      </c>
      <c r="F741" s="20" t="s">
        <v>1556</v>
      </c>
      <c r="G741" s="21">
        <v>0.71896470000000001</v>
      </c>
      <c r="H741" s="21">
        <v>0.71896470000000001</v>
      </c>
      <c r="I741" s="14" t="s">
        <v>1561</v>
      </c>
      <c r="J741" s="21">
        <v>0.67783510967383498</v>
      </c>
      <c r="K741" s="21">
        <v>1.1374124999999999</v>
      </c>
      <c r="L741" s="24">
        <f t="shared" si="22"/>
        <v>1.5820143881890167</v>
      </c>
    </row>
    <row r="742" spans="1:12" x14ac:dyDescent="0.25">
      <c r="A742" s="15">
        <f t="shared" si="23"/>
        <v>737</v>
      </c>
      <c r="B742" s="17">
        <v>46040</v>
      </c>
      <c r="C742" s="18" t="s">
        <v>743</v>
      </c>
      <c r="D742" s="20" t="s">
        <v>1556</v>
      </c>
      <c r="E742" s="19">
        <v>0</v>
      </c>
      <c r="F742" s="20" t="s">
        <v>1556</v>
      </c>
      <c r="G742" s="21">
        <v>0</v>
      </c>
      <c r="H742" s="21">
        <v>0</v>
      </c>
      <c r="I742" s="14" t="s">
        <v>1561</v>
      </c>
      <c r="J742" s="21">
        <v>0</v>
      </c>
      <c r="K742" s="21">
        <v>0</v>
      </c>
      <c r="L742" s="24">
        <f t="shared" si="22"/>
        <v>0</v>
      </c>
    </row>
    <row r="743" spans="1:12" x14ac:dyDescent="0.25">
      <c r="A743" s="15">
        <f t="shared" si="23"/>
        <v>738</v>
      </c>
      <c r="B743" s="17">
        <v>46188</v>
      </c>
      <c r="C743" s="18" t="s">
        <v>1200</v>
      </c>
      <c r="D743" s="20" t="s">
        <v>1556</v>
      </c>
      <c r="E743" s="19">
        <v>0</v>
      </c>
      <c r="F743" s="20" t="s">
        <v>1556</v>
      </c>
      <c r="G743" s="21">
        <v>0.74996249999999998</v>
      </c>
      <c r="H743" s="21">
        <v>0.74996249999999998</v>
      </c>
      <c r="I743" s="14" t="s">
        <v>1561</v>
      </c>
      <c r="J743" s="21">
        <v>4.0385381666666669E-3</v>
      </c>
      <c r="K743" s="21">
        <v>0.75237320000000008</v>
      </c>
      <c r="L743" s="24">
        <f t="shared" si="22"/>
        <v>1.0032144273880361</v>
      </c>
    </row>
    <row r="744" spans="1:12" x14ac:dyDescent="0.25">
      <c r="A744" s="15">
        <f t="shared" si="23"/>
        <v>739</v>
      </c>
      <c r="B744" s="17">
        <v>46220</v>
      </c>
      <c r="C744" s="18" t="s">
        <v>744</v>
      </c>
      <c r="D744" s="20">
        <v>10.102134100000001</v>
      </c>
      <c r="E744" s="19">
        <v>0</v>
      </c>
      <c r="F744" s="20">
        <v>10.102134100000001</v>
      </c>
      <c r="G744" s="21">
        <v>1107.0715804000001</v>
      </c>
      <c r="H744" s="21">
        <v>1086.3125775999999</v>
      </c>
      <c r="I744" s="14" t="s">
        <v>1561</v>
      </c>
      <c r="J744" s="21">
        <v>694.49967059329776</v>
      </c>
      <c r="K744" s="21">
        <v>1395.4350238</v>
      </c>
      <c r="L744" s="24">
        <f t="shared" si="22"/>
        <v>1.2604740727747796</v>
      </c>
    </row>
    <row r="745" spans="1:12" x14ac:dyDescent="0.25">
      <c r="A745" s="15">
        <f t="shared" si="23"/>
        <v>740</v>
      </c>
      <c r="B745" s="17">
        <v>46280</v>
      </c>
      <c r="C745" s="18" t="s">
        <v>745</v>
      </c>
      <c r="D745" s="20">
        <v>1.7373474</v>
      </c>
      <c r="E745" s="19">
        <v>0</v>
      </c>
      <c r="F745" s="20">
        <v>1.7373474</v>
      </c>
      <c r="G745" s="21">
        <v>612.77936009999996</v>
      </c>
      <c r="H745" s="21">
        <v>612.64176469999995</v>
      </c>
      <c r="I745" s="14" t="s">
        <v>1561</v>
      </c>
      <c r="J745" s="21">
        <v>156.24583627477335</v>
      </c>
      <c r="K745" s="21">
        <v>639.66790020000008</v>
      </c>
      <c r="L745" s="24">
        <f t="shared" si="22"/>
        <v>1.0438796438829339</v>
      </c>
    </row>
    <row r="746" spans="1:12" x14ac:dyDescent="0.25">
      <c r="A746" s="15">
        <f t="shared" si="23"/>
        <v>741</v>
      </c>
      <c r="B746" s="17">
        <v>46285</v>
      </c>
      <c r="C746" s="18" t="s">
        <v>746</v>
      </c>
      <c r="D746" s="20">
        <v>2.5688676999999998</v>
      </c>
      <c r="E746" s="19">
        <v>0</v>
      </c>
      <c r="F746" s="20">
        <v>2.5688676999999998</v>
      </c>
      <c r="G746" s="21">
        <v>615.50928829999998</v>
      </c>
      <c r="H746" s="21">
        <v>588.63521479999997</v>
      </c>
      <c r="I746" s="14" t="s">
        <v>1561</v>
      </c>
      <c r="J746" s="21">
        <v>202.74061612541269</v>
      </c>
      <c r="K746" s="21">
        <v>619.46775380000008</v>
      </c>
      <c r="L746" s="24">
        <f t="shared" si="22"/>
        <v>1.0064312035175507</v>
      </c>
    </row>
    <row r="747" spans="1:12" x14ac:dyDescent="0.25">
      <c r="A747" s="15">
        <f t="shared" si="23"/>
        <v>742</v>
      </c>
      <c r="B747" s="17">
        <v>46316</v>
      </c>
      <c r="C747" s="18" t="s">
        <v>1201</v>
      </c>
      <c r="D747" s="20">
        <v>0.1766518</v>
      </c>
      <c r="E747" s="19">
        <v>0</v>
      </c>
      <c r="F747" s="20">
        <v>0.1766518</v>
      </c>
      <c r="G747" s="21">
        <v>160.01000099999999</v>
      </c>
      <c r="H747" s="21">
        <v>135.2099887</v>
      </c>
      <c r="I747" s="14" t="s">
        <v>1561</v>
      </c>
      <c r="J747" s="21">
        <v>40.684221127397862</v>
      </c>
      <c r="K747" s="21">
        <v>136.5322884</v>
      </c>
      <c r="L747" s="24">
        <f t="shared" si="22"/>
        <v>0.85327346757531741</v>
      </c>
    </row>
    <row r="748" spans="1:12" x14ac:dyDescent="0.25">
      <c r="A748" s="15">
        <f t="shared" si="23"/>
        <v>743</v>
      </c>
      <c r="B748" s="17">
        <v>46559</v>
      </c>
      <c r="C748" s="18" t="s">
        <v>747</v>
      </c>
      <c r="D748" s="20" t="s">
        <v>1556</v>
      </c>
      <c r="E748" s="19">
        <v>0</v>
      </c>
      <c r="F748" s="20" t="s">
        <v>1556</v>
      </c>
      <c r="G748" s="21">
        <v>0</v>
      </c>
      <c r="H748" s="21">
        <v>0</v>
      </c>
      <c r="I748" s="14" t="s">
        <v>1561</v>
      </c>
      <c r="J748" s="21">
        <v>0</v>
      </c>
      <c r="K748" s="21">
        <v>0</v>
      </c>
      <c r="L748" s="24">
        <f t="shared" si="22"/>
        <v>0</v>
      </c>
    </row>
    <row r="749" spans="1:12" x14ac:dyDescent="0.25">
      <c r="A749" s="15">
        <f t="shared" si="23"/>
        <v>744</v>
      </c>
      <c r="B749" s="17">
        <v>46722</v>
      </c>
      <c r="C749" s="18" t="s">
        <v>748</v>
      </c>
      <c r="D749" s="20">
        <v>1.1142000000000001E-3</v>
      </c>
      <c r="E749" s="19">
        <v>0</v>
      </c>
      <c r="F749" s="20">
        <v>1.1142000000000001E-3</v>
      </c>
      <c r="G749" s="21">
        <v>2.0998950000000001</v>
      </c>
      <c r="H749" s="21">
        <v>2.0998950000000001</v>
      </c>
      <c r="I749" s="14" t="s">
        <v>1561</v>
      </c>
      <c r="J749" s="21">
        <v>0.15362539815654119</v>
      </c>
      <c r="K749" s="21">
        <v>2.2007466</v>
      </c>
      <c r="L749" s="24">
        <f t="shared" si="22"/>
        <v>1.0480269727772102</v>
      </c>
    </row>
    <row r="750" spans="1:12" x14ac:dyDescent="0.25">
      <c r="A750" s="15">
        <f t="shared" si="23"/>
        <v>745</v>
      </c>
      <c r="B750" s="17">
        <v>46724</v>
      </c>
      <c r="C750" s="18" t="s">
        <v>1202</v>
      </c>
      <c r="D750" s="20">
        <v>9.7799999999999992E-5</v>
      </c>
      <c r="E750" s="19">
        <v>0</v>
      </c>
      <c r="F750" s="20">
        <v>9.7799999999999992E-5</v>
      </c>
      <c r="G750" s="21">
        <v>0.19999</v>
      </c>
      <c r="H750" s="21">
        <v>0.19999</v>
      </c>
      <c r="I750" s="14" t="s">
        <v>1561</v>
      </c>
      <c r="J750" s="21">
        <v>1.9773554691666667E-2</v>
      </c>
      <c r="K750" s="21">
        <v>0.20502229999999999</v>
      </c>
      <c r="L750" s="24">
        <f t="shared" si="22"/>
        <v>1.0251627581379068</v>
      </c>
    </row>
    <row r="751" spans="1:12" x14ac:dyDescent="0.25">
      <c r="A751" s="15">
        <f t="shared" si="23"/>
        <v>746</v>
      </c>
      <c r="B751" s="17">
        <v>46963</v>
      </c>
      <c r="C751" s="18" t="s">
        <v>749</v>
      </c>
      <c r="D751" s="20" t="s">
        <v>1556</v>
      </c>
      <c r="E751" s="19">
        <v>0</v>
      </c>
      <c r="F751" s="20" t="s">
        <v>1556</v>
      </c>
      <c r="G751" s="21">
        <v>0.54997249999999998</v>
      </c>
      <c r="H751" s="21">
        <v>0.54997249999999998</v>
      </c>
      <c r="I751" s="14" t="s">
        <v>1561</v>
      </c>
      <c r="J751" s="21">
        <v>5.6567750750000007E-2</v>
      </c>
      <c r="K751" s="21">
        <v>0.58902180000000004</v>
      </c>
      <c r="L751" s="24">
        <f t="shared" si="22"/>
        <v>1.0710022773865968</v>
      </c>
    </row>
    <row r="752" spans="1:12" x14ac:dyDescent="0.25">
      <c r="A752" s="15">
        <f t="shared" si="23"/>
        <v>747</v>
      </c>
      <c r="B752" s="17">
        <v>47054</v>
      </c>
      <c r="C752" s="18" t="s">
        <v>302</v>
      </c>
      <c r="D752" s="20" t="s">
        <v>1556</v>
      </c>
      <c r="E752" s="19">
        <v>0</v>
      </c>
      <c r="F752" s="20" t="s">
        <v>1556</v>
      </c>
      <c r="G752" s="21">
        <v>0</v>
      </c>
      <c r="H752" s="21">
        <v>0</v>
      </c>
      <c r="I752" s="14" t="s">
        <v>1561</v>
      </c>
      <c r="J752" s="21">
        <v>0</v>
      </c>
      <c r="K752" s="21">
        <v>0</v>
      </c>
      <c r="L752" s="24">
        <f t="shared" si="22"/>
        <v>0</v>
      </c>
    </row>
    <row r="753" spans="1:12" x14ac:dyDescent="0.25">
      <c r="A753" s="15">
        <f t="shared" si="23"/>
        <v>748</v>
      </c>
      <c r="B753" s="17">
        <v>47282</v>
      </c>
      <c r="C753" s="18" t="s">
        <v>385</v>
      </c>
      <c r="D753" s="20" t="s">
        <v>1556</v>
      </c>
      <c r="E753" s="19">
        <v>0</v>
      </c>
      <c r="F753" s="20" t="s">
        <v>1556</v>
      </c>
      <c r="G753" s="21">
        <v>2.3498825000000001</v>
      </c>
      <c r="H753" s="21">
        <v>2.3498825000000001</v>
      </c>
      <c r="I753" s="14" t="s">
        <v>1561</v>
      </c>
      <c r="J753" s="21">
        <v>0.4032388309833333</v>
      </c>
      <c r="K753" s="21">
        <v>2.3416841000000002</v>
      </c>
      <c r="L753" s="24">
        <f t="shared" si="22"/>
        <v>0.99651114470617153</v>
      </c>
    </row>
    <row r="754" spans="1:12" x14ac:dyDescent="0.25">
      <c r="A754" s="15">
        <f t="shared" si="23"/>
        <v>749</v>
      </c>
      <c r="B754" s="17">
        <v>47293</v>
      </c>
      <c r="C754" s="18" t="s">
        <v>120</v>
      </c>
      <c r="D754" s="20" t="s">
        <v>1556</v>
      </c>
      <c r="E754" s="19">
        <v>0</v>
      </c>
      <c r="F754" s="20" t="s">
        <v>1556</v>
      </c>
      <c r="G754" s="21">
        <v>11.9994</v>
      </c>
      <c r="H754" s="21">
        <v>11.9994</v>
      </c>
      <c r="I754" s="14" t="s">
        <v>1561</v>
      </c>
      <c r="J754" s="21">
        <v>3.4269444659561827</v>
      </c>
      <c r="K754" s="21">
        <v>12.8432645</v>
      </c>
      <c r="L754" s="24">
        <f t="shared" si="22"/>
        <v>1.0703255579445639</v>
      </c>
    </row>
    <row r="755" spans="1:12" x14ac:dyDescent="0.25">
      <c r="A755" s="15">
        <f t="shared" si="23"/>
        <v>750</v>
      </c>
      <c r="B755" s="17">
        <v>47351</v>
      </c>
      <c r="C755" s="18" t="s">
        <v>386</v>
      </c>
      <c r="D755" s="20" t="s">
        <v>1556</v>
      </c>
      <c r="E755" s="19">
        <v>0</v>
      </c>
      <c r="F755" s="20" t="s">
        <v>1556</v>
      </c>
      <c r="G755" s="21">
        <v>0</v>
      </c>
      <c r="H755" s="21">
        <v>0</v>
      </c>
      <c r="I755" s="14" t="s">
        <v>1561</v>
      </c>
      <c r="J755" s="21">
        <v>0</v>
      </c>
      <c r="K755" s="21">
        <v>0</v>
      </c>
      <c r="L755" s="24">
        <f t="shared" si="22"/>
        <v>0</v>
      </c>
    </row>
    <row r="756" spans="1:12" x14ac:dyDescent="0.25">
      <c r="A756" s="15">
        <f t="shared" si="23"/>
        <v>751</v>
      </c>
      <c r="B756" s="17">
        <v>47471</v>
      </c>
      <c r="C756" s="18" t="s">
        <v>1203</v>
      </c>
      <c r="D756" s="20" t="s">
        <v>1556</v>
      </c>
      <c r="E756" s="19">
        <v>0</v>
      </c>
      <c r="F756" s="20" t="s">
        <v>1556</v>
      </c>
      <c r="G756" s="21">
        <v>0</v>
      </c>
      <c r="H756" s="21">
        <v>0</v>
      </c>
      <c r="I756" s="14" t="s">
        <v>1561</v>
      </c>
      <c r="J756" s="21">
        <v>0</v>
      </c>
      <c r="K756" s="21">
        <v>0</v>
      </c>
      <c r="L756" s="24">
        <f t="shared" si="22"/>
        <v>0</v>
      </c>
    </row>
    <row r="757" spans="1:12" x14ac:dyDescent="0.25">
      <c r="A757" s="15">
        <f t="shared" si="23"/>
        <v>752</v>
      </c>
      <c r="B757" s="17">
        <v>47647</v>
      </c>
      <c r="C757" s="18" t="s">
        <v>750</v>
      </c>
      <c r="D757" s="20" t="s">
        <v>1556</v>
      </c>
      <c r="E757" s="19">
        <v>0</v>
      </c>
      <c r="F757" s="20" t="s">
        <v>1556</v>
      </c>
      <c r="G757" s="21">
        <v>0</v>
      </c>
      <c r="H757" s="21">
        <v>0</v>
      </c>
      <c r="I757" s="14" t="s">
        <v>1561</v>
      </c>
      <c r="J757" s="21">
        <v>0</v>
      </c>
      <c r="K757" s="21">
        <v>0</v>
      </c>
      <c r="L757" s="24">
        <f t="shared" si="22"/>
        <v>0</v>
      </c>
    </row>
    <row r="758" spans="1:12" x14ac:dyDescent="0.25">
      <c r="A758" s="15">
        <f t="shared" si="23"/>
        <v>753</v>
      </c>
      <c r="B758" s="17">
        <v>47791</v>
      </c>
      <c r="C758" s="18" t="s">
        <v>448</v>
      </c>
      <c r="D758" s="20">
        <v>15.194091799999999</v>
      </c>
      <c r="E758" s="19">
        <v>0</v>
      </c>
      <c r="F758" s="20">
        <v>15.194091799999999</v>
      </c>
      <c r="G758" s="21">
        <v>3192.7385260000001</v>
      </c>
      <c r="H758" s="21">
        <v>2290.0815539000005</v>
      </c>
      <c r="I758" s="14" t="s">
        <v>1561</v>
      </c>
      <c r="J758" s="21">
        <v>1199.7692828866207</v>
      </c>
      <c r="K758" s="21">
        <v>2811.7196045999999</v>
      </c>
      <c r="L758" s="24">
        <f t="shared" si="22"/>
        <v>0.88066078123930902</v>
      </c>
    </row>
    <row r="759" spans="1:12" x14ac:dyDescent="0.25">
      <c r="A759" s="15">
        <f t="shared" si="23"/>
        <v>754</v>
      </c>
      <c r="B759" s="17">
        <v>47959</v>
      </c>
      <c r="C759" s="18" t="s">
        <v>449</v>
      </c>
      <c r="D759" s="20" t="s">
        <v>1556</v>
      </c>
      <c r="E759" s="19">
        <v>0</v>
      </c>
      <c r="F759" s="20" t="s">
        <v>1556</v>
      </c>
      <c r="G759" s="21">
        <v>0</v>
      </c>
      <c r="H759" s="21">
        <v>0</v>
      </c>
      <c r="I759" s="14" t="s">
        <v>1561</v>
      </c>
      <c r="J759" s="21">
        <v>0</v>
      </c>
      <c r="K759" s="21">
        <v>0</v>
      </c>
      <c r="L759" s="24">
        <f t="shared" si="22"/>
        <v>0</v>
      </c>
    </row>
    <row r="760" spans="1:12" x14ac:dyDescent="0.25">
      <c r="A760" s="15">
        <f t="shared" si="23"/>
        <v>755</v>
      </c>
      <c r="B760" s="17">
        <v>47977</v>
      </c>
      <c r="C760" s="18" t="s">
        <v>751</v>
      </c>
      <c r="D760" s="20">
        <v>4.64918E-2</v>
      </c>
      <c r="E760" s="19">
        <v>0</v>
      </c>
      <c r="F760" s="20">
        <v>4.64918E-2</v>
      </c>
      <c r="G760" s="21">
        <v>24.453777400000003</v>
      </c>
      <c r="H760" s="21">
        <v>23.380677900000002</v>
      </c>
      <c r="I760" s="14" t="s">
        <v>1561</v>
      </c>
      <c r="J760" s="21">
        <v>4.8944502306146962</v>
      </c>
      <c r="K760" s="21">
        <v>24.339487200000001</v>
      </c>
      <c r="L760" s="24">
        <f t="shared" si="22"/>
        <v>0.99532627625865266</v>
      </c>
    </row>
    <row r="761" spans="1:12" x14ac:dyDescent="0.25">
      <c r="A761" s="15">
        <f t="shared" si="23"/>
        <v>756</v>
      </c>
      <c r="B761" s="17">
        <v>48106</v>
      </c>
      <c r="C761" s="18" t="s">
        <v>387</v>
      </c>
      <c r="D761" s="20" t="s">
        <v>1556</v>
      </c>
      <c r="E761" s="19">
        <v>0</v>
      </c>
      <c r="F761" s="20" t="s">
        <v>1556</v>
      </c>
      <c r="G761" s="21">
        <v>0</v>
      </c>
      <c r="H761" s="21">
        <v>0</v>
      </c>
      <c r="I761" s="14" t="s">
        <v>1561</v>
      </c>
      <c r="J761" s="21">
        <v>0</v>
      </c>
      <c r="K761" s="21">
        <v>0</v>
      </c>
      <c r="L761" s="24">
        <f t="shared" si="22"/>
        <v>0</v>
      </c>
    </row>
    <row r="762" spans="1:12" x14ac:dyDescent="0.25">
      <c r="A762" s="15">
        <f t="shared" si="23"/>
        <v>757</v>
      </c>
      <c r="B762" s="17">
        <v>48143</v>
      </c>
      <c r="C762" s="18" t="s">
        <v>450</v>
      </c>
      <c r="D762" s="20" t="s">
        <v>1556</v>
      </c>
      <c r="E762" s="19">
        <v>0</v>
      </c>
      <c r="F762" s="20" t="s">
        <v>1556</v>
      </c>
      <c r="G762" s="21">
        <v>0</v>
      </c>
      <c r="H762" s="21">
        <v>0</v>
      </c>
      <c r="I762" s="14" t="s">
        <v>1561</v>
      </c>
      <c r="J762" s="21">
        <v>0</v>
      </c>
      <c r="K762" s="21">
        <v>0</v>
      </c>
      <c r="L762" s="24">
        <f t="shared" si="22"/>
        <v>0</v>
      </c>
    </row>
    <row r="763" spans="1:12" x14ac:dyDescent="0.25">
      <c r="A763" s="15">
        <f t="shared" si="23"/>
        <v>758</v>
      </c>
      <c r="B763" s="17">
        <v>48392</v>
      </c>
      <c r="C763" s="18" t="s">
        <v>1204</v>
      </c>
      <c r="D763" s="20" t="s">
        <v>1556</v>
      </c>
      <c r="E763" s="19">
        <v>0</v>
      </c>
      <c r="F763" s="20" t="s">
        <v>1556</v>
      </c>
      <c r="G763" s="21">
        <v>2.0396844999999999</v>
      </c>
      <c r="H763" s="21">
        <v>0.10995710000000021</v>
      </c>
      <c r="I763" s="14" t="s">
        <v>1561</v>
      </c>
      <c r="J763" s="21">
        <v>6.5703738440860221E-2</v>
      </c>
      <c r="K763" s="21">
        <v>0</v>
      </c>
      <c r="L763" s="24">
        <f t="shared" si="22"/>
        <v>0</v>
      </c>
    </row>
    <row r="764" spans="1:12" x14ac:dyDescent="0.25">
      <c r="A764" s="15">
        <f t="shared" si="23"/>
        <v>759</v>
      </c>
      <c r="B764" s="17">
        <v>48614</v>
      </c>
      <c r="C764" s="18" t="s">
        <v>1205</v>
      </c>
      <c r="D764" s="20" t="s">
        <v>1556</v>
      </c>
      <c r="E764" s="19">
        <v>0</v>
      </c>
      <c r="F764" s="20" t="s">
        <v>1556</v>
      </c>
      <c r="G764" s="21">
        <v>0</v>
      </c>
      <c r="H764" s="21">
        <v>0</v>
      </c>
      <c r="I764" s="14" t="s">
        <v>1561</v>
      </c>
      <c r="J764" s="21">
        <v>0</v>
      </c>
      <c r="K764" s="21">
        <v>0</v>
      </c>
      <c r="L764" s="24">
        <f t="shared" si="22"/>
        <v>0</v>
      </c>
    </row>
    <row r="765" spans="1:12" x14ac:dyDescent="0.25">
      <c r="A765" s="15">
        <f t="shared" si="23"/>
        <v>760</v>
      </c>
      <c r="B765" s="17">
        <v>48944</v>
      </c>
      <c r="C765" s="18" t="s">
        <v>1206</v>
      </c>
      <c r="D765" s="20" t="s">
        <v>1556</v>
      </c>
      <c r="E765" s="19">
        <v>0</v>
      </c>
      <c r="F765" s="20" t="s">
        <v>1556</v>
      </c>
      <c r="G765" s="21">
        <v>0</v>
      </c>
      <c r="H765" s="21">
        <v>0</v>
      </c>
      <c r="I765" s="14" t="s">
        <v>1561</v>
      </c>
      <c r="J765" s="21">
        <v>0</v>
      </c>
      <c r="K765" s="21">
        <v>0</v>
      </c>
      <c r="L765" s="24">
        <f t="shared" si="22"/>
        <v>0</v>
      </c>
    </row>
    <row r="766" spans="1:12" x14ac:dyDescent="0.25">
      <c r="A766" s="15">
        <f t="shared" si="23"/>
        <v>761</v>
      </c>
      <c r="B766" s="17">
        <v>48991</v>
      </c>
      <c r="C766" s="18" t="s">
        <v>303</v>
      </c>
      <c r="D766" s="20" t="s">
        <v>1556</v>
      </c>
      <c r="E766" s="19">
        <v>0</v>
      </c>
      <c r="F766" s="20" t="s">
        <v>1556</v>
      </c>
      <c r="G766" s="21">
        <v>0</v>
      </c>
      <c r="H766" s="21">
        <v>0</v>
      </c>
      <c r="I766" s="14" t="s">
        <v>1561</v>
      </c>
      <c r="J766" s="21">
        <v>0</v>
      </c>
      <c r="K766" s="21">
        <v>0</v>
      </c>
      <c r="L766" s="24">
        <f t="shared" si="22"/>
        <v>0</v>
      </c>
    </row>
    <row r="767" spans="1:12" x14ac:dyDescent="0.25">
      <c r="A767" s="15">
        <f t="shared" si="23"/>
        <v>762</v>
      </c>
      <c r="B767" s="17">
        <v>49025</v>
      </c>
      <c r="C767" s="18" t="s">
        <v>1207</v>
      </c>
      <c r="D767" s="20" t="s">
        <v>1556</v>
      </c>
      <c r="E767" s="19">
        <v>0</v>
      </c>
      <c r="F767" s="20" t="s">
        <v>1556</v>
      </c>
      <c r="G767" s="21">
        <v>0</v>
      </c>
      <c r="H767" s="21">
        <v>0</v>
      </c>
      <c r="I767" s="14" t="s">
        <v>1561</v>
      </c>
      <c r="J767" s="21">
        <v>0</v>
      </c>
      <c r="K767" s="21">
        <v>0</v>
      </c>
      <c r="L767" s="24">
        <f t="shared" si="22"/>
        <v>0</v>
      </c>
    </row>
    <row r="768" spans="1:12" x14ac:dyDescent="0.25">
      <c r="A768" s="15">
        <f t="shared" si="23"/>
        <v>763</v>
      </c>
      <c r="B768" s="17">
        <v>49091</v>
      </c>
      <c r="C768" s="18" t="s">
        <v>1208</v>
      </c>
      <c r="D768" s="20">
        <v>4.0784630999999996</v>
      </c>
      <c r="E768" s="19">
        <v>0</v>
      </c>
      <c r="F768" s="20">
        <v>4.0784630999999996</v>
      </c>
      <c r="G768" s="21">
        <v>324.60409950000002</v>
      </c>
      <c r="H768" s="21">
        <v>324.60409950000002</v>
      </c>
      <c r="I768" s="14" t="s">
        <v>1561</v>
      </c>
      <c r="J768" s="21">
        <v>286.52721852826653</v>
      </c>
      <c r="K768" s="21">
        <v>384.19560229999996</v>
      </c>
      <c r="L768" s="24">
        <f t="shared" si="22"/>
        <v>1.1835821016795258</v>
      </c>
    </row>
    <row r="769" spans="1:12" x14ac:dyDescent="0.25">
      <c r="A769" s="15">
        <f t="shared" si="23"/>
        <v>764</v>
      </c>
      <c r="B769" s="17">
        <v>49094</v>
      </c>
      <c r="C769" s="18" t="s">
        <v>752</v>
      </c>
      <c r="D769" s="20">
        <v>4.70683E-2</v>
      </c>
      <c r="E769" s="19">
        <v>0</v>
      </c>
      <c r="F769" s="20">
        <v>4.70683E-2</v>
      </c>
      <c r="G769" s="21">
        <v>0</v>
      </c>
      <c r="H769" s="21">
        <v>0</v>
      </c>
      <c r="I769" s="14" t="s">
        <v>1561</v>
      </c>
      <c r="J769" s="21">
        <v>13.601777877301434</v>
      </c>
      <c r="K769" s="21">
        <v>15.288561899999999</v>
      </c>
      <c r="L769" s="24">
        <f t="shared" si="22"/>
        <v>0</v>
      </c>
    </row>
    <row r="770" spans="1:12" x14ac:dyDescent="0.25">
      <c r="A770" s="15">
        <f t="shared" si="23"/>
        <v>765</v>
      </c>
      <c r="B770" s="17">
        <v>49236</v>
      </c>
      <c r="C770" s="18" t="s">
        <v>121</v>
      </c>
      <c r="D770" s="20">
        <v>2.7074999999999998E-3</v>
      </c>
      <c r="E770" s="19">
        <v>0</v>
      </c>
      <c r="F770" s="20">
        <v>2.7074999999999998E-3</v>
      </c>
      <c r="G770" s="21">
        <v>0</v>
      </c>
      <c r="H770" s="21">
        <v>0</v>
      </c>
      <c r="I770" s="14" t="s">
        <v>1561</v>
      </c>
      <c r="J770" s="21">
        <v>0.46236659792670259</v>
      </c>
      <c r="K770" s="21">
        <v>0.5108859</v>
      </c>
      <c r="L770" s="24">
        <f t="shared" si="22"/>
        <v>0</v>
      </c>
    </row>
    <row r="771" spans="1:12" x14ac:dyDescent="0.25">
      <c r="A771" s="15">
        <f t="shared" si="23"/>
        <v>766</v>
      </c>
      <c r="B771" s="17">
        <v>49626</v>
      </c>
      <c r="C771" s="18" t="s">
        <v>122</v>
      </c>
      <c r="D771" s="20" t="s">
        <v>1556</v>
      </c>
      <c r="E771" s="19">
        <v>0</v>
      </c>
      <c r="F771" s="20" t="s">
        <v>1556</v>
      </c>
      <c r="G771" s="21">
        <v>0</v>
      </c>
      <c r="H771" s="21">
        <v>0</v>
      </c>
      <c r="I771" s="14" t="s">
        <v>1561</v>
      </c>
      <c r="J771" s="21">
        <v>0</v>
      </c>
      <c r="K771" s="21">
        <v>0</v>
      </c>
      <c r="L771" s="24">
        <f t="shared" si="22"/>
        <v>0</v>
      </c>
    </row>
    <row r="772" spans="1:12" x14ac:dyDescent="0.25">
      <c r="A772" s="15">
        <f t="shared" si="23"/>
        <v>767</v>
      </c>
      <c r="B772" s="17">
        <v>49639</v>
      </c>
      <c r="C772" s="18" t="s">
        <v>1209</v>
      </c>
      <c r="D772" s="20">
        <v>1.5165999999999999E-3</v>
      </c>
      <c r="E772" s="19">
        <v>0</v>
      </c>
      <c r="F772" s="20">
        <v>1.5165999999999999E-3</v>
      </c>
      <c r="G772" s="21">
        <v>25.378731200000001</v>
      </c>
      <c r="H772" s="21">
        <v>25.378731200000001</v>
      </c>
      <c r="I772" s="14" t="s">
        <v>1561</v>
      </c>
      <c r="J772" s="21">
        <v>1.3243479841499999</v>
      </c>
      <c r="K772" s="21">
        <v>26.9237392</v>
      </c>
      <c r="L772" s="24">
        <f t="shared" si="22"/>
        <v>1.0608780631239751</v>
      </c>
    </row>
    <row r="773" spans="1:12" x14ac:dyDescent="0.25">
      <c r="A773" s="15">
        <f t="shared" si="23"/>
        <v>768</v>
      </c>
      <c r="B773" s="17">
        <v>49675</v>
      </c>
      <c r="C773" s="18" t="s">
        <v>1210</v>
      </c>
      <c r="D773" s="20" t="s">
        <v>1556</v>
      </c>
      <c r="E773" s="19">
        <v>0</v>
      </c>
      <c r="F773" s="20" t="s">
        <v>1556</v>
      </c>
      <c r="G773" s="21">
        <v>0</v>
      </c>
      <c r="H773" s="21">
        <v>0</v>
      </c>
      <c r="I773" s="14" t="s">
        <v>1561</v>
      </c>
      <c r="J773" s="21">
        <v>0</v>
      </c>
      <c r="K773" s="21">
        <v>0</v>
      </c>
      <c r="L773" s="24">
        <f t="shared" si="22"/>
        <v>0</v>
      </c>
    </row>
    <row r="774" spans="1:12" x14ac:dyDescent="0.25">
      <c r="A774" s="15">
        <f t="shared" si="23"/>
        <v>769</v>
      </c>
      <c r="B774" s="17">
        <v>49702</v>
      </c>
      <c r="C774" s="18" t="s">
        <v>1211</v>
      </c>
      <c r="D774" s="20" t="s">
        <v>1556</v>
      </c>
      <c r="E774" s="19">
        <v>0</v>
      </c>
      <c r="F774" s="20" t="s">
        <v>1556</v>
      </c>
      <c r="G774" s="21">
        <v>0</v>
      </c>
      <c r="H774" s="21">
        <v>0</v>
      </c>
      <c r="I774" s="14" t="s">
        <v>1561</v>
      </c>
      <c r="J774" s="21">
        <v>0</v>
      </c>
      <c r="K774" s="21">
        <v>0</v>
      </c>
      <c r="L774" s="24">
        <f t="shared" si="22"/>
        <v>0</v>
      </c>
    </row>
    <row r="775" spans="1:12" x14ac:dyDescent="0.25">
      <c r="A775" s="15">
        <f t="shared" si="23"/>
        <v>770</v>
      </c>
      <c r="B775" s="17">
        <v>49705</v>
      </c>
      <c r="C775" s="18" t="s">
        <v>753</v>
      </c>
      <c r="D775" s="20">
        <v>12.456586100000001</v>
      </c>
      <c r="E775" s="19">
        <v>0</v>
      </c>
      <c r="F775" s="20">
        <v>12.456586100000001</v>
      </c>
      <c r="G775" s="21">
        <v>2361.9004645</v>
      </c>
      <c r="H775" s="21">
        <v>1766.3702744999998</v>
      </c>
      <c r="I775" s="14" t="s">
        <v>1561</v>
      </c>
      <c r="J775" s="21">
        <v>877.12831566027273</v>
      </c>
      <c r="K775" s="21">
        <v>2083.9031605999999</v>
      </c>
      <c r="L775" s="24">
        <f t="shared" ref="L775:L838" si="24">+IFERROR(K775/G775,0)</f>
        <v>0.88229931443836251</v>
      </c>
    </row>
    <row r="776" spans="1:12" x14ac:dyDescent="0.25">
      <c r="A776" s="15">
        <f t="shared" ref="A776:A839" si="25">A775+1</f>
        <v>771</v>
      </c>
      <c r="B776" s="17">
        <v>49710</v>
      </c>
      <c r="C776" s="18" t="s">
        <v>1212</v>
      </c>
      <c r="D776" s="20" t="s">
        <v>1556</v>
      </c>
      <c r="E776" s="19">
        <v>0</v>
      </c>
      <c r="F776" s="20" t="s">
        <v>1556</v>
      </c>
      <c r="G776" s="21">
        <v>0</v>
      </c>
      <c r="H776" s="21">
        <v>0</v>
      </c>
      <c r="I776" s="14" t="s">
        <v>1561</v>
      </c>
      <c r="J776" s="21">
        <v>0</v>
      </c>
      <c r="K776" s="21">
        <v>0</v>
      </c>
      <c r="L776" s="24">
        <f t="shared" si="24"/>
        <v>0</v>
      </c>
    </row>
    <row r="777" spans="1:12" x14ac:dyDescent="0.25">
      <c r="A777" s="15">
        <f t="shared" si="25"/>
        <v>772</v>
      </c>
      <c r="B777" s="17">
        <v>49884</v>
      </c>
      <c r="C777" s="18" t="s">
        <v>1213</v>
      </c>
      <c r="D777" s="20" t="s">
        <v>1556</v>
      </c>
      <c r="E777" s="19">
        <v>0</v>
      </c>
      <c r="F777" s="20" t="s">
        <v>1556</v>
      </c>
      <c r="G777" s="21">
        <v>0</v>
      </c>
      <c r="H777" s="21">
        <v>0</v>
      </c>
      <c r="I777" s="14" t="s">
        <v>1561</v>
      </c>
      <c r="J777" s="21">
        <v>0</v>
      </c>
      <c r="K777" s="21">
        <v>0</v>
      </c>
      <c r="L777" s="24">
        <f t="shared" si="24"/>
        <v>0</v>
      </c>
    </row>
    <row r="778" spans="1:12" x14ac:dyDescent="0.25">
      <c r="A778" s="15">
        <f t="shared" si="25"/>
        <v>773</v>
      </c>
      <c r="B778" s="17">
        <v>49891</v>
      </c>
      <c r="C778" s="18" t="s">
        <v>1214</v>
      </c>
      <c r="D778" s="20">
        <v>1.5008989000000001</v>
      </c>
      <c r="E778" s="19">
        <v>0</v>
      </c>
      <c r="F778" s="20">
        <v>1.5008989000000001</v>
      </c>
      <c r="G778" s="21">
        <v>261.09694489999998</v>
      </c>
      <c r="H778" s="21">
        <v>261.07840060000001</v>
      </c>
      <c r="I778" s="14" t="s">
        <v>1561</v>
      </c>
      <c r="J778" s="21">
        <v>125.53928768168929</v>
      </c>
      <c r="K778" s="21">
        <v>280.03010890000002</v>
      </c>
      <c r="L778" s="24">
        <f t="shared" si="24"/>
        <v>1.072513923926806</v>
      </c>
    </row>
    <row r="779" spans="1:12" x14ac:dyDescent="0.25">
      <c r="A779" s="15">
        <f t="shared" si="25"/>
        <v>774</v>
      </c>
      <c r="B779" s="17">
        <v>49898</v>
      </c>
      <c r="C779" s="18" t="s">
        <v>754</v>
      </c>
      <c r="D779" s="20">
        <v>3.0700000000000001E-5</v>
      </c>
      <c r="E779" s="19">
        <v>0</v>
      </c>
      <c r="F779" s="20">
        <v>3.0700000000000001E-5</v>
      </c>
      <c r="G779" s="21">
        <v>4.99975E-2</v>
      </c>
      <c r="H779" s="21">
        <v>4.99975E-2</v>
      </c>
      <c r="I779" s="14" t="s">
        <v>1561</v>
      </c>
      <c r="J779" s="21">
        <v>1.6638618492204302E-2</v>
      </c>
      <c r="K779" s="21">
        <v>5.0639999999999998E-2</v>
      </c>
      <c r="L779" s="24">
        <f t="shared" si="24"/>
        <v>1.0128506425321266</v>
      </c>
    </row>
    <row r="780" spans="1:12" x14ac:dyDescent="0.25">
      <c r="A780" s="15">
        <f t="shared" si="25"/>
        <v>775</v>
      </c>
      <c r="B780" s="17">
        <v>50041</v>
      </c>
      <c r="C780" s="18" t="s">
        <v>304</v>
      </c>
      <c r="D780" s="20" t="s">
        <v>1556</v>
      </c>
      <c r="E780" s="19">
        <v>0</v>
      </c>
      <c r="F780" s="20" t="s">
        <v>1556</v>
      </c>
      <c r="G780" s="21">
        <v>0</v>
      </c>
      <c r="H780" s="21">
        <v>0</v>
      </c>
      <c r="I780" s="14" t="s">
        <v>1561</v>
      </c>
      <c r="J780" s="21">
        <v>0.17363399263539428</v>
      </c>
      <c r="K780" s="21">
        <v>0.1862471</v>
      </c>
      <c r="L780" s="24">
        <f t="shared" si="24"/>
        <v>0</v>
      </c>
    </row>
    <row r="781" spans="1:12" x14ac:dyDescent="0.25">
      <c r="A781" s="15">
        <f t="shared" si="25"/>
        <v>776</v>
      </c>
      <c r="B781" s="17">
        <v>50043</v>
      </c>
      <c r="C781" s="18" t="s">
        <v>755</v>
      </c>
      <c r="D781" s="20">
        <v>9.6675800000000006E-2</v>
      </c>
      <c r="E781" s="19">
        <v>0</v>
      </c>
      <c r="F781" s="20">
        <v>9.6675800000000006E-2</v>
      </c>
      <c r="G781" s="21">
        <v>28.878556</v>
      </c>
      <c r="H781" s="21">
        <v>26.470248700000003</v>
      </c>
      <c r="I781" s="14" t="s">
        <v>1561</v>
      </c>
      <c r="J781" s="21">
        <v>10.088809769881543</v>
      </c>
      <c r="K781" s="21">
        <v>27.400267899999999</v>
      </c>
      <c r="L781" s="24">
        <f t="shared" si="24"/>
        <v>0.94881017942863899</v>
      </c>
    </row>
    <row r="782" spans="1:12" x14ac:dyDescent="0.25">
      <c r="A782" s="15">
        <f t="shared" si="25"/>
        <v>777</v>
      </c>
      <c r="B782" s="17">
        <v>50105</v>
      </c>
      <c r="C782" s="18" t="s">
        <v>1215</v>
      </c>
      <c r="D782" s="20" t="s">
        <v>1556</v>
      </c>
      <c r="E782" s="19">
        <v>0</v>
      </c>
      <c r="F782" s="20" t="s">
        <v>1556</v>
      </c>
      <c r="G782" s="21">
        <v>0</v>
      </c>
      <c r="H782" s="21">
        <v>0</v>
      </c>
      <c r="I782" s="14" t="s">
        <v>1561</v>
      </c>
      <c r="J782" s="21">
        <v>0</v>
      </c>
      <c r="K782" s="21">
        <v>0</v>
      </c>
      <c r="L782" s="24">
        <f t="shared" si="24"/>
        <v>0</v>
      </c>
    </row>
    <row r="783" spans="1:12" x14ac:dyDescent="0.25">
      <c r="A783" s="15">
        <f t="shared" si="25"/>
        <v>778</v>
      </c>
      <c r="B783" s="17">
        <v>50106</v>
      </c>
      <c r="C783" s="18" t="s">
        <v>1216</v>
      </c>
      <c r="D783" s="20">
        <v>7.8408500000000006E-2</v>
      </c>
      <c r="E783" s="19">
        <v>0</v>
      </c>
      <c r="F783" s="20">
        <v>7.8408500000000006E-2</v>
      </c>
      <c r="G783" s="21">
        <v>127.81240150000001</v>
      </c>
      <c r="H783" s="21">
        <v>105.58336960000001</v>
      </c>
      <c r="I783" s="14" t="s">
        <v>1561</v>
      </c>
      <c r="J783" s="21">
        <v>16.672250852067748</v>
      </c>
      <c r="K783" s="21">
        <v>111.97018960000001</v>
      </c>
      <c r="L783" s="24">
        <f t="shared" si="24"/>
        <v>0.87605105831612129</v>
      </c>
    </row>
    <row r="784" spans="1:12" x14ac:dyDescent="0.25">
      <c r="A784" s="15">
        <f t="shared" si="25"/>
        <v>779</v>
      </c>
      <c r="B784" s="17">
        <v>50197</v>
      </c>
      <c r="C784" s="18" t="s">
        <v>451</v>
      </c>
      <c r="D784" s="20">
        <v>2.8234599999999999</v>
      </c>
      <c r="E784" s="19">
        <v>0</v>
      </c>
      <c r="F784" s="20">
        <v>2.8234599999999999</v>
      </c>
      <c r="G784" s="21">
        <v>366.15169280000003</v>
      </c>
      <c r="H784" s="21">
        <v>366.15169280000003</v>
      </c>
      <c r="I784" s="14" t="s">
        <v>1561</v>
      </c>
      <c r="J784" s="21">
        <v>189.42572511164929</v>
      </c>
      <c r="K784" s="21">
        <v>407.46159229999995</v>
      </c>
      <c r="L784" s="24">
        <f t="shared" si="24"/>
        <v>1.1128218176026958</v>
      </c>
    </row>
    <row r="785" spans="1:12" x14ac:dyDescent="0.25">
      <c r="A785" s="15">
        <f t="shared" si="25"/>
        <v>780</v>
      </c>
      <c r="B785" s="17">
        <v>50627</v>
      </c>
      <c r="C785" s="18" t="s">
        <v>1217</v>
      </c>
      <c r="D785" s="20">
        <v>1.3781385000000002</v>
      </c>
      <c r="E785" s="19">
        <v>0</v>
      </c>
      <c r="F785" s="20">
        <v>1.3781385000000002</v>
      </c>
      <c r="G785" s="21">
        <v>228.52956570000001</v>
      </c>
      <c r="H785" s="21">
        <v>187.09142890000001</v>
      </c>
      <c r="I785" s="14" t="s">
        <v>1561</v>
      </c>
      <c r="J785" s="21">
        <v>115.57431343804473</v>
      </c>
      <c r="K785" s="21">
        <v>232.28540050000001</v>
      </c>
      <c r="L785" s="24">
        <f t="shared" si="24"/>
        <v>1.0164347872823178</v>
      </c>
    </row>
    <row r="786" spans="1:12" x14ac:dyDescent="0.25">
      <c r="A786" s="15">
        <f t="shared" si="25"/>
        <v>781</v>
      </c>
      <c r="B786" s="17">
        <v>50636</v>
      </c>
      <c r="C786" s="18" t="s">
        <v>150</v>
      </c>
      <c r="D786" s="20" t="s">
        <v>1556</v>
      </c>
      <c r="E786" s="19">
        <v>0</v>
      </c>
      <c r="F786" s="20" t="s">
        <v>1556</v>
      </c>
      <c r="G786" s="21">
        <v>0</v>
      </c>
      <c r="H786" s="21">
        <v>0</v>
      </c>
      <c r="I786" s="14" t="s">
        <v>1561</v>
      </c>
      <c r="J786" s="21">
        <v>0</v>
      </c>
      <c r="K786" s="21">
        <v>0</v>
      </c>
      <c r="L786" s="24">
        <f t="shared" si="24"/>
        <v>0</v>
      </c>
    </row>
    <row r="787" spans="1:12" x14ac:dyDescent="0.25">
      <c r="A787" s="15">
        <f t="shared" si="25"/>
        <v>782</v>
      </c>
      <c r="B787" s="17">
        <v>50760</v>
      </c>
      <c r="C787" s="18" t="s">
        <v>452</v>
      </c>
      <c r="D787" s="20" t="s">
        <v>1556</v>
      </c>
      <c r="E787" s="19">
        <v>0</v>
      </c>
      <c r="F787" s="20" t="s">
        <v>1556</v>
      </c>
      <c r="G787" s="21">
        <v>0</v>
      </c>
      <c r="H787" s="21">
        <v>0</v>
      </c>
      <c r="I787" s="14" t="s">
        <v>1561</v>
      </c>
      <c r="J787" s="21">
        <v>0</v>
      </c>
      <c r="K787" s="21">
        <v>0</v>
      </c>
      <c r="L787" s="24">
        <f t="shared" si="24"/>
        <v>0</v>
      </c>
    </row>
    <row r="788" spans="1:12" x14ac:dyDescent="0.25">
      <c r="A788" s="15">
        <f t="shared" si="25"/>
        <v>783</v>
      </c>
      <c r="B788" s="17">
        <v>50867</v>
      </c>
      <c r="C788" s="18" t="s">
        <v>1218</v>
      </c>
      <c r="D788" s="20" t="s">
        <v>1556</v>
      </c>
      <c r="E788" s="19">
        <v>0</v>
      </c>
      <c r="F788" s="20" t="s">
        <v>1556</v>
      </c>
      <c r="G788" s="21">
        <v>0</v>
      </c>
      <c r="H788" s="21">
        <v>0</v>
      </c>
      <c r="I788" s="14" t="s">
        <v>1561</v>
      </c>
      <c r="J788" s="21">
        <v>0</v>
      </c>
      <c r="K788" s="21">
        <v>0</v>
      </c>
      <c r="L788" s="24">
        <f t="shared" si="24"/>
        <v>0</v>
      </c>
    </row>
    <row r="789" spans="1:12" x14ac:dyDescent="0.25">
      <c r="A789" s="15">
        <f t="shared" si="25"/>
        <v>784</v>
      </c>
      <c r="B789" s="17">
        <v>50917</v>
      </c>
      <c r="C789" s="18" t="s">
        <v>1219</v>
      </c>
      <c r="D789" s="20" t="s">
        <v>1556</v>
      </c>
      <c r="E789" s="19">
        <v>0</v>
      </c>
      <c r="F789" s="20" t="s">
        <v>1556</v>
      </c>
      <c r="G789" s="21">
        <v>0</v>
      </c>
      <c r="H789" s="21">
        <v>0</v>
      </c>
      <c r="I789" s="14" t="s">
        <v>1561</v>
      </c>
      <c r="J789" s="21">
        <v>0</v>
      </c>
      <c r="K789" s="21">
        <v>0</v>
      </c>
      <c r="L789" s="24">
        <f t="shared" si="24"/>
        <v>0</v>
      </c>
    </row>
    <row r="790" spans="1:12" x14ac:dyDescent="0.25">
      <c r="A790" s="15">
        <f t="shared" si="25"/>
        <v>785</v>
      </c>
      <c r="B790" s="17">
        <v>50927</v>
      </c>
      <c r="C790" s="18" t="s">
        <v>1220</v>
      </c>
      <c r="D790" s="20" t="s">
        <v>1556</v>
      </c>
      <c r="E790" s="19">
        <v>0</v>
      </c>
      <c r="F790" s="20" t="s">
        <v>1556</v>
      </c>
      <c r="G790" s="21">
        <v>0</v>
      </c>
      <c r="H790" s="21">
        <v>0</v>
      </c>
      <c r="I790" s="14" t="s">
        <v>1561</v>
      </c>
      <c r="J790" s="21">
        <v>0</v>
      </c>
      <c r="K790" s="21">
        <v>0</v>
      </c>
      <c r="L790" s="24">
        <f t="shared" si="24"/>
        <v>0</v>
      </c>
    </row>
    <row r="791" spans="1:12" x14ac:dyDescent="0.25">
      <c r="A791" s="15">
        <f t="shared" si="25"/>
        <v>786</v>
      </c>
      <c r="B791" s="17">
        <v>50995</v>
      </c>
      <c r="C791" s="18" t="s">
        <v>453</v>
      </c>
      <c r="D791" s="20" t="s">
        <v>1556</v>
      </c>
      <c r="E791" s="19">
        <v>0</v>
      </c>
      <c r="F791" s="20" t="s">
        <v>1556</v>
      </c>
      <c r="G791" s="21">
        <v>0</v>
      </c>
      <c r="H791" s="21">
        <v>0</v>
      </c>
      <c r="I791" s="14" t="s">
        <v>1561</v>
      </c>
      <c r="J791" s="21">
        <v>0</v>
      </c>
      <c r="K791" s="21">
        <v>0</v>
      </c>
      <c r="L791" s="24">
        <f t="shared" si="24"/>
        <v>0</v>
      </c>
    </row>
    <row r="792" spans="1:12" x14ac:dyDescent="0.25">
      <c r="A792" s="15">
        <f t="shared" si="25"/>
        <v>787</v>
      </c>
      <c r="B792" s="17">
        <v>51004</v>
      </c>
      <c r="C792" s="18" t="s">
        <v>1221</v>
      </c>
      <c r="D792" s="20">
        <v>5.5229500000000001E-2</v>
      </c>
      <c r="E792" s="19">
        <v>0</v>
      </c>
      <c r="F792" s="20">
        <v>5.5229500000000001E-2</v>
      </c>
      <c r="G792" s="21">
        <v>2.8498575000000002</v>
      </c>
      <c r="H792" s="21">
        <v>2.8498575000000002</v>
      </c>
      <c r="I792" s="14" t="s">
        <v>1561</v>
      </c>
      <c r="J792" s="21">
        <v>3.4160920284836012</v>
      </c>
      <c r="K792" s="21">
        <v>5.6540236999999998</v>
      </c>
      <c r="L792" s="24">
        <f t="shared" si="24"/>
        <v>1.9839671632704441</v>
      </c>
    </row>
    <row r="793" spans="1:12" x14ac:dyDescent="0.25">
      <c r="A793" s="15">
        <f t="shared" si="25"/>
        <v>788</v>
      </c>
      <c r="B793" s="17">
        <v>51053</v>
      </c>
      <c r="C793" s="18" t="s">
        <v>756</v>
      </c>
      <c r="D793" s="20">
        <v>2.1824000000000001E-3</v>
      </c>
      <c r="E793" s="19">
        <v>0</v>
      </c>
      <c r="F793" s="20">
        <v>2.1824000000000001E-3</v>
      </c>
      <c r="G793" s="21">
        <v>35.082245899999997</v>
      </c>
      <c r="H793" s="21">
        <v>34.748245900000001</v>
      </c>
      <c r="I793" s="14" t="s">
        <v>1561</v>
      </c>
      <c r="J793" s="21">
        <v>2.2433525652500008</v>
      </c>
      <c r="K793" s="21">
        <v>35.857769900000001</v>
      </c>
      <c r="L793" s="24">
        <f t="shared" si="24"/>
        <v>1.0221058823374818</v>
      </c>
    </row>
    <row r="794" spans="1:12" x14ac:dyDescent="0.25">
      <c r="A794" s="15">
        <f t="shared" si="25"/>
        <v>789</v>
      </c>
      <c r="B794" s="17">
        <v>51179</v>
      </c>
      <c r="C794" s="18" t="s">
        <v>1222</v>
      </c>
      <c r="D794" s="20" t="s">
        <v>1556</v>
      </c>
      <c r="E794" s="19">
        <v>0</v>
      </c>
      <c r="F794" s="20" t="s">
        <v>1556</v>
      </c>
      <c r="G794" s="21">
        <v>4.9097546000000003</v>
      </c>
      <c r="H794" s="21">
        <v>4.9097546000000003</v>
      </c>
      <c r="I794" s="14" t="s">
        <v>1561</v>
      </c>
      <c r="J794" s="21">
        <v>1.3926012982755376</v>
      </c>
      <c r="K794" s="21">
        <v>4.9762724</v>
      </c>
      <c r="L794" s="24">
        <f t="shared" si="24"/>
        <v>1.0135480905705552</v>
      </c>
    </row>
    <row r="795" spans="1:12" x14ac:dyDescent="0.25">
      <c r="A795" s="15">
        <f t="shared" si="25"/>
        <v>790</v>
      </c>
      <c r="B795" s="17">
        <v>51229</v>
      </c>
      <c r="C795" s="18" t="s">
        <v>1223</v>
      </c>
      <c r="D795" s="20" t="s">
        <v>1556</v>
      </c>
      <c r="E795" s="19">
        <v>0</v>
      </c>
      <c r="F795" s="20" t="s">
        <v>1556</v>
      </c>
      <c r="G795" s="21">
        <v>0</v>
      </c>
      <c r="H795" s="21">
        <v>0</v>
      </c>
      <c r="I795" s="14" t="s">
        <v>1561</v>
      </c>
      <c r="J795" s="21">
        <v>0</v>
      </c>
      <c r="K795" s="21">
        <v>0</v>
      </c>
      <c r="L795" s="24">
        <f t="shared" si="24"/>
        <v>0</v>
      </c>
    </row>
    <row r="796" spans="1:12" x14ac:dyDescent="0.25">
      <c r="A796" s="15">
        <f t="shared" si="25"/>
        <v>791</v>
      </c>
      <c r="B796" s="17">
        <v>51268</v>
      </c>
      <c r="C796" s="18" t="s">
        <v>305</v>
      </c>
      <c r="D796" s="20" t="s">
        <v>1556</v>
      </c>
      <c r="E796" s="19">
        <v>0</v>
      </c>
      <c r="F796" s="20" t="s">
        <v>1556</v>
      </c>
      <c r="G796" s="21">
        <v>0</v>
      </c>
      <c r="H796" s="21">
        <v>0</v>
      </c>
      <c r="I796" s="14" t="s">
        <v>1561</v>
      </c>
      <c r="J796" s="21">
        <v>0</v>
      </c>
      <c r="K796" s="21">
        <v>0</v>
      </c>
      <c r="L796" s="24">
        <f t="shared" si="24"/>
        <v>0</v>
      </c>
    </row>
    <row r="797" spans="1:12" x14ac:dyDescent="0.25">
      <c r="A797" s="15">
        <f t="shared" si="25"/>
        <v>792</v>
      </c>
      <c r="B797" s="17">
        <v>51289</v>
      </c>
      <c r="C797" s="18" t="s">
        <v>225</v>
      </c>
      <c r="D797" s="20" t="s">
        <v>1556</v>
      </c>
      <c r="E797" s="19">
        <v>0</v>
      </c>
      <c r="F797" s="20" t="s">
        <v>1556</v>
      </c>
      <c r="G797" s="21">
        <v>11.0494494</v>
      </c>
      <c r="H797" s="21">
        <v>11.0494494</v>
      </c>
      <c r="I797" s="14" t="s">
        <v>1561</v>
      </c>
      <c r="J797" s="21">
        <v>1.2564356108525987</v>
      </c>
      <c r="K797" s="21">
        <v>11.9842876</v>
      </c>
      <c r="L797" s="24">
        <f t="shared" si="24"/>
        <v>1.0846049577818782</v>
      </c>
    </row>
    <row r="798" spans="1:12" x14ac:dyDescent="0.25">
      <c r="A798" s="15">
        <f t="shared" si="25"/>
        <v>793</v>
      </c>
      <c r="B798" s="17">
        <v>51487</v>
      </c>
      <c r="C798" s="18" t="s">
        <v>123</v>
      </c>
      <c r="D798" s="20">
        <v>4.4021700000000004E-2</v>
      </c>
      <c r="E798" s="19">
        <v>0</v>
      </c>
      <c r="F798" s="20">
        <v>4.4021700000000004E-2</v>
      </c>
      <c r="G798" s="21">
        <v>1013.8490274</v>
      </c>
      <c r="H798" s="21">
        <v>987.73835949999989</v>
      </c>
      <c r="I798" s="14" t="s">
        <v>1561</v>
      </c>
      <c r="J798" s="21">
        <v>64.289445878630104</v>
      </c>
      <c r="K798" s="21">
        <v>1062.3398477999999</v>
      </c>
      <c r="L798" s="24">
        <f t="shared" si="24"/>
        <v>1.0478284429826341</v>
      </c>
    </row>
    <row r="799" spans="1:12" x14ac:dyDescent="0.25">
      <c r="A799" s="15">
        <f t="shared" si="25"/>
        <v>794</v>
      </c>
      <c r="B799" s="17">
        <v>51634</v>
      </c>
      <c r="C799" s="18" t="s">
        <v>757</v>
      </c>
      <c r="D799" s="20" t="s">
        <v>1556</v>
      </c>
      <c r="E799" s="19">
        <v>0</v>
      </c>
      <c r="F799" s="20" t="s">
        <v>1556</v>
      </c>
      <c r="G799" s="21">
        <v>0.57597120000000002</v>
      </c>
      <c r="H799" s="21">
        <v>0.57597120000000002</v>
      </c>
      <c r="I799" s="14" t="s">
        <v>1561</v>
      </c>
      <c r="J799" s="21">
        <v>9.6178925849999999E-2</v>
      </c>
      <c r="K799" s="21">
        <v>0.61029339999999999</v>
      </c>
      <c r="L799" s="24">
        <f t="shared" si="24"/>
        <v>1.0595901322843919</v>
      </c>
    </row>
    <row r="800" spans="1:12" x14ac:dyDescent="0.25">
      <c r="A800" s="15">
        <f t="shared" si="25"/>
        <v>795</v>
      </c>
      <c r="B800" s="17">
        <v>51665</v>
      </c>
      <c r="C800" s="18" t="s">
        <v>1224</v>
      </c>
      <c r="D800" s="20">
        <v>0.18552259999999998</v>
      </c>
      <c r="E800" s="19">
        <v>0</v>
      </c>
      <c r="F800" s="20">
        <v>0.18552259999999998</v>
      </c>
      <c r="G800" s="21">
        <v>98.080021500000001</v>
      </c>
      <c r="H800" s="21">
        <v>87.642839400000014</v>
      </c>
      <c r="I800" s="14" t="s">
        <v>1561</v>
      </c>
      <c r="J800" s="21">
        <v>22.217856496382439</v>
      </c>
      <c r="K800" s="21">
        <v>92.872996199999989</v>
      </c>
      <c r="L800" s="24">
        <f t="shared" si="24"/>
        <v>0.94691043883998316</v>
      </c>
    </row>
    <row r="801" spans="1:12" x14ac:dyDescent="0.25">
      <c r="A801" s="15">
        <f t="shared" si="25"/>
        <v>796</v>
      </c>
      <c r="B801" s="17">
        <v>51701</v>
      </c>
      <c r="C801" s="18" t="s">
        <v>1225</v>
      </c>
      <c r="D801" s="20">
        <v>4.9479999999999999E-4</v>
      </c>
      <c r="E801" s="19">
        <v>0</v>
      </c>
      <c r="F801" s="20">
        <v>4.9479999999999999E-4</v>
      </c>
      <c r="G801" s="21">
        <v>7.499625</v>
      </c>
      <c r="H801" s="21">
        <v>7.499625</v>
      </c>
      <c r="I801" s="14" t="s">
        <v>1561</v>
      </c>
      <c r="J801" s="21">
        <v>0.38387309189166668</v>
      </c>
      <c r="K801" s="21">
        <v>8.0437828000000007</v>
      </c>
      <c r="L801" s="24">
        <f t="shared" si="24"/>
        <v>1.0725580012333951</v>
      </c>
    </row>
    <row r="802" spans="1:12" x14ac:dyDescent="0.25">
      <c r="A802" s="15">
        <f t="shared" si="25"/>
        <v>797</v>
      </c>
      <c r="B802" s="17">
        <v>51729</v>
      </c>
      <c r="C802" s="18" t="s">
        <v>1226</v>
      </c>
      <c r="D802" s="20" t="s">
        <v>1556</v>
      </c>
      <c r="E802" s="19">
        <v>0</v>
      </c>
      <c r="F802" s="20" t="s">
        <v>1556</v>
      </c>
      <c r="G802" s="21">
        <v>0</v>
      </c>
      <c r="H802" s="21">
        <v>0</v>
      </c>
      <c r="I802" s="14" t="s">
        <v>1561</v>
      </c>
      <c r="J802" s="21">
        <v>0</v>
      </c>
      <c r="K802" s="21">
        <v>0</v>
      </c>
      <c r="L802" s="24">
        <f t="shared" si="24"/>
        <v>0</v>
      </c>
    </row>
    <row r="803" spans="1:12" x14ac:dyDescent="0.25">
      <c r="A803" s="15">
        <f t="shared" si="25"/>
        <v>798</v>
      </c>
      <c r="B803" s="17">
        <v>51806</v>
      </c>
      <c r="C803" s="18" t="s">
        <v>758</v>
      </c>
      <c r="D803" s="20" t="s">
        <v>1556</v>
      </c>
      <c r="E803" s="19">
        <v>0</v>
      </c>
      <c r="F803" s="20" t="s">
        <v>1556</v>
      </c>
      <c r="G803" s="21">
        <v>0</v>
      </c>
      <c r="H803" s="21">
        <v>0</v>
      </c>
      <c r="I803" s="14" t="s">
        <v>1561</v>
      </c>
      <c r="J803" s="21">
        <v>0</v>
      </c>
      <c r="K803" s="21">
        <v>0</v>
      </c>
      <c r="L803" s="24">
        <f t="shared" si="24"/>
        <v>0</v>
      </c>
    </row>
    <row r="804" spans="1:12" x14ac:dyDescent="0.25">
      <c r="A804" s="15">
        <f t="shared" si="25"/>
        <v>799</v>
      </c>
      <c r="B804" s="17">
        <v>51873</v>
      </c>
      <c r="C804" s="18" t="s">
        <v>1227</v>
      </c>
      <c r="D804" s="20" t="s">
        <v>1556</v>
      </c>
      <c r="E804" s="19">
        <v>0</v>
      </c>
      <c r="F804" s="20" t="s">
        <v>1556</v>
      </c>
      <c r="G804" s="21">
        <v>0</v>
      </c>
      <c r="H804" s="21">
        <v>0</v>
      </c>
      <c r="I804" s="14" t="s">
        <v>1561</v>
      </c>
      <c r="J804" s="21">
        <v>0</v>
      </c>
      <c r="K804" s="21">
        <v>0</v>
      </c>
      <c r="L804" s="24">
        <f t="shared" si="24"/>
        <v>0</v>
      </c>
    </row>
    <row r="805" spans="1:12" x14ac:dyDescent="0.25">
      <c r="A805" s="15">
        <f t="shared" si="25"/>
        <v>800</v>
      </c>
      <c r="B805" s="17">
        <v>51903</v>
      </c>
      <c r="C805" s="18" t="s">
        <v>759</v>
      </c>
      <c r="D805" s="20" t="s">
        <v>1556</v>
      </c>
      <c r="E805" s="19">
        <v>0</v>
      </c>
      <c r="F805" s="20" t="s">
        <v>1556</v>
      </c>
      <c r="G805" s="21">
        <v>0</v>
      </c>
      <c r="H805" s="21">
        <v>0</v>
      </c>
      <c r="I805" s="14" t="s">
        <v>1561</v>
      </c>
      <c r="J805" s="21">
        <v>0</v>
      </c>
      <c r="K805" s="21">
        <v>0</v>
      </c>
      <c r="L805" s="24">
        <f t="shared" si="24"/>
        <v>0</v>
      </c>
    </row>
    <row r="806" spans="1:12" x14ac:dyDescent="0.25">
      <c r="A806" s="15">
        <f t="shared" si="25"/>
        <v>801</v>
      </c>
      <c r="B806" s="17">
        <v>52018</v>
      </c>
      <c r="C806" s="18" t="s">
        <v>454</v>
      </c>
      <c r="D806" s="20">
        <v>0.63237500000000002</v>
      </c>
      <c r="E806" s="19">
        <v>0</v>
      </c>
      <c r="F806" s="20">
        <v>0.63237500000000002</v>
      </c>
      <c r="G806" s="21">
        <v>256.32384500000001</v>
      </c>
      <c r="H806" s="21">
        <v>195.75114020000001</v>
      </c>
      <c r="I806" s="14" t="s">
        <v>1561</v>
      </c>
      <c r="J806" s="21">
        <v>60.417909269853503</v>
      </c>
      <c r="K806" s="21">
        <v>204.2609593</v>
      </c>
      <c r="L806" s="24">
        <f t="shared" si="24"/>
        <v>0.7968862955375845</v>
      </c>
    </row>
    <row r="807" spans="1:12" x14ac:dyDescent="0.25">
      <c r="A807" s="15">
        <f t="shared" si="25"/>
        <v>802</v>
      </c>
      <c r="B807" s="17">
        <v>52416</v>
      </c>
      <c r="C807" s="18" t="s">
        <v>1228</v>
      </c>
      <c r="D807" s="20" t="s">
        <v>1556</v>
      </c>
      <c r="E807" s="19">
        <v>0</v>
      </c>
      <c r="F807" s="20" t="s">
        <v>1556</v>
      </c>
      <c r="G807" s="21">
        <v>0</v>
      </c>
      <c r="H807" s="21">
        <v>0</v>
      </c>
      <c r="I807" s="14" t="s">
        <v>1561</v>
      </c>
      <c r="J807" s="21">
        <v>0</v>
      </c>
      <c r="K807" s="21">
        <v>0</v>
      </c>
      <c r="L807" s="24">
        <f t="shared" si="24"/>
        <v>0</v>
      </c>
    </row>
    <row r="808" spans="1:12" x14ac:dyDescent="0.25">
      <c r="A808" s="15">
        <f t="shared" si="25"/>
        <v>803</v>
      </c>
      <c r="B808" s="17">
        <v>52431</v>
      </c>
      <c r="C808" s="18" t="s">
        <v>1229</v>
      </c>
      <c r="D808" s="20" t="s">
        <v>1556</v>
      </c>
      <c r="E808" s="19">
        <v>0</v>
      </c>
      <c r="F808" s="20" t="s">
        <v>1556</v>
      </c>
      <c r="G808" s="21">
        <v>0</v>
      </c>
      <c r="H808" s="21">
        <v>0</v>
      </c>
      <c r="I808" s="14" t="s">
        <v>1561</v>
      </c>
      <c r="J808" s="21">
        <v>0</v>
      </c>
      <c r="K808" s="21">
        <v>0</v>
      </c>
      <c r="L808" s="24">
        <f t="shared" si="24"/>
        <v>0</v>
      </c>
    </row>
    <row r="809" spans="1:12" x14ac:dyDescent="0.25">
      <c r="A809" s="15">
        <f t="shared" si="25"/>
        <v>804</v>
      </c>
      <c r="B809" s="17">
        <v>52466</v>
      </c>
      <c r="C809" s="18" t="s">
        <v>388</v>
      </c>
      <c r="D809" s="20">
        <v>0.10565200000000001</v>
      </c>
      <c r="E809" s="19">
        <v>0</v>
      </c>
      <c r="F809" s="20">
        <v>0.10565200000000001</v>
      </c>
      <c r="G809" s="21">
        <v>9.9795018999999989</v>
      </c>
      <c r="H809" s="21">
        <v>9.9795018999999989</v>
      </c>
      <c r="I809" s="14" t="s">
        <v>1561</v>
      </c>
      <c r="J809" s="21">
        <v>7.8091911593761658</v>
      </c>
      <c r="K809" s="21">
        <v>11.490711599999999</v>
      </c>
      <c r="L809" s="24">
        <f t="shared" si="24"/>
        <v>1.151431375547912</v>
      </c>
    </row>
    <row r="810" spans="1:12" x14ac:dyDescent="0.25">
      <c r="A810" s="15">
        <f t="shared" si="25"/>
        <v>805</v>
      </c>
      <c r="B810" s="17">
        <v>52619</v>
      </c>
      <c r="C810" s="18" t="s">
        <v>760</v>
      </c>
      <c r="D810" s="20" t="s">
        <v>1556</v>
      </c>
      <c r="E810" s="19">
        <v>0</v>
      </c>
      <c r="F810" s="20" t="s">
        <v>1556</v>
      </c>
      <c r="G810" s="21">
        <v>0</v>
      </c>
      <c r="H810" s="21">
        <v>0</v>
      </c>
      <c r="I810" s="14" t="s">
        <v>1561</v>
      </c>
      <c r="J810" s="21">
        <v>0</v>
      </c>
      <c r="K810" s="21">
        <v>0</v>
      </c>
      <c r="L810" s="24">
        <f t="shared" si="24"/>
        <v>0</v>
      </c>
    </row>
    <row r="811" spans="1:12" x14ac:dyDescent="0.25">
      <c r="A811" s="15">
        <f t="shared" si="25"/>
        <v>806</v>
      </c>
      <c r="B811" s="17">
        <v>52825</v>
      </c>
      <c r="C811" s="18" t="s">
        <v>389</v>
      </c>
      <c r="D811" s="20" t="s">
        <v>1556</v>
      </c>
      <c r="E811" s="19">
        <v>0</v>
      </c>
      <c r="F811" s="20" t="s">
        <v>1556</v>
      </c>
      <c r="G811" s="21">
        <v>4.4947755000000003</v>
      </c>
      <c r="H811" s="21">
        <v>4.4947755000000003</v>
      </c>
      <c r="I811" s="14" t="s">
        <v>1561</v>
      </c>
      <c r="J811" s="21">
        <v>0.85669862865224011</v>
      </c>
      <c r="K811" s="21">
        <v>4.6110043999999997</v>
      </c>
      <c r="L811" s="24">
        <f t="shared" si="24"/>
        <v>1.0258586663560838</v>
      </c>
    </row>
    <row r="812" spans="1:12" x14ac:dyDescent="0.25">
      <c r="A812" s="15">
        <f t="shared" si="25"/>
        <v>807</v>
      </c>
      <c r="B812" s="17">
        <v>52872</v>
      </c>
      <c r="C812" s="18" t="s">
        <v>226</v>
      </c>
      <c r="D812" s="20">
        <v>1.582E-4</v>
      </c>
      <c r="E812" s="19">
        <v>0</v>
      </c>
      <c r="F812" s="20">
        <v>1.582E-4</v>
      </c>
      <c r="G812" s="21">
        <v>0.99995000000000001</v>
      </c>
      <c r="H812" s="21">
        <v>0.99995000000000001</v>
      </c>
      <c r="I812" s="14" t="s">
        <v>1561</v>
      </c>
      <c r="J812" s="21">
        <v>7.2958029049999998E-2</v>
      </c>
      <c r="K812" s="21">
        <v>1.0468933</v>
      </c>
      <c r="L812" s="24">
        <f t="shared" si="24"/>
        <v>1.0469456472823642</v>
      </c>
    </row>
    <row r="813" spans="1:12" x14ac:dyDescent="0.25">
      <c r="A813" s="15">
        <f t="shared" si="25"/>
        <v>808</v>
      </c>
      <c r="B813" s="17">
        <v>52880</v>
      </c>
      <c r="C813" s="18" t="s">
        <v>455</v>
      </c>
      <c r="D813" s="20" t="s">
        <v>1556</v>
      </c>
      <c r="E813" s="19">
        <v>0</v>
      </c>
      <c r="F813" s="20" t="s">
        <v>1556</v>
      </c>
      <c r="G813" s="21">
        <v>0</v>
      </c>
      <c r="H813" s="21">
        <v>0</v>
      </c>
      <c r="I813" s="14" t="s">
        <v>1561</v>
      </c>
      <c r="J813" s="21">
        <v>0</v>
      </c>
      <c r="K813" s="21">
        <v>0</v>
      </c>
      <c r="L813" s="24">
        <f t="shared" si="24"/>
        <v>0</v>
      </c>
    </row>
    <row r="814" spans="1:12" x14ac:dyDescent="0.25">
      <c r="A814" s="15">
        <f t="shared" si="25"/>
        <v>809</v>
      </c>
      <c r="B814" s="17">
        <v>52902</v>
      </c>
      <c r="C814" s="18" t="s">
        <v>390</v>
      </c>
      <c r="D814" s="20" t="s">
        <v>1556</v>
      </c>
      <c r="E814" s="19">
        <v>0</v>
      </c>
      <c r="F814" s="20" t="s">
        <v>1556</v>
      </c>
      <c r="G814" s="21">
        <v>9.9995000000000001E-2</v>
      </c>
      <c r="H814" s="21">
        <v>9.9995000000000001E-2</v>
      </c>
      <c r="I814" s="14" t="s">
        <v>1561</v>
      </c>
      <c r="J814" s="21">
        <v>1.9017069916666665E-3</v>
      </c>
      <c r="K814" s="21">
        <v>0.102812</v>
      </c>
      <c r="L814" s="24">
        <f t="shared" si="24"/>
        <v>1.0281714085704285</v>
      </c>
    </row>
    <row r="815" spans="1:12" x14ac:dyDescent="0.25">
      <c r="A815" s="15">
        <f t="shared" si="25"/>
        <v>810</v>
      </c>
      <c r="B815" s="17">
        <v>52978</v>
      </c>
      <c r="C815" s="18" t="s">
        <v>761</v>
      </c>
      <c r="D815" s="20">
        <v>8.5619200000000006E-2</v>
      </c>
      <c r="E815" s="19">
        <v>0</v>
      </c>
      <c r="F815" s="20">
        <v>8.5619200000000006E-2</v>
      </c>
      <c r="G815" s="21">
        <v>17.7776526</v>
      </c>
      <c r="H815" s="21">
        <v>12.380372700000001</v>
      </c>
      <c r="I815" s="14" t="s">
        <v>1561</v>
      </c>
      <c r="J815" s="21">
        <v>9.9788680866451624</v>
      </c>
      <c r="K815" s="21">
        <v>15.980431399999999</v>
      </c>
      <c r="L815" s="24">
        <f t="shared" si="24"/>
        <v>0.8989055956690255</v>
      </c>
    </row>
    <row r="816" spans="1:12" x14ac:dyDescent="0.25">
      <c r="A816" s="15">
        <f t="shared" si="25"/>
        <v>811</v>
      </c>
      <c r="B816" s="17">
        <v>53308</v>
      </c>
      <c r="C816" s="18" t="s">
        <v>124</v>
      </c>
      <c r="D816" s="20" t="s">
        <v>1556</v>
      </c>
      <c r="E816" s="19">
        <v>0</v>
      </c>
      <c r="F816" s="20" t="s">
        <v>1556</v>
      </c>
      <c r="G816" s="21">
        <v>0</v>
      </c>
      <c r="H816" s="21">
        <v>0</v>
      </c>
      <c r="I816" s="14" t="s">
        <v>1561</v>
      </c>
      <c r="J816" s="21">
        <v>0</v>
      </c>
      <c r="K816" s="21">
        <v>0</v>
      </c>
      <c r="L816" s="24">
        <f t="shared" si="24"/>
        <v>0</v>
      </c>
    </row>
    <row r="817" spans="1:12" x14ac:dyDescent="0.25">
      <c r="A817" s="15">
        <f t="shared" si="25"/>
        <v>812</v>
      </c>
      <c r="B817" s="17">
        <v>53330</v>
      </c>
      <c r="C817" s="18" t="s">
        <v>1230</v>
      </c>
      <c r="D817" s="20">
        <v>6.5569000000000009E-3</v>
      </c>
      <c r="E817" s="19">
        <v>0</v>
      </c>
      <c r="F817" s="20">
        <v>6.5569000000000009E-3</v>
      </c>
      <c r="G817" s="21">
        <v>0.79996</v>
      </c>
      <c r="H817" s="21">
        <v>0.79996</v>
      </c>
      <c r="I817" s="14" t="s">
        <v>1561</v>
      </c>
      <c r="J817" s="21">
        <v>0.30060115842016127</v>
      </c>
      <c r="K817" s="21">
        <v>0.8019191</v>
      </c>
      <c r="L817" s="24">
        <f t="shared" si="24"/>
        <v>1.0024489974498725</v>
      </c>
    </row>
    <row r="818" spans="1:12" x14ac:dyDescent="0.25">
      <c r="A818" s="15">
        <f t="shared" si="25"/>
        <v>813</v>
      </c>
      <c r="B818" s="17">
        <v>53378</v>
      </c>
      <c r="C818" s="18" t="s">
        <v>306</v>
      </c>
      <c r="D818" s="20">
        <v>1.5181296</v>
      </c>
      <c r="E818" s="19">
        <v>0</v>
      </c>
      <c r="F818" s="20">
        <v>1.5181296</v>
      </c>
      <c r="G818" s="21">
        <v>294.5452722</v>
      </c>
      <c r="H818" s="21">
        <v>285.29237669999998</v>
      </c>
      <c r="I818" s="14" t="s">
        <v>1561</v>
      </c>
      <c r="J818" s="21">
        <v>106.07712084868851</v>
      </c>
      <c r="K818" s="21">
        <v>303.1100581</v>
      </c>
      <c r="L818" s="24">
        <f t="shared" si="24"/>
        <v>1.0290779948224205</v>
      </c>
    </row>
    <row r="819" spans="1:12" x14ac:dyDescent="0.25">
      <c r="A819" s="15">
        <f t="shared" si="25"/>
        <v>814</v>
      </c>
      <c r="B819" s="17">
        <v>53437</v>
      </c>
      <c r="C819" s="18" t="s">
        <v>1231</v>
      </c>
      <c r="D819" s="20" t="s">
        <v>1556</v>
      </c>
      <c r="E819" s="19">
        <v>0</v>
      </c>
      <c r="F819" s="20" t="s">
        <v>1556</v>
      </c>
      <c r="G819" s="21">
        <v>0</v>
      </c>
      <c r="H819" s="21">
        <v>0</v>
      </c>
      <c r="I819" s="14" t="s">
        <v>1561</v>
      </c>
      <c r="J819" s="21">
        <v>0</v>
      </c>
      <c r="K819" s="21">
        <v>0</v>
      </c>
      <c r="L819" s="24">
        <f t="shared" si="24"/>
        <v>0</v>
      </c>
    </row>
    <row r="820" spans="1:12" x14ac:dyDescent="0.25">
      <c r="A820" s="15">
        <f t="shared" si="25"/>
        <v>815</v>
      </c>
      <c r="B820" s="17">
        <v>53552</v>
      </c>
      <c r="C820" s="18" t="s">
        <v>762</v>
      </c>
      <c r="D820" s="20" t="s">
        <v>1556</v>
      </c>
      <c r="E820" s="19">
        <v>0</v>
      </c>
      <c r="F820" s="20" t="s">
        <v>1556</v>
      </c>
      <c r="G820" s="21">
        <v>0</v>
      </c>
      <c r="H820" s="21">
        <v>0</v>
      </c>
      <c r="I820" s="14" t="s">
        <v>1561</v>
      </c>
      <c r="J820" s="21">
        <v>0</v>
      </c>
      <c r="K820" s="21">
        <v>0</v>
      </c>
      <c r="L820" s="24">
        <f t="shared" si="24"/>
        <v>0</v>
      </c>
    </row>
    <row r="821" spans="1:12" x14ac:dyDescent="0.25">
      <c r="A821" s="15">
        <f t="shared" si="25"/>
        <v>816</v>
      </c>
      <c r="B821" s="17">
        <v>53956</v>
      </c>
      <c r="C821" s="18" t="s">
        <v>125</v>
      </c>
      <c r="D821" s="20" t="s">
        <v>1556</v>
      </c>
      <c r="E821" s="19">
        <v>0</v>
      </c>
      <c r="F821" s="20" t="s">
        <v>1556</v>
      </c>
      <c r="G821" s="21">
        <v>0</v>
      </c>
      <c r="H821" s="21">
        <v>0</v>
      </c>
      <c r="I821" s="14" t="s">
        <v>1561</v>
      </c>
      <c r="J821" s="21">
        <v>0</v>
      </c>
      <c r="K821" s="21">
        <v>0</v>
      </c>
      <c r="L821" s="24">
        <f t="shared" si="24"/>
        <v>0</v>
      </c>
    </row>
    <row r="822" spans="1:12" x14ac:dyDescent="0.25">
      <c r="A822" s="15">
        <f t="shared" si="25"/>
        <v>817</v>
      </c>
      <c r="B822" s="17">
        <v>54466</v>
      </c>
      <c r="C822" s="18" t="s">
        <v>1232</v>
      </c>
      <c r="D822" s="20">
        <v>0.48705559999999998</v>
      </c>
      <c r="E822" s="19">
        <v>0</v>
      </c>
      <c r="F822" s="20">
        <v>0.48705559999999998</v>
      </c>
      <c r="G822" s="21">
        <v>44.547772500000001</v>
      </c>
      <c r="H822" s="21">
        <v>44.547772500000001</v>
      </c>
      <c r="I822" s="14" t="s">
        <v>1561</v>
      </c>
      <c r="J822" s="21">
        <v>33.791020160188438</v>
      </c>
      <c r="K822" s="21">
        <v>53.3352425</v>
      </c>
      <c r="L822" s="24">
        <f t="shared" si="24"/>
        <v>1.1972594701564483</v>
      </c>
    </row>
    <row r="823" spans="1:12" x14ac:dyDescent="0.25">
      <c r="A823" s="15">
        <f t="shared" si="25"/>
        <v>818</v>
      </c>
      <c r="B823" s="17">
        <v>54504</v>
      </c>
      <c r="C823" s="18" t="s">
        <v>1233</v>
      </c>
      <c r="D823" s="20">
        <v>0.74424020000000002</v>
      </c>
      <c r="E823" s="19">
        <v>0</v>
      </c>
      <c r="F823" s="20">
        <v>0.74424020000000002</v>
      </c>
      <c r="G823" s="21">
        <v>92.350384399999996</v>
      </c>
      <c r="H823" s="21">
        <v>92.105097400000005</v>
      </c>
      <c r="I823" s="14" t="s">
        <v>1561</v>
      </c>
      <c r="J823" s="21">
        <v>52.389671019112136</v>
      </c>
      <c r="K823" s="21">
        <v>102.6535203</v>
      </c>
      <c r="L823" s="24">
        <f t="shared" si="24"/>
        <v>1.1115657067043025</v>
      </c>
    </row>
    <row r="824" spans="1:12" x14ac:dyDescent="0.25">
      <c r="A824" s="15">
        <f t="shared" si="25"/>
        <v>819</v>
      </c>
      <c r="B824" s="17">
        <v>54840</v>
      </c>
      <c r="C824" s="18" t="s">
        <v>763</v>
      </c>
      <c r="D824" s="20" t="s">
        <v>1556</v>
      </c>
      <c r="E824" s="19">
        <v>0</v>
      </c>
      <c r="F824" s="20" t="s">
        <v>1556</v>
      </c>
      <c r="G824" s="21">
        <v>0</v>
      </c>
      <c r="H824" s="21">
        <v>0</v>
      </c>
      <c r="I824" s="14" t="s">
        <v>1561</v>
      </c>
      <c r="J824" s="21">
        <v>0</v>
      </c>
      <c r="K824" s="21">
        <v>0</v>
      </c>
      <c r="L824" s="24">
        <f t="shared" si="24"/>
        <v>0</v>
      </c>
    </row>
    <row r="825" spans="1:12" x14ac:dyDescent="0.25">
      <c r="A825" s="15">
        <f t="shared" si="25"/>
        <v>820</v>
      </c>
      <c r="B825" s="17">
        <v>54846</v>
      </c>
      <c r="C825" s="18" t="s">
        <v>456</v>
      </c>
      <c r="D825" s="20" t="s">
        <v>1556</v>
      </c>
      <c r="E825" s="19">
        <v>0</v>
      </c>
      <c r="F825" s="20" t="s">
        <v>1556</v>
      </c>
      <c r="G825" s="21">
        <v>0</v>
      </c>
      <c r="H825" s="21">
        <v>0</v>
      </c>
      <c r="I825" s="14" t="s">
        <v>1561</v>
      </c>
      <c r="J825" s="21">
        <v>0</v>
      </c>
      <c r="K825" s="21">
        <v>0</v>
      </c>
      <c r="L825" s="24">
        <f t="shared" si="24"/>
        <v>0</v>
      </c>
    </row>
    <row r="826" spans="1:12" x14ac:dyDescent="0.25">
      <c r="A826" s="15">
        <f t="shared" si="25"/>
        <v>821</v>
      </c>
      <c r="B826" s="17">
        <v>55274</v>
      </c>
      <c r="C826" s="18" t="s">
        <v>764</v>
      </c>
      <c r="D826" s="20" t="s">
        <v>1556</v>
      </c>
      <c r="E826" s="19">
        <v>0</v>
      </c>
      <c r="F826" s="20" t="s">
        <v>1556</v>
      </c>
      <c r="G826" s="21">
        <v>0</v>
      </c>
      <c r="H826" s="21">
        <v>0</v>
      </c>
      <c r="I826" s="14" t="s">
        <v>1561</v>
      </c>
      <c r="J826" s="21">
        <v>0</v>
      </c>
      <c r="K826" s="21">
        <v>0</v>
      </c>
      <c r="L826" s="24">
        <f t="shared" si="24"/>
        <v>0</v>
      </c>
    </row>
    <row r="827" spans="1:12" x14ac:dyDescent="0.25">
      <c r="A827" s="15">
        <f t="shared" si="25"/>
        <v>822</v>
      </c>
      <c r="B827" s="17">
        <v>55275</v>
      </c>
      <c r="C827" s="18" t="s">
        <v>765</v>
      </c>
      <c r="D827" s="20" t="s">
        <v>1556</v>
      </c>
      <c r="E827" s="19">
        <v>0</v>
      </c>
      <c r="F827" s="20" t="s">
        <v>1556</v>
      </c>
      <c r="G827" s="21">
        <v>0</v>
      </c>
      <c r="H827" s="21">
        <v>0</v>
      </c>
      <c r="I827" s="14" t="s">
        <v>1561</v>
      </c>
      <c r="J827" s="21">
        <v>0</v>
      </c>
      <c r="K827" s="21">
        <v>0</v>
      </c>
      <c r="L827" s="24">
        <f t="shared" si="24"/>
        <v>0</v>
      </c>
    </row>
    <row r="828" spans="1:12" x14ac:dyDescent="0.25">
      <c r="A828" s="15">
        <f t="shared" si="25"/>
        <v>823</v>
      </c>
      <c r="B828" s="17">
        <v>55372</v>
      </c>
      <c r="C828" s="18" t="s">
        <v>766</v>
      </c>
      <c r="D828" s="20" t="s">
        <v>1556</v>
      </c>
      <c r="E828" s="19">
        <v>0</v>
      </c>
      <c r="F828" s="20" t="s">
        <v>1556</v>
      </c>
      <c r="G828" s="21">
        <v>0</v>
      </c>
      <c r="H828" s="21">
        <v>0</v>
      </c>
      <c r="I828" s="14" t="s">
        <v>1561</v>
      </c>
      <c r="J828" s="21">
        <v>0</v>
      </c>
      <c r="K828" s="21">
        <v>0</v>
      </c>
      <c r="L828" s="24">
        <f t="shared" si="24"/>
        <v>0</v>
      </c>
    </row>
    <row r="829" spans="1:12" x14ac:dyDescent="0.25">
      <c r="A829" s="15">
        <f t="shared" si="25"/>
        <v>824</v>
      </c>
      <c r="B829" s="17">
        <v>55500</v>
      </c>
      <c r="C829" s="18" t="s">
        <v>767</v>
      </c>
      <c r="D829" s="20" t="s">
        <v>1556</v>
      </c>
      <c r="E829" s="19">
        <v>0</v>
      </c>
      <c r="F829" s="20" t="s">
        <v>1556</v>
      </c>
      <c r="G829" s="21">
        <v>0</v>
      </c>
      <c r="H829" s="21">
        <v>0</v>
      </c>
      <c r="I829" s="14" t="s">
        <v>1561</v>
      </c>
      <c r="J829" s="21">
        <v>0</v>
      </c>
      <c r="K829" s="21">
        <v>0</v>
      </c>
      <c r="L829" s="24">
        <f t="shared" si="24"/>
        <v>0</v>
      </c>
    </row>
    <row r="830" spans="1:12" x14ac:dyDescent="0.25">
      <c r="A830" s="15">
        <f t="shared" si="25"/>
        <v>825</v>
      </c>
      <c r="B830" s="17">
        <v>55918</v>
      </c>
      <c r="C830" s="18" t="s">
        <v>1234</v>
      </c>
      <c r="D830" s="20">
        <v>0.1162374</v>
      </c>
      <c r="E830" s="19">
        <v>0</v>
      </c>
      <c r="F830" s="20">
        <v>0.1162374</v>
      </c>
      <c r="G830" s="21">
        <v>33.751814899999999</v>
      </c>
      <c r="H830" s="21">
        <v>29.821742800000003</v>
      </c>
      <c r="I830" s="14" t="s">
        <v>1561</v>
      </c>
      <c r="J830" s="21">
        <v>8.9056082653065403</v>
      </c>
      <c r="K830" s="21">
        <v>30.6448386</v>
      </c>
      <c r="L830" s="24">
        <f t="shared" si="24"/>
        <v>0.90794639312862557</v>
      </c>
    </row>
    <row r="831" spans="1:12" x14ac:dyDescent="0.25">
      <c r="A831" s="15">
        <f t="shared" si="25"/>
        <v>826</v>
      </c>
      <c r="B831" s="17">
        <v>56003</v>
      </c>
      <c r="C831" s="18" t="s">
        <v>1235</v>
      </c>
      <c r="D831" s="20" t="s">
        <v>1556</v>
      </c>
      <c r="E831" s="19">
        <v>0</v>
      </c>
      <c r="F831" s="20" t="s">
        <v>1556</v>
      </c>
      <c r="G831" s="21">
        <v>0</v>
      </c>
      <c r="H831" s="21">
        <v>0</v>
      </c>
      <c r="I831" s="14" t="s">
        <v>1561</v>
      </c>
      <c r="J831" s="21">
        <v>0</v>
      </c>
      <c r="K831" s="21">
        <v>0</v>
      </c>
      <c r="L831" s="24">
        <f t="shared" si="24"/>
        <v>0</v>
      </c>
    </row>
    <row r="832" spans="1:12" x14ac:dyDescent="0.25">
      <c r="A832" s="15">
        <f t="shared" si="25"/>
        <v>827</v>
      </c>
      <c r="B832" s="17">
        <v>56033</v>
      </c>
      <c r="C832" s="18" t="s">
        <v>307</v>
      </c>
      <c r="D832" s="20" t="s">
        <v>1556</v>
      </c>
      <c r="E832" s="19">
        <v>0</v>
      </c>
      <c r="F832" s="20" t="s">
        <v>1556</v>
      </c>
      <c r="G832" s="21">
        <v>5.0797460000000001</v>
      </c>
      <c r="H832" s="21">
        <v>5.0797460000000001</v>
      </c>
      <c r="I832" s="14" t="s">
        <v>1561</v>
      </c>
      <c r="J832" s="21">
        <v>2.7399875816666669E-2</v>
      </c>
      <c r="K832" s="21">
        <v>5.1130084</v>
      </c>
      <c r="L832" s="24">
        <f t="shared" si="24"/>
        <v>1.00654804393763</v>
      </c>
    </row>
    <row r="833" spans="1:12" x14ac:dyDescent="0.25">
      <c r="A833" s="15">
        <f t="shared" si="25"/>
        <v>828</v>
      </c>
      <c r="B833" s="17">
        <v>56421</v>
      </c>
      <c r="C833" s="18" t="s">
        <v>768</v>
      </c>
      <c r="D833" s="20">
        <v>1.6673362</v>
      </c>
      <c r="E833" s="19">
        <v>0</v>
      </c>
      <c r="F833" s="20">
        <v>1.6673362</v>
      </c>
      <c r="G833" s="21">
        <v>55.769013600000001</v>
      </c>
      <c r="H833" s="21">
        <v>47.043288800000006</v>
      </c>
      <c r="I833" s="14" t="s">
        <v>1561</v>
      </c>
      <c r="J833" s="21">
        <v>104.12342785603394</v>
      </c>
      <c r="K833" s="21">
        <v>137.52254960000002</v>
      </c>
      <c r="L833" s="24">
        <f t="shared" si="24"/>
        <v>2.4659311815405682</v>
      </c>
    </row>
    <row r="834" spans="1:12" x14ac:dyDescent="0.25">
      <c r="A834" s="15">
        <f t="shared" si="25"/>
        <v>829</v>
      </c>
      <c r="B834" s="17">
        <v>56958</v>
      </c>
      <c r="C834" s="18" t="s">
        <v>457</v>
      </c>
      <c r="D834" s="20" t="s">
        <v>1556</v>
      </c>
      <c r="E834" s="19">
        <v>0</v>
      </c>
      <c r="F834" s="20" t="s">
        <v>1556</v>
      </c>
      <c r="G834" s="21">
        <v>0</v>
      </c>
      <c r="H834" s="21">
        <v>0</v>
      </c>
      <c r="I834" s="14" t="s">
        <v>1561</v>
      </c>
      <c r="J834" s="21">
        <v>0</v>
      </c>
      <c r="K834" s="21">
        <v>0</v>
      </c>
      <c r="L834" s="24">
        <f t="shared" si="24"/>
        <v>0</v>
      </c>
    </row>
    <row r="835" spans="1:12" x14ac:dyDescent="0.25">
      <c r="A835" s="15">
        <f t="shared" si="25"/>
        <v>830</v>
      </c>
      <c r="B835" s="17">
        <v>57328</v>
      </c>
      <c r="C835" s="18" t="s">
        <v>769</v>
      </c>
      <c r="D835" s="20" t="s">
        <v>1556</v>
      </c>
      <c r="E835" s="19">
        <v>0</v>
      </c>
      <c r="F835" s="20" t="s">
        <v>1556</v>
      </c>
      <c r="G835" s="21">
        <v>0</v>
      </c>
      <c r="H835" s="21">
        <v>0</v>
      </c>
      <c r="I835" s="14" t="s">
        <v>1561</v>
      </c>
      <c r="J835" s="21">
        <v>0</v>
      </c>
      <c r="K835" s="21">
        <v>0</v>
      </c>
      <c r="L835" s="24">
        <f t="shared" si="24"/>
        <v>0</v>
      </c>
    </row>
    <row r="836" spans="1:12" x14ac:dyDescent="0.25">
      <c r="A836" s="15">
        <f t="shared" si="25"/>
        <v>831</v>
      </c>
      <c r="B836" s="17">
        <v>57584</v>
      </c>
      <c r="C836" s="18" t="s">
        <v>1236</v>
      </c>
      <c r="D836" s="20" t="s">
        <v>1556</v>
      </c>
      <c r="E836" s="19">
        <v>0</v>
      </c>
      <c r="F836" s="20" t="s">
        <v>1556</v>
      </c>
      <c r="G836" s="21">
        <v>0</v>
      </c>
      <c r="H836" s="21">
        <v>0</v>
      </c>
      <c r="I836" s="14" t="s">
        <v>1561</v>
      </c>
      <c r="J836" s="21">
        <v>0</v>
      </c>
      <c r="K836" s="21">
        <v>0</v>
      </c>
      <c r="L836" s="24">
        <f t="shared" si="24"/>
        <v>0</v>
      </c>
    </row>
    <row r="837" spans="1:12" x14ac:dyDescent="0.25">
      <c r="A837" s="15">
        <f t="shared" si="25"/>
        <v>832</v>
      </c>
      <c r="B837" s="17">
        <v>57656</v>
      </c>
      <c r="C837" s="18" t="s">
        <v>127</v>
      </c>
      <c r="D837" s="20" t="s">
        <v>1556</v>
      </c>
      <c r="E837" s="19">
        <v>0</v>
      </c>
      <c r="F837" s="20" t="s">
        <v>1556</v>
      </c>
      <c r="G837" s="21">
        <v>0.499975</v>
      </c>
      <c r="H837" s="21">
        <v>0.499975</v>
      </c>
      <c r="I837" s="14" t="s">
        <v>1561</v>
      </c>
      <c r="J837" s="21">
        <v>0.1176233764778674</v>
      </c>
      <c r="K837" s="21">
        <v>0.4979575</v>
      </c>
      <c r="L837" s="24">
        <f t="shared" si="24"/>
        <v>0.99596479823991202</v>
      </c>
    </row>
    <row r="838" spans="1:12" x14ac:dyDescent="0.25">
      <c r="A838" s="15">
        <f t="shared" si="25"/>
        <v>833</v>
      </c>
      <c r="B838" s="17">
        <v>57672</v>
      </c>
      <c r="C838" s="18" t="s">
        <v>770</v>
      </c>
      <c r="D838" s="20" t="s">
        <v>1556</v>
      </c>
      <c r="E838" s="19">
        <v>0</v>
      </c>
      <c r="F838" s="20" t="s">
        <v>1556</v>
      </c>
      <c r="G838" s="21">
        <v>0</v>
      </c>
      <c r="H838" s="21">
        <v>0</v>
      </c>
      <c r="I838" s="14" t="s">
        <v>1561</v>
      </c>
      <c r="J838" s="21">
        <v>0</v>
      </c>
      <c r="K838" s="21">
        <v>0</v>
      </c>
      <c r="L838" s="24">
        <f t="shared" si="24"/>
        <v>0</v>
      </c>
    </row>
    <row r="839" spans="1:12" x14ac:dyDescent="0.25">
      <c r="A839" s="15">
        <f t="shared" si="25"/>
        <v>834</v>
      </c>
      <c r="B839" s="17">
        <v>57682</v>
      </c>
      <c r="C839" s="18" t="s">
        <v>1237</v>
      </c>
      <c r="D839" s="20" t="s">
        <v>1556</v>
      </c>
      <c r="E839" s="19">
        <v>0</v>
      </c>
      <c r="F839" s="20" t="s">
        <v>1556</v>
      </c>
      <c r="G839" s="21">
        <v>0</v>
      </c>
      <c r="H839" s="21">
        <v>0</v>
      </c>
      <c r="I839" s="14" t="s">
        <v>1561</v>
      </c>
      <c r="J839" s="21">
        <v>0</v>
      </c>
      <c r="K839" s="21">
        <v>0</v>
      </c>
      <c r="L839" s="24">
        <f t="shared" ref="L839:L902" si="26">+IFERROR(K839/G839,0)</f>
        <v>0</v>
      </c>
    </row>
    <row r="840" spans="1:12" x14ac:dyDescent="0.25">
      <c r="A840" s="15">
        <f t="shared" ref="A840:A903" si="27">A839+1</f>
        <v>835</v>
      </c>
      <c r="B840" s="17">
        <v>57930</v>
      </c>
      <c r="C840" s="18" t="s">
        <v>128</v>
      </c>
      <c r="D840" s="20">
        <v>1.3777000000000001E-3</v>
      </c>
      <c r="E840" s="19">
        <v>0</v>
      </c>
      <c r="F840" s="20">
        <v>1.3777000000000001E-3</v>
      </c>
      <c r="G840" s="21">
        <v>11.245048400000002</v>
      </c>
      <c r="H840" s="21">
        <v>1.8029584000000007</v>
      </c>
      <c r="I840" s="14" t="s">
        <v>1561</v>
      </c>
      <c r="J840" s="21">
        <v>1.8121950813541221</v>
      </c>
      <c r="K840" s="21">
        <v>5.1742666000000002</v>
      </c>
      <c r="L840" s="24">
        <f t="shared" si="26"/>
        <v>0.46013733475793661</v>
      </c>
    </row>
    <row r="841" spans="1:12" x14ac:dyDescent="0.25">
      <c r="A841" s="15">
        <f t="shared" si="27"/>
        <v>836</v>
      </c>
      <c r="B841" s="17">
        <v>57970</v>
      </c>
      <c r="C841" s="18" t="s">
        <v>771</v>
      </c>
      <c r="D841" s="20" t="s">
        <v>1556</v>
      </c>
      <c r="E841" s="19">
        <v>0</v>
      </c>
      <c r="F841" s="20" t="s">
        <v>1556</v>
      </c>
      <c r="G841" s="21">
        <v>0</v>
      </c>
      <c r="H841" s="21">
        <v>0</v>
      </c>
      <c r="I841" s="14" t="s">
        <v>1561</v>
      </c>
      <c r="J841" s="21">
        <v>0</v>
      </c>
      <c r="K841" s="21">
        <v>0</v>
      </c>
      <c r="L841" s="24">
        <f t="shared" si="26"/>
        <v>0</v>
      </c>
    </row>
    <row r="842" spans="1:12" x14ac:dyDescent="0.25">
      <c r="A842" s="15">
        <f t="shared" si="27"/>
        <v>837</v>
      </c>
      <c r="B842" s="17">
        <v>58240</v>
      </c>
      <c r="C842" s="18" t="s">
        <v>1238</v>
      </c>
      <c r="D842" s="20">
        <v>7.0617999999999992E-3</v>
      </c>
      <c r="E842" s="19">
        <v>0</v>
      </c>
      <c r="F842" s="20">
        <v>7.0617999999999992E-3</v>
      </c>
      <c r="G842" s="21">
        <v>1.0299485000000002</v>
      </c>
      <c r="H842" s="21">
        <v>1.0299485000000002</v>
      </c>
      <c r="I842" s="14" t="s">
        <v>1561</v>
      </c>
      <c r="J842" s="21">
        <v>0.6576039870296595</v>
      </c>
      <c r="K842" s="21">
        <v>1.1461749000000001</v>
      </c>
      <c r="L842" s="24">
        <f t="shared" si="26"/>
        <v>1.1128468073889131</v>
      </c>
    </row>
    <row r="843" spans="1:12" x14ac:dyDescent="0.25">
      <c r="A843" s="15">
        <f t="shared" si="27"/>
        <v>838</v>
      </c>
      <c r="B843" s="17">
        <v>58315</v>
      </c>
      <c r="C843" s="18" t="s">
        <v>1239</v>
      </c>
      <c r="D843" s="20" t="s">
        <v>1556</v>
      </c>
      <c r="E843" s="19">
        <v>0</v>
      </c>
      <c r="F843" s="20" t="s">
        <v>1556</v>
      </c>
      <c r="G843" s="21">
        <v>4.9997499999999997</v>
      </c>
      <c r="H843" s="21">
        <v>-2.2017399999999906E-2</v>
      </c>
      <c r="I843" s="14" t="s">
        <v>1561</v>
      </c>
      <c r="J843" s="21">
        <v>0.59068390270609317</v>
      </c>
      <c r="K843" s="21">
        <v>0</v>
      </c>
      <c r="L843" s="24">
        <f t="shared" si="26"/>
        <v>0</v>
      </c>
    </row>
    <row r="844" spans="1:12" x14ac:dyDescent="0.25">
      <c r="A844" s="15">
        <f t="shared" si="27"/>
        <v>839</v>
      </c>
      <c r="B844" s="17">
        <v>58331</v>
      </c>
      <c r="C844" s="18" t="s">
        <v>458</v>
      </c>
      <c r="D844" s="20" t="s">
        <v>1556</v>
      </c>
      <c r="E844" s="19">
        <v>0</v>
      </c>
      <c r="F844" s="20" t="s">
        <v>1556</v>
      </c>
      <c r="G844" s="21">
        <v>0</v>
      </c>
      <c r="H844" s="21">
        <v>0</v>
      </c>
      <c r="I844" s="14" t="s">
        <v>1561</v>
      </c>
      <c r="J844" s="21">
        <v>0</v>
      </c>
      <c r="K844" s="21">
        <v>0</v>
      </c>
      <c r="L844" s="24">
        <f t="shared" si="26"/>
        <v>0</v>
      </c>
    </row>
    <row r="845" spans="1:12" x14ac:dyDescent="0.25">
      <c r="A845" s="15">
        <f t="shared" si="27"/>
        <v>840</v>
      </c>
      <c r="B845" s="17">
        <v>58332</v>
      </c>
      <c r="C845" s="18" t="s">
        <v>1240</v>
      </c>
      <c r="D845" s="20" t="s">
        <v>1556</v>
      </c>
      <c r="E845" s="19">
        <v>0</v>
      </c>
      <c r="F845" s="20" t="s">
        <v>1556</v>
      </c>
      <c r="G845" s="21">
        <v>0</v>
      </c>
      <c r="H845" s="21">
        <v>0</v>
      </c>
      <c r="I845" s="14" t="s">
        <v>1561</v>
      </c>
      <c r="J845" s="21">
        <v>0</v>
      </c>
      <c r="K845" s="21">
        <v>0</v>
      </c>
      <c r="L845" s="24">
        <f t="shared" si="26"/>
        <v>0</v>
      </c>
    </row>
    <row r="846" spans="1:12" x14ac:dyDescent="0.25">
      <c r="A846" s="15">
        <f t="shared" si="27"/>
        <v>841</v>
      </c>
      <c r="B846" s="17">
        <v>58607</v>
      </c>
      <c r="C846" s="18" t="s">
        <v>772</v>
      </c>
      <c r="D846" s="20" t="s">
        <v>1556</v>
      </c>
      <c r="E846" s="19">
        <v>0</v>
      </c>
      <c r="F846" s="20" t="s">
        <v>1556</v>
      </c>
      <c r="G846" s="21">
        <v>1.3999299999999999</v>
      </c>
      <c r="H846" s="21">
        <v>1.3999299999999999</v>
      </c>
      <c r="I846" s="14" t="s">
        <v>1561</v>
      </c>
      <c r="J846" s="21">
        <v>7.5386026916666659E-3</v>
      </c>
      <c r="K846" s="21">
        <v>1.4044295999999998</v>
      </c>
      <c r="L846" s="24">
        <f t="shared" si="26"/>
        <v>1.0032141607080354</v>
      </c>
    </row>
    <row r="847" spans="1:12" x14ac:dyDescent="0.25">
      <c r="A847" s="15">
        <f t="shared" si="27"/>
        <v>842</v>
      </c>
      <c r="B847" s="17">
        <v>58711</v>
      </c>
      <c r="C847" s="18" t="s">
        <v>227</v>
      </c>
      <c r="D847" s="20">
        <v>0.1810744</v>
      </c>
      <c r="E847" s="19">
        <v>0</v>
      </c>
      <c r="F847" s="20">
        <v>0.1810744</v>
      </c>
      <c r="G847" s="21">
        <v>18.4646185</v>
      </c>
      <c r="H847" s="21">
        <v>11.698894599999999</v>
      </c>
      <c r="I847" s="14" t="s">
        <v>1561</v>
      </c>
      <c r="J847" s="21">
        <v>12.364254295293012</v>
      </c>
      <c r="K847" s="21">
        <v>16.468585000000001</v>
      </c>
      <c r="L847" s="24">
        <f t="shared" si="26"/>
        <v>0.8918995537329949</v>
      </c>
    </row>
    <row r="848" spans="1:12" x14ac:dyDescent="0.25">
      <c r="A848" s="15">
        <f t="shared" si="27"/>
        <v>843</v>
      </c>
      <c r="B848" s="17">
        <v>59586</v>
      </c>
      <c r="C848" s="18" t="s">
        <v>130</v>
      </c>
      <c r="D848" s="20" t="s">
        <v>1556</v>
      </c>
      <c r="E848" s="19">
        <v>0</v>
      </c>
      <c r="F848" s="20" t="s">
        <v>1556</v>
      </c>
      <c r="G848" s="21">
        <v>0</v>
      </c>
      <c r="H848" s="21">
        <v>0</v>
      </c>
      <c r="I848" s="14" t="s">
        <v>1561</v>
      </c>
      <c r="J848" s="21">
        <v>0</v>
      </c>
      <c r="K848" s="21">
        <v>0</v>
      </c>
      <c r="L848" s="24">
        <f t="shared" si="26"/>
        <v>0</v>
      </c>
    </row>
    <row r="849" spans="1:12" x14ac:dyDescent="0.25">
      <c r="A849" s="15">
        <f t="shared" si="27"/>
        <v>844</v>
      </c>
      <c r="B849" s="17">
        <v>60100</v>
      </c>
      <c r="C849" s="18" t="s">
        <v>773</v>
      </c>
      <c r="D849" s="20" t="s">
        <v>1556</v>
      </c>
      <c r="E849" s="19">
        <v>0</v>
      </c>
      <c r="F849" s="20" t="s">
        <v>1556</v>
      </c>
      <c r="G849" s="21">
        <v>0</v>
      </c>
      <c r="H849" s="21">
        <v>0</v>
      </c>
      <c r="I849" s="14" t="s">
        <v>1561</v>
      </c>
      <c r="J849" s="21">
        <v>0</v>
      </c>
      <c r="K849" s="21">
        <v>0</v>
      </c>
      <c r="L849" s="24">
        <f t="shared" si="26"/>
        <v>0</v>
      </c>
    </row>
    <row r="850" spans="1:12" x14ac:dyDescent="0.25">
      <c r="A850" s="15">
        <f t="shared" si="27"/>
        <v>845</v>
      </c>
      <c r="B850" s="17">
        <v>60930</v>
      </c>
      <c r="C850" s="18" t="s">
        <v>132</v>
      </c>
      <c r="D850" s="20" t="s">
        <v>1556</v>
      </c>
      <c r="E850" s="19">
        <v>0</v>
      </c>
      <c r="F850" s="20" t="s">
        <v>1556</v>
      </c>
      <c r="G850" s="21">
        <v>66.546672999999998</v>
      </c>
      <c r="H850" s="21">
        <v>66.179051200000004</v>
      </c>
      <c r="I850" s="14" t="s">
        <v>1561</v>
      </c>
      <c r="J850" s="21">
        <v>16.633280737513804</v>
      </c>
      <c r="K850" s="21">
        <v>72.440243199999998</v>
      </c>
      <c r="L850" s="24">
        <f t="shared" si="26"/>
        <v>1.0885629579107583</v>
      </c>
    </row>
    <row r="851" spans="1:12" x14ac:dyDescent="0.25">
      <c r="A851" s="15">
        <f t="shared" si="27"/>
        <v>846</v>
      </c>
      <c r="B851" s="17">
        <v>60947</v>
      </c>
      <c r="C851" s="18" t="s">
        <v>459</v>
      </c>
      <c r="D851" s="20">
        <v>0.75348190000000004</v>
      </c>
      <c r="E851" s="19">
        <v>0</v>
      </c>
      <c r="F851" s="20">
        <v>0.75348190000000004</v>
      </c>
      <c r="G851" s="21">
        <v>91.903717799999995</v>
      </c>
      <c r="H851" s="21">
        <v>60.775405799999994</v>
      </c>
      <c r="I851" s="14" t="s">
        <v>1561</v>
      </c>
      <c r="J851" s="21">
        <v>50.356511698752271</v>
      </c>
      <c r="K851" s="21">
        <v>72.816345900000002</v>
      </c>
      <c r="L851" s="24">
        <f t="shared" si="26"/>
        <v>0.79231121050469633</v>
      </c>
    </row>
    <row r="852" spans="1:12" x14ac:dyDescent="0.25">
      <c r="A852" s="15">
        <f t="shared" si="27"/>
        <v>847</v>
      </c>
      <c r="B852" s="17">
        <v>61173</v>
      </c>
      <c r="C852" s="18" t="s">
        <v>391</v>
      </c>
      <c r="D852" s="20" t="s">
        <v>1556</v>
      </c>
      <c r="E852" s="19">
        <v>0</v>
      </c>
      <c r="F852" s="20" t="s">
        <v>1556</v>
      </c>
      <c r="G852" s="21">
        <v>0</v>
      </c>
      <c r="H852" s="21">
        <v>0</v>
      </c>
      <c r="I852" s="14" t="s">
        <v>1561</v>
      </c>
      <c r="J852" s="21">
        <v>0</v>
      </c>
      <c r="K852" s="21">
        <v>0</v>
      </c>
      <c r="L852" s="24">
        <f t="shared" si="26"/>
        <v>0</v>
      </c>
    </row>
    <row r="853" spans="1:12" x14ac:dyDescent="0.25">
      <c r="A853" s="15">
        <f t="shared" si="27"/>
        <v>848</v>
      </c>
      <c r="B853" s="17">
        <v>62180</v>
      </c>
      <c r="C853" s="18" t="s">
        <v>1241</v>
      </c>
      <c r="D853" s="20" t="s">
        <v>1556</v>
      </c>
      <c r="E853" s="19">
        <v>0</v>
      </c>
      <c r="F853" s="20" t="s">
        <v>1556</v>
      </c>
      <c r="G853" s="21">
        <v>0</v>
      </c>
      <c r="H853" s="21">
        <v>0</v>
      </c>
      <c r="I853" s="14" t="s">
        <v>1561</v>
      </c>
      <c r="J853" s="21">
        <v>0</v>
      </c>
      <c r="K853" s="21">
        <v>0</v>
      </c>
      <c r="L853" s="24">
        <f t="shared" si="26"/>
        <v>0</v>
      </c>
    </row>
    <row r="854" spans="1:12" x14ac:dyDescent="0.25">
      <c r="A854" s="15">
        <f t="shared" si="27"/>
        <v>849</v>
      </c>
      <c r="B854" s="17">
        <v>62301</v>
      </c>
      <c r="C854" s="18" t="s">
        <v>1242</v>
      </c>
      <c r="D854" s="20" t="s">
        <v>1556</v>
      </c>
      <c r="E854" s="19">
        <v>0</v>
      </c>
      <c r="F854" s="20" t="s">
        <v>1556</v>
      </c>
      <c r="G854" s="21">
        <v>0</v>
      </c>
      <c r="H854" s="21">
        <v>0</v>
      </c>
      <c r="I854" s="14" t="s">
        <v>1561</v>
      </c>
      <c r="J854" s="21">
        <v>0</v>
      </c>
      <c r="K854" s="21">
        <v>0</v>
      </c>
      <c r="L854" s="24">
        <f t="shared" si="26"/>
        <v>0</v>
      </c>
    </row>
    <row r="855" spans="1:12" x14ac:dyDescent="0.25">
      <c r="A855" s="15">
        <f t="shared" si="27"/>
        <v>850</v>
      </c>
      <c r="B855" s="17">
        <v>62337</v>
      </c>
      <c r="C855" s="18" t="s">
        <v>1243</v>
      </c>
      <c r="D855" s="20" t="s">
        <v>1556</v>
      </c>
      <c r="E855" s="19">
        <v>0</v>
      </c>
      <c r="F855" s="20" t="s">
        <v>1556</v>
      </c>
      <c r="G855" s="21">
        <v>0</v>
      </c>
      <c r="H855" s="21">
        <v>0</v>
      </c>
      <c r="I855" s="14" t="s">
        <v>1561</v>
      </c>
      <c r="J855" s="21">
        <v>0</v>
      </c>
      <c r="K855" s="21">
        <v>0</v>
      </c>
      <c r="L855" s="24">
        <f t="shared" si="26"/>
        <v>0</v>
      </c>
    </row>
    <row r="856" spans="1:12" x14ac:dyDescent="0.25">
      <c r="A856" s="15">
        <f t="shared" si="27"/>
        <v>851</v>
      </c>
      <c r="B856" s="17">
        <v>62757</v>
      </c>
      <c r="C856" s="18" t="s">
        <v>133</v>
      </c>
      <c r="D856" s="20" t="s">
        <v>1556</v>
      </c>
      <c r="E856" s="19">
        <v>0</v>
      </c>
      <c r="F856" s="20" t="s">
        <v>1556</v>
      </c>
      <c r="G856" s="21">
        <v>104.9947501</v>
      </c>
      <c r="H856" s="21">
        <v>55.244750099999997</v>
      </c>
      <c r="I856" s="14" t="s">
        <v>1561</v>
      </c>
      <c r="J856" s="21">
        <v>42.49949030586118</v>
      </c>
      <c r="K856" s="21">
        <v>57.541249199999996</v>
      </c>
      <c r="L856" s="24">
        <f t="shared" si="26"/>
        <v>0.54803929858584421</v>
      </c>
    </row>
    <row r="857" spans="1:12" x14ac:dyDescent="0.25">
      <c r="A857" s="15">
        <f t="shared" si="27"/>
        <v>852</v>
      </c>
      <c r="B857" s="17">
        <v>63097</v>
      </c>
      <c r="C857" s="18" t="s">
        <v>774</v>
      </c>
      <c r="D857" s="20" t="s">
        <v>1556</v>
      </c>
      <c r="E857" s="19">
        <v>0</v>
      </c>
      <c r="F857" s="20" t="s">
        <v>1556</v>
      </c>
      <c r="G857" s="21">
        <v>0.19999</v>
      </c>
      <c r="H857" s="21">
        <v>0.19999</v>
      </c>
      <c r="I857" s="14" t="s">
        <v>1561</v>
      </c>
      <c r="J857" s="21">
        <v>0.14698056719838709</v>
      </c>
      <c r="K857" s="21">
        <v>0.22414700000000001</v>
      </c>
      <c r="L857" s="24">
        <f t="shared" si="26"/>
        <v>1.1207910395519776</v>
      </c>
    </row>
    <row r="858" spans="1:12" x14ac:dyDescent="0.25">
      <c r="A858" s="15">
        <f t="shared" si="27"/>
        <v>853</v>
      </c>
      <c r="B858" s="17">
        <v>63626</v>
      </c>
      <c r="C858" s="18" t="s">
        <v>460</v>
      </c>
      <c r="D858" s="20" t="s">
        <v>1556</v>
      </c>
      <c r="E858" s="19">
        <v>0</v>
      </c>
      <c r="F858" s="20" t="s">
        <v>1556</v>
      </c>
      <c r="G858" s="21">
        <v>0</v>
      </c>
      <c r="H858" s="21">
        <v>0</v>
      </c>
      <c r="I858" s="14" t="s">
        <v>1561</v>
      </c>
      <c r="J858" s="21">
        <v>0</v>
      </c>
      <c r="K858" s="21">
        <v>0</v>
      </c>
      <c r="L858" s="24">
        <f t="shared" si="26"/>
        <v>0</v>
      </c>
    </row>
    <row r="859" spans="1:12" x14ac:dyDescent="0.25">
      <c r="A859" s="15">
        <f t="shared" si="27"/>
        <v>854</v>
      </c>
      <c r="B859" s="17">
        <v>63643</v>
      </c>
      <c r="C859" s="18" t="s">
        <v>228</v>
      </c>
      <c r="D859" s="20" t="s">
        <v>1556</v>
      </c>
      <c r="E859" s="19">
        <v>0</v>
      </c>
      <c r="F859" s="20" t="s">
        <v>1556</v>
      </c>
      <c r="G859" s="21">
        <v>0</v>
      </c>
      <c r="H859" s="21">
        <v>0</v>
      </c>
      <c r="I859" s="14" t="s">
        <v>1561</v>
      </c>
      <c r="J859" s="21">
        <v>0</v>
      </c>
      <c r="K859" s="21">
        <v>0</v>
      </c>
      <c r="L859" s="24">
        <f t="shared" si="26"/>
        <v>0</v>
      </c>
    </row>
    <row r="860" spans="1:12" x14ac:dyDescent="0.25">
      <c r="A860" s="15">
        <f t="shared" si="27"/>
        <v>855</v>
      </c>
      <c r="B860" s="17">
        <v>63838</v>
      </c>
      <c r="C860" s="18" t="s">
        <v>1244</v>
      </c>
      <c r="D860" s="20" t="s">
        <v>1556</v>
      </c>
      <c r="E860" s="19">
        <v>0</v>
      </c>
      <c r="F860" s="20" t="s">
        <v>1556</v>
      </c>
      <c r="G860" s="21">
        <v>0</v>
      </c>
      <c r="H860" s="21">
        <v>0</v>
      </c>
      <c r="I860" s="14" t="s">
        <v>1561</v>
      </c>
      <c r="J860" s="21">
        <v>0</v>
      </c>
      <c r="K860" s="21">
        <v>0</v>
      </c>
      <c r="L860" s="24">
        <f t="shared" si="26"/>
        <v>0</v>
      </c>
    </row>
    <row r="861" spans="1:12" x14ac:dyDescent="0.25">
      <c r="A861" s="15">
        <f t="shared" si="27"/>
        <v>856</v>
      </c>
      <c r="B861" s="17">
        <v>64297</v>
      </c>
      <c r="C861" s="18" t="s">
        <v>775</v>
      </c>
      <c r="D861" s="20" t="s">
        <v>1556</v>
      </c>
      <c r="E861" s="19">
        <v>0</v>
      </c>
      <c r="F861" s="20" t="s">
        <v>1556</v>
      </c>
      <c r="G861" s="21">
        <v>0</v>
      </c>
      <c r="H861" s="21">
        <v>0</v>
      </c>
      <c r="I861" s="14" t="s">
        <v>1561</v>
      </c>
      <c r="J861" s="21">
        <v>0</v>
      </c>
      <c r="K861" s="21">
        <v>0</v>
      </c>
      <c r="L861" s="24">
        <f t="shared" si="26"/>
        <v>0</v>
      </c>
    </row>
    <row r="862" spans="1:12" x14ac:dyDescent="0.25">
      <c r="A862" s="16">
        <f t="shared" si="27"/>
        <v>857</v>
      </c>
      <c r="B862" s="17">
        <v>64301</v>
      </c>
      <c r="C862" s="18" t="s">
        <v>1245</v>
      </c>
      <c r="D862" s="20" t="s">
        <v>1556</v>
      </c>
      <c r="E862" s="19">
        <v>0</v>
      </c>
      <c r="F862" s="20" t="s">
        <v>1556</v>
      </c>
      <c r="G862" s="21">
        <v>0</v>
      </c>
      <c r="H862" s="21">
        <v>0</v>
      </c>
      <c r="I862" s="14" t="s">
        <v>1561</v>
      </c>
      <c r="J862" s="21">
        <v>0</v>
      </c>
      <c r="K862" s="21">
        <v>0</v>
      </c>
      <c r="L862" s="24">
        <f t="shared" si="26"/>
        <v>0</v>
      </c>
    </row>
    <row r="863" spans="1:12" x14ac:dyDescent="0.25">
      <c r="A863" s="15">
        <f t="shared" si="27"/>
        <v>858</v>
      </c>
      <c r="B863" s="17">
        <v>64422</v>
      </c>
      <c r="C863" s="18" t="s">
        <v>776</v>
      </c>
      <c r="D863" s="20" t="s">
        <v>1556</v>
      </c>
      <c r="E863" s="19">
        <v>0</v>
      </c>
      <c r="F863" s="20" t="s">
        <v>1556</v>
      </c>
      <c r="G863" s="21">
        <v>0</v>
      </c>
      <c r="H863" s="21">
        <v>0</v>
      </c>
      <c r="I863" s="14" t="s">
        <v>1561</v>
      </c>
      <c r="J863" s="21">
        <v>0</v>
      </c>
      <c r="K863" s="21">
        <v>0</v>
      </c>
      <c r="L863" s="24">
        <f t="shared" si="26"/>
        <v>0</v>
      </c>
    </row>
    <row r="864" spans="1:12" x14ac:dyDescent="0.25">
      <c r="A864" s="15">
        <f t="shared" si="27"/>
        <v>859</v>
      </c>
      <c r="B864" s="17">
        <v>64502</v>
      </c>
      <c r="C864" s="18" t="s">
        <v>392</v>
      </c>
      <c r="D864" s="20" t="s">
        <v>1556</v>
      </c>
      <c r="E864" s="19">
        <v>0</v>
      </c>
      <c r="F864" s="20" t="s">
        <v>1556</v>
      </c>
      <c r="G864" s="21">
        <v>0</v>
      </c>
      <c r="H864" s="21">
        <v>0</v>
      </c>
      <c r="I864" s="14" t="s">
        <v>1561</v>
      </c>
      <c r="J864" s="21">
        <v>0</v>
      </c>
      <c r="K864" s="21">
        <v>0</v>
      </c>
      <c r="L864" s="24">
        <f t="shared" si="26"/>
        <v>0</v>
      </c>
    </row>
    <row r="865" spans="1:12" x14ac:dyDescent="0.25">
      <c r="A865" s="15">
        <f t="shared" si="27"/>
        <v>860</v>
      </c>
      <c r="B865" s="17">
        <v>64606</v>
      </c>
      <c r="C865" s="18" t="s">
        <v>134</v>
      </c>
      <c r="D865" s="20">
        <v>0.2244507</v>
      </c>
      <c r="E865" s="19">
        <v>0</v>
      </c>
      <c r="F865" s="20">
        <v>0.2244507</v>
      </c>
      <c r="G865" s="21">
        <v>2200.8899555000003</v>
      </c>
      <c r="H865" s="21">
        <v>199.57616900000005</v>
      </c>
      <c r="I865" s="14" t="s">
        <v>1561</v>
      </c>
      <c r="J865" s="21">
        <v>43.677364167260563</v>
      </c>
      <c r="K865" s="21">
        <v>201.96584340000001</v>
      </c>
      <c r="L865" s="24">
        <f t="shared" si="26"/>
        <v>9.1765534617162275E-2</v>
      </c>
    </row>
    <row r="866" spans="1:12" x14ac:dyDescent="0.25">
      <c r="A866" s="15">
        <f t="shared" si="27"/>
        <v>861</v>
      </c>
      <c r="B866" s="17">
        <v>64610</v>
      </c>
      <c r="C866" s="18" t="s">
        <v>135</v>
      </c>
      <c r="D866" s="20" t="s">
        <v>1556</v>
      </c>
      <c r="E866" s="19">
        <v>0</v>
      </c>
      <c r="F866" s="20" t="s">
        <v>1556</v>
      </c>
      <c r="G866" s="21">
        <v>0</v>
      </c>
      <c r="H866" s="21">
        <v>0</v>
      </c>
      <c r="I866" s="14" t="s">
        <v>1561</v>
      </c>
      <c r="J866" s="21">
        <v>0</v>
      </c>
      <c r="K866" s="21">
        <v>0</v>
      </c>
      <c r="L866" s="24">
        <f t="shared" si="26"/>
        <v>0</v>
      </c>
    </row>
    <row r="867" spans="1:12" x14ac:dyDescent="0.25">
      <c r="A867" s="15">
        <f t="shared" si="27"/>
        <v>862</v>
      </c>
      <c r="B867" s="17">
        <v>64651</v>
      </c>
      <c r="C867" s="18" t="s">
        <v>1246</v>
      </c>
      <c r="D867" s="20">
        <v>1.52499E-2</v>
      </c>
      <c r="E867" s="19">
        <v>0</v>
      </c>
      <c r="F867" s="20">
        <v>1.52499E-2</v>
      </c>
      <c r="G867" s="21">
        <v>89.120544299999992</v>
      </c>
      <c r="H867" s="21">
        <v>88.020542300000002</v>
      </c>
      <c r="I867" s="14" t="s">
        <v>1561</v>
      </c>
      <c r="J867" s="21">
        <v>6.6947104601916667</v>
      </c>
      <c r="K867" s="21">
        <v>93.290371400000012</v>
      </c>
      <c r="L867" s="24">
        <f t="shared" si="26"/>
        <v>1.0467886179640402</v>
      </c>
    </row>
    <row r="868" spans="1:12" x14ac:dyDescent="0.25">
      <c r="A868" s="15">
        <f t="shared" si="27"/>
        <v>863</v>
      </c>
      <c r="B868" s="17">
        <v>64917</v>
      </c>
      <c r="C868" s="18" t="s">
        <v>461</v>
      </c>
      <c r="D868" s="20" t="s">
        <v>1556</v>
      </c>
      <c r="E868" s="19">
        <v>0</v>
      </c>
      <c r="F868" s="20" t="s">
        <v>1556</v>
      </c>
      <c r="G868" s="21">
        <v>0.499975</v>
      </c>
      <c r="H868" s="21">
        <v>0.499975</v>
      </c>
      <c r="I868" s="14" t="s">
        <v>1561</v>
      </c>
      <c r="J868" s="21">
        <v>1.3440188166666666E-3</v>
      </c>
      <c r="K868" s="21">
        <v>0.499975</v>
      </c>
      <c r="L868" s="24">
        <f t="shared" si="26"/>
        <v>1</v>
      </c>
    </row>
    <row r="869" spans="1:12" x14ac:dyDescent="0.25">
      <c r="A869" s="15">
        <f t="shared" si="27"/>
        <v>864</v>
      </c>
      <c r="B869" s="17">
        <v>65160</v>
      </c>
      <c r="C869" s="18" t="s">
        <v>1247</v>
      </c>
      <c r="D869" s="20" t="s">
        <v>1556</v>
      </c>
      <c r="E869" s="19">
        <v>0</v>
      </c>
      <c r="F869" s="20" t="s">
        <v>1556</v>
      </c>
      <c r="G869" s="21">
        <v>0.73896309999999998</v>
      </c>
      <c r="H869" s="21">
        <v>0.73896309999999998</v>
      </c>
      <c r="I869" s="14" t="s">
        <v>1561</v>
      </c>
      <c r="J869" s="21">
        <v>3.9793086000000002E-3</v>
      </c>
      <c r="K869" s="21">
        <v>0.74133880000000008</v>
      </c>
      <c r="L869" s="24">
        <f t="shared" si="26"/>
        <v>1.003214910189697</v>
      </c>
    </row>
    <row r="870" spans="1:12" x14ac:dyDescent="0.25">
      <c r="A870" s="15">
        <f t="shared" si="27"/>
        <v>865</v>
      </c>
      <c r="B870" s="17">
        <v>65251</v>
      </c>
      <c r="C870" s="18" t="s">
        <v>1248</v>
      </c>
      <c r="D870" s="20">
        <v>1.8871999999999999E-3</v>
      </c>
      <c r="E870" s="19">
        <v>0</v>
      </c>
      <c r="F870" s="20">
        <v>1.8871999999999999E-3</v>
      </c>
      <c r="G870" s="21">
        <v>0.325984</v>
      </c>
      <c r="H870" s="21">
        <v>0.325984</v>
      </c>
      <c r="I870" s="14" t="s">
        <v>1561</v>
      </c>
      <c r="J870" s="21">
        <v>8.1030367201971307E-2</v>
      </c>
      <c r="K870" s="21">
        <v>0.33513019999999999</v>
      </c>
      <c r="L870" s="24">
        <f t="shared" si="26"/>
        <v>1.0280572052616079</v>
      </c>
    </row>
    <row r="871" spans="1:12" x14ac:dyDescent="0.25">
      <c r="A871" s="15">
        <f t="shared" si="27"/>
        <v>866</v>
      </c>
      <c r="B871" s="17">
        <v>65608</v>
      </c>
      <c r="C871" s="18" t="s">
        <v>462</v>
      </c>
      <c r="D871" s="20" t="s">
        <v>1556</v>
      </c>
      <c r="E871" s="19">
        <v>0</v>
      </c>
      <c r="F871" s="20" t="s">
        <v>1556</v>
      </c>
      <c r="G871" s="21">
        <v>4.99975E-2</v>
      </c>
      <c r="H871" s="21">
        <v>4.99975E-2</v>
      </c>
      <c r="I871" s="14" t="s">
        <v>1561</v>
      </c>
      <c r="J871" s="21">
        <v>1.6546949386021505E-2</v>
      </c>
      <c r="K871" s="21">
        <v>5.1396600000000001E-2</v>
      </c>
      <c r="L871" s="24">
        <f t="shared" si="26"/>
        <v>1.0279833991699585</v>
      </c>
    </row>
    <row r="872" spans="1:12" x14ac:dyDescent="0.25">
      <c r="A872" s="15">
        <f t="shared" si="27"/>
        <v>867</v>
      </c>
      <c r="B872" s="17">
        <v>65996</v>
      </c>
      <c r="C872" s="18" t="s">
        <v>1249</v>
      </c>
      <c r="D872" s="20">
        <v>0.83645679999999989</v>
      </c>
      <c r="E872" s="19">
        <v>0</v>
      </c>
      <c r="F872" s="20">
        <v>0.83645679999999989</v>
      </c>
      <c r="G872" s="21">
        <v>139.89142150000001</v>
      </c>
      <c r="H872" s="21">
        <v>131.59049970000001</v>
      </c>
      <c r="I872" s="14" t="s">
        <v>1561</v>
      </c>
      <c r="J872" s="21">
        <v>64.849511812306801</v>
      </c>
      <c r="K872" s="21">
        <v>148.00681939999998</v>
      </c>
      <c r="L872" s="24">
        <f t="shared" si="26"/>
        <v>1.0580121197781951</v>
      </c>
    </row>
    <row r="873" spans="1:12" x14ac:dyDescent="0.25">
      <c r="A873" s="15">
        <f t="shared" si="27"/>
        <v>868</v>
      </c>
      <c r="B873" s="17">
        <v>66006</v>
      </c>
      <c r="C873" s="18" t="s">
        <v>1250</v>
      </c>
      <c r="D873" s="20" t="s">
        <v>1556</v>
      </c>
      <c r="E873" s="19">
        <v>0</v>
      </c>
      <c r="F873" s="20" t="s">
        <v>1556</v>
      </c>
      <c r="G873" s="21">
        <v>0</v>
      </c>
      <c r="H873" s="21">
        <v>0</v>
      </c>
      <c r="I873" s="14" t="s">
        <v>1561</v>
      </c>
      <c r="J873" s="21">
        <v>0</v>
      </c>
      <c r="K873" s="21">
        <v>0</v>
      </c>
      <c r="L873" s="24">
        <f t="shared" si="26"/>
        <v>0</v>
      </c>
    </row>
    <row r="874" spans="1:12" x14ac:dyDescent="0.25">
      <c r="A874" s="15">
        <f t="shared" si="27"/>
        <v>869</v>
      </c>
      <c r="B874" s="17">
        <v>66107</v>
      </c>
      <c r="C874" s="18" t="s">
        <v>1251</v>
      </c>
      <c r="D874" s="20">
        <v>0.9258282000000001</v>
      </c>
      <c r="E874" s="19">
        <v>0</v>
      </c>
      <c r="F874" s="20">
        <v>0.9258282000000001</v>
      </c>
      <c r="G874" s="21">
        <v>134.43742689999999</v>
      </c>
      <c r="H874" s="21">
        <v>101.94452750000001</v>
      </c>
      <c r="I874" s="14" t="s">
        <v>1561</v>
      </c>
      <c r="J874" s="21">
        <v>62.247970612027856</v>
      </c>
      <c r="K874" s="21">
        <v>126.60826589999999</v>
      </c>
      <c r="L874" s="24">
        <f t="shared" si="26"/>
        <v>0.94176353132804569</v>
      </c>
    </row>
    <row r="875" spans="1:12" x14ac:dyDescent="0.25">
      <c r="A875" s="15">
        <f t="shared" si="27"/>
        <v>870</v>
      </c>
      <c r="B875" s="17">
        <v>66560</v>
      </c>
      <c r="C875" s="18" t="s">
        <v>393</v>
      </c>
      <c r="D875" s="20" t="s">
        <v>1556</v>
      </c>
      <c r="E875" s="19">
        <v>0</v>
      </c>
      <c r="F875" s="20" t="s">
        <v>1556</v>
      </c>
      <c r="G875" s="21">
        <v>89.995500000000007</v>
      </c>
      <c r="H875" s="21">
        <v>89.995500000000007</v>
      </c>
      <c r="I875" s="14" t="s">
        <v>1561</v>
      </c>
      <c r="J875" s="21">
        <v>9.3775560910249975</v>
      </c>
      <c r="K875" s="21">
        <v>92.420930800000008</v>
      </c>
      <c r="L875" s="24">
        <f t="shared" si="26"/>
        <v>1.026950578640043</v>
      </c>
    </row>
    <row r="876" spans="1:12" x14ac:dyDescent="0.25">
      <c r="A876" s="15">
        <f t="shared" si="27"/>
        <v>871</v>
      </c>
      <c r="B876" s="17">
        <v>66910</v>
      </c>
      <c r="C876" s="18" t="s">
        <v>229</v>
      </c>
      <c r="D876" s="20" t="s">
        <v>1556</v>
      </c>
      <c r="E876" s="19">
        <v>0</v>
      </c>
      <c r="F876" s="20" t="s">
        <v>1556</v>
      </c>
      <c r="G876" s="21">
        <v>0</v>
      </c>
      <c r="H876" s="21">
        <v>0</v>
      </c>
      <c r="I876" s="14" t="s">
        <v>1561</v>
      </c>
      <c r="J876" s="21">
        <v>0</v>
      </c>
      <c r="K876" s="21">
        <v>0</v>
      </c>
      <c r="L876" s="24">
        <f t="shared" si="26"/>
        <v>0</v>
      </c>
    </row>
    <row r="877" spans="1:12" x14ac:dyDescent="0.25">
      <c r="A877" s="15">
        <f t="shared" si="27"/>
        <v>872</v>
      </c>
      <c r="B877" s="17">
        <v>66913</v>
      </c>
      <c r="C877" s="18" t="s">
        <v>1252</v>
      </c>
      <c r="D877" s="20" t="s">
        <v>1556</v>
      </c>
      <c r="E877" s="19">
        <v>0</v>
      </c>
      <c r="F877" s="20" t="s">
        <v>1556</v>
      </c>
      <c r="G877" s="21">
        <v>0</v>
      </c>
      <c r="H877" s="21">
        <v>0</v>
      </c>
      <c r="I877" s="14" t="s">
        <v>1561</v>
      </c>
      <c r="J877" s="21">
        <v>0</v>
      </c>
      <c r="K877" s="21">
        <v>0</v>
      </c>
      <c r="L877" s="24">
        <f t="shared" si="26"/>
        <v>0</v>
      </c>
    </row>
    <row r="878" spans="1:12" x14ac:dyDescent="0.25">
      <c r="A878" s="15">
        <f t="shared" si="27"/>
        <v>873</v>
      </c>
      <c r="B878" s="17">
        <v>67059</v>
      </c>
      <c r="C878" s="18" t="s">
        <v>1253</v>
      </c>
      <c r="D878" s="20">
        <v>3.2083999999999997E-3</v>
      </c>
      <c r="E878" s="19">
        <v>0</v>
      </c>
      <c r="F878" s="20">
        <v>3.2083999999999997E-3</v>
      </c>
      <c r="G878" s="21">
        <v>1.2999350000000001</v>
      </c>
      <c r="H878" s="21">
        <v>1.2999350000000001</v>
      </c>
      <c r="I878" s="14" t="s">
        <v>1561</v>
      </c>
      <c r="J878" s="21">
        <v>0.4260392093682796</v>
      </c>
      <c r="K878" s="21">
        <v>1.3710357</v>
      </c>
      <c r="L878" s="24">
        <f t="shared" si="26"/>
        <v>1.0546955809328926</v>
      </c>
    </row>
    <row r="879" spans="1:12" x14ac:dyDescent="0.25">
      <c r="A879" s="15">
        <f t="shared" si="27"/>
        <v>874</v>
      </c>
      <c r="B879" s="17">
        <v>67218</v>
      </c>
      <c r="C879" s="18" t="s">
        <v>463</v>
      </c>
      <c r="D879" s="20">
        <v>0.2228666</v>
      </c>
      <c r="E879" s="19">
        <v>0</v>
      </c>
      <c r="F879" s="20">
        <v>0.2228666</v>
      </c>
      <c r="G879" s="21">
        <v>123.58103130000001</v>
      </c>
      <c r="H879" s="21">
        <v>114.9634772</v>
      </c>
      <c r="I879" s="14" t="s">
        <v>1561</v>
      </c>
      <c r="J879" s="21">
        <v>32.012176901747566</v>
      </c>
      <c r="K879" s="21">
        <v>120.2137444</v>
      </c>
      <c r="L879" s="24">
        <f t="shared" si="26"/>
        <v>0.97275239683163239</v>
      </c>
    </row>
    <row r="880" spans="1:12" x14ac:dyDescent="0.25">
      <c r="A880" s="15">
        <f t="shared" si="27"/>
        <v>875</v>
      </c>
      <c r="B880" s="17">
        <v>67458</v>
      </c>
      <c r="C880" s="18" t="s">
        <v>1254</v>
      </c>
      <c r="D880" s="20">
        <v>1.3121999999999999E-3</v>
      </c>
      <c r="E880" s="19">
        <v>0</v>
      </c>
      <c r="F880" s="20">
        <v>1.3121999999999999E-3</v>
      </c>
      <c r="G880" s="21">
        <v>1.3999299999999999</v>
      </c>
      <c r="H880" s="21">
        <v>1.3999299999999999</v>
      </c>
      <c r="I880" s="14" t="s">
        <v>1561</v>
      </c>
      <c r="J880" s="21">
        <v>0.20358681183333335</v>
      </c>
      <c r="K880" s="21">
        <v>1.3726676999999998</v>
      </c>
      <c r="L880" s="24">
        <f t="shared" si="26"/>
        <v>0.98052595486917193</v>
      </c>
    </row>
    <row r="881" spans="1:12" x14ac:dyDescent="0.25">
      <c r="A881" s="15">
        <f t="shared" si="27"/>
        <v>876</v>
      </c>
      <c r="B881" s="17">
        <v>67592</v>
      </c>
      <c r="C881" s="18" t="s">
        <v>1255</v>
      </c>
      <c r="D881" s="20" t="s">
        <v>1556</v>
      </c>
      <c r="E881" s="19">
        <v>0</v>
      </c>
      <c r="F881" s="20" t="s">
        <v>1556</v>
      </c>
      <c r="G881" s="21">
        <v>0.55497260000000004</v>
      </c>
      <c r="H881" s="21">
        <v>0.55497260000000004</v>
      </c>
      <c r="I881" s="14" t="s">
        <v>1561</v>
      </c>
      <c r="J881" s="21">
        <v>0.44497863401066307</v>
      </c>
      <c r="K881" s="21">
        <v>0.64981769999999994</v>
      </c>
      <c r="L881" s="24">
        <f t="shared" si="26"/>
        <v>1.1709005093224421</v>
      </c>
    </row>
    <row r="882" spans="1:12" x14ac:dyDescent="0.25">
      <c r="A882" s="15">
        <f t="shared" si="27"/>
        <v>877</v>
      </c>
      <c r="B882" s="17">
        <v>68185</v>
      </c>
      <c r="C882" s="18" t="s">
        <v>777</v>
      </c>
      <c r="D882" s="20" t="s">
        <v>1556</v>
      </c>
      <c r="E882" s="19">
        <v>0</v>
      </c>
      <c r="F882" s="20" t="s">
        <v>1556</v>
      </c>
      <c r="G882" s="21">
        <v>0</v>
      </c>
      <c r="H882" s="21">
        <v>0</v>
      </c>
      <c r="I882" s="14" t="s">
        <v>1561</v>
      </c>
      <c r="J882" s="21">
        <v>0</v>
      </c>
      <c r="K882" s="21">
        <v>0</v>
      </c>
      <c r="L882" s="24">
        <f t="shared" si="26"/>
        <v>0</v>
      </c>
    </row>
    <row r="883" spans="1:12" x14ac:dyDescent="0.25">
      <c r="A883" s="15">
        <f t="shared" si="27"/>
        <v>878</v>
      </c>
      <c r="B883" s="17">
        <v>68368</v>
      </c>
      <c r="C883" s="18" t="s">
        <v>778</v>
      </c>
      <c r="D883" s="20">
        <v>0.53759029999999997</v>
      </c>
      <c r="E883" s="19">
        <v>0</v>
      </c>
      <c r="F883" s="20">
        <v>0.53759029999999997</v>
      </c>
      <c r="G883" s="21">
        <v>91.89170949999999</v>
      </c>
      <c r="H883" s="21">
        <v>61.224732699999997</v>
      </c>
      <c r="I883" s="14" t="s">
        <v>1561</v>
      </c>
      <c r="J883" s="21">
        <v>42.421302609540213</v>
      </c>
      <c r="K883" s="21">
        <v>71.836109699999994</v>
      </c>
      <c r="L883" s="24">
        <f t="shared" si="26"/>
        <v>0.78174745133019863</v>
      </c>
    </row>
    <row r="884" spans="1:12" x14ac:dyDescent="0.25">
      <c r="A884" s="15">
        <f t="shared" si="27"/>
        <v>879</v>
      </c>
      <c r="B884" s="17">
        <v>68412</v>
      </c>
      <c r="C884" s="18" t="s">
        <v>1256</v>
      </c>
      <c r="D884" s="20">
        <v>1.0793192</v>
      </c>
      <c r="E884" s="19">
        <v>0</v>
      </c>
      <c r="F884" s="20">
        <v>1.0793192</v>
      </c>
      <c r="G884" s="21">
        <v>192.2433552</v>
      </c>
      <c r="H884" s="21">
        <v>131.41081610000001</v>
      </c>
      <c r="I884" s="14" t="s">
        <v>1561</v>
      </c>
      <c r="J884" s="21">
        <v>84.049669719137398</v>
      </c>
      <c r="K884" s="21">
        <v>141.91843640000002</v>
      </c>
      <c r="L884" s="24">
        <f t="shared" si="26"/>
        <v>0.73822284391757231</v>
      </c>
    </row>
    <row r="885" spans="1:12" x14ac:dyDescent="0.25">
      <c r="A885" s="15">
        <f t="shared" si="27"/>
        <v>880</v>
      </c>
      <c r="B885" s="17">
        <v>68493</v>
      </c>
      <c r="C885" s="18" t="s">
        <v>1257</v>
      </c>
      <c r="D885" s="20" t="s">
        <v>1556</v>
      </c>
      <c r="E885" s="19">
        <v>0</v>
      </c>
      <c r="F885" s="20" t="s">
        <v>1556</v>
      </c>
      <c r="G885" s="21">
        <v>0</v>
      </c>
      <c r="H885" s="21">
        <v>0</v>
      </c>
      <c r="I885" s="14" t="s">
        <v>1561</v>
      </c>
      <c r="J885" s="21">
        <v>0</v>
      </c>
      <c r="K885" s="21">
        <v>0</v>
      </c>
      <c r="L885" s="24">
        <f t="shared" si="26"/>
        <v>0</v>
      </c>
    </row>
    <row r="886" spans="1:12" x14ac:dyDescent="0.25">
      <c r="A886" s="15">
        <f t="shared" si="27"/>
        <v>881</v>
      </c>
      <c r="B886" s="17">
        <v>68758</v>
      </c>
      <c r="C886" s="18" t="s">
        <v>1258</v>
      </c>
      <c r="D886" s="20" t="s">
        <v>1556</v>
      </c>
      <c r="E886" s="19">
        <v>0</v>
      </c>
      <c r="F886" s="20" t="s">
        <v>1556</v>
      </c>
      <c r="G886" s="21">
        <v>0</v>
      </c>
      <c r="H886" s="21">
        <v>0</v>
      </c>
      <c r="I886" s="14" t="s">
        <v>1561</v>
      </c>
      <c r="J886" s="21">
        <v>0</v>
      </c>
      <c r="K886" s="21">
        <v>0</v>
      </c>
      <c r="L886" s="24">
        <f t="shared" si="26"/>
        <v>0</v>
      </c>
    </row>
    <row r="887" spans="1:12" x14ac:dyDescent="0.25">
      <c r="A887" s="15">
        <f t="shared" si="27"/>
        <v>882</v>
      </c>
      <c r="B887" s="17">
        <v>69342</v>
      </c>
      <c r="C887" s="18" t="s">
        <v>1259</v>
      </c>
      <c r="D887" s="20" t="s">
        <v>1556</v>
      </c>
      <c r="E887" s="19">
        <v>0</v>
      </c>
      <c r="F887" s="20" t="s">
        <v>1556</v>
      </c>
      <c r="G887" s="21">
        <v>0</v>
      </c>
      <c r="H887" s="21">
        <v>0</v>
      </c>
      <c r="I887" s="14" t="s">
        <v>1561</v>
      </c>
      <c r="J887" s="21">
        <v>0</v>
      </c>
      <c r="K887" s="21">
        <v>0</v>
      </c>
      <c r="L887" s="24">
        <f t="shared" si="26"/>
        <v>0</v>
      </c>
    </row>
    <row r="888" spans="1:12" x14ac:dyDescent="0.25">
      <c r="A888" s="15">
        <f t="shared" si="27"/>
        <v>883</v>
      </c>
      <c r="B888" s="17">
        <v>69521</v>
      </c>
      <c r="C888" s="18" t="s">
        <v>1260</v>
      </c>
      <c r="D888" s="20" t="s">
        <v>1556</v>
      </c>
      <c r="E888" s="19">
        <v>0</v>
      </c>
      <c r="F888" s="20" t="s">
        <v>1556</v>
      </c>
      <c r="G888" s="21">
        <v>0</v>
      </c>
      <c r="H888" s="21">
        <v>0</v>
      </c>
      <c r="I888" s="14" t="s">
        <v>1561</v>
      </c>
      <c r="J888" s="21">
        <v>0</v>
      </c>
      <c r="K888" s="21">
        <v>0</v>
      </c>
      <c r="L888" s="24">
        <f t="shared" si="26"/>
        <v>0</v>
      </c>
    </row>
    <row r="889" spans="1:12" x14ac:dyDescent="0.25">
      <c r="A889" s="15">
        <f t="shared" si="27"/>
        <v>884</v>
      </c>
      <c r="B889" s="17">
        <v>69541</v>
      </c>
      <c r="C889" s="18" t="s">
        <v>1261</v>
      </c>
      <c r="D889" s="20">
        <v>5.7569999999999995E-4</v>
      </c>
      <c r="E889" s="19">
        <v>0</v>
      </c>
      <c r="F889" s="20">
        <v>5.7569999999999995E-4</v>
      </c>
      <c r="G889" s="21">
        <v>2.0498975000000002</v>
      </c>
      <c r="H889" s="21">
        <v>2.0498975000000002</v>
      </c>
      <c r="I889" s="14" t="s">
        <v>1561</v>
      </c>
      <c r="J889" s="21">
        <v>0.21347494457500002</v>
      </c>
      <c r="K889" s="21">
        <v>2.1471559</v>
      </c>
      <c r="L889" s="24">
        <f t="shared" si="26"/>
        <v>1.0474454942259308</v>
      </c>
    </row>
    <row r="890" spans="1:12" x14ac:dyDescent="0.25">
      <c r="A890" s="15">
        <f t="shared" si="27"/>
        <v>885</v>
      </c>
      <c r="B890" s="17">
        <v>69583</v>
      </c>
      <c r="C890" s="18" t="s">
        <v>137</v>
      </c>
      <c r="D890" s="20">
        <v>15.0851652</v>
      </c>
      <c r="E890" s="19">
        <v>0</v>
      </c>
      <c r="F890" s="20">
        <v>15.0851652</v>
      </c>
      <c r="G890" s="21">
        <v>2059.9564879</v>
      </c>
      <c r="H890" s="21">
        <v>1557.3671818</v>
      </c>
      <c r="I890" s="14" t="s">
        <v>1561</v>
      </c>
      <c r="J890" s="21">
        <v>1201.6866274106133</v>
      </c>
      <c r="K890" s="21">
        <v>2123.6879131999999</v>
      </c>
      <c r="L890" s="24">
        <f t="shared" si="26"/>
        <v>1.0309382385862773</v>
      </c>
    </row>
    <row r="891" spans="1:12" x14ac:dyDescent="0.25">
      <c r="A891" s="15">
        <f t="shared" si="27"/>
        <v>886</v>
      </c>
      <c r="B891" s="17">
        <v>70462</v>
      </c>
      <c r="C891" s="18" t="s">
        <v>1262</v>
      </c>
      <c r="D891" s="20" t="s">
        <v>1556</v>
      </c>
      <c r="E891" s="19">
        <v>0</v>
      </c>
      <c r="F891" s="20" t="s">
        <v>1556</v>
      </c>
      <c r="G891" s="21">
        <v>0</v>
      </c>
      <c r="H891" s="21">
        <v>0</v>
      </c>
      <c r="I891" s="14" t="s">
        <v>1561</v>
      </c>
      <c r="J891" s="21">
        <v>0</v>
      </c>
      <c r="K891" s="21">
        <v>0</v>
      </c>
      <c r="L891" s="24">
        <f t="shared" si="26"/>
        <v>0</v>
      </c>
    </row>
    <row r="892" spans="1:12" x14ac:dyDescent="0.25">
      <c r="A892" s="15">
        <f t="shared" si="27"/>
        <v>887</v>
      </c>
      <c r="B892" s="17">
        <v>70565</v>
      </c>
      <c r="C892" s="18" t="s">
        <v>308</v>
      </c>
      <c r="D892" s="20" t="s">
        <v>1556</v>
      </c>
      <c r="E892" s="19">
        <v>0</v>
      </c>
      <c r="F892" s="20" t="s">
        <v>1556</v>
      </c>
      <c r="G892" s="21">
        <v>0.21998900000000002</v>
      </c>
      <c r="H892" s="21">
        <v>0.21998900000000002</v>
      </c>
      <c r="I892" s="14" t="s">
        <v>1561</v>
      </c>
      <c r="J892" s="21">
        <v>1.1465466933333335E-2</v>
      </c>
      <c r="K892" s="21">
        <v>0.23461650000000001</v>
      </c>
      <c r="L892" s="24">
        <f t="shared" si="26"/>
        <v>1.0664919609616843</v>
      </c>
    </row>
    <row r="893" spans="1:12" x14ac:dyDescent="0.25">
      <c r="A893" s="15">
        <f t="shared" si="27"/>
        <v>888</v>
      </c>
      <c r="B893" s="17">
        <v>70818</v>
      </c>
      <c r="C893" s="18" t="s">
        <v>191</v>
      </c>
      <c r="D893" s="20">
        <v>0.3357406</v>
      </c>
      <c r="E893" s="19">
        <v>0</v>
      </c>
      <c r="F893" s="20">
        <v>0.3357406</v>
      </c>
      <c r="G893" s="21">
        <v>81.245937699999999</v>
      </c>
      <c r="H893" s="21">
        <v>81.14593769999999</v>
      </c>
      <c r="I893" s="14" t="s">
        <v>1561</v>
      </c>
      <c r="J893" s="21">
        <v>30.61191839479606</v>
      </c>
      <c r="K893" s="21">
        <v>82.9406046</v>
      </c>
      <c r="L893" s="24">
        <f t="shared" si="26"/>
        <v>1.020858481641969</v>
      </c>
    </row>
    <row r="894" spans="1:12" x14ac:dyDescent="0.25">
      <c r="A894" s="15">
        <f t="shared" si="27"/>
        <v>889</v>
      </c>
      <c r="B894" s="17">
        <v>70892</v>
      </c>
      <c r="C894" s="18" t="s">
        <v>138</v>
      </c>
      <c r="D894" s="20">
        <v>1.0771097000000001</v>
      </c>
      <c r="E894" s="19">
        <v>0</v>
      </c>
      <c r="F894" s="20">
        <v>1.0771097000000001</v>
      </c>
      <c r="G894" s="21">
        <v>273.73966809999996</v>
      </c>
      <c r="H894" s="21">
        <v>257.11727329999997</v>
      </c>
      <c r="I894" s="14" t="s">
        <v>1561</v>
      </c>
      <c r="J894" s="21">
        <v>87.609521797779578</v>
      </c>
      <c r="K894" s="21">
        <v>281.09214850000001</v>
      </c>
      <c r="L894" s="24">
        <f t="shared" si="26"/>
        <v>1.0268593896201923</v>
      </c>
    </row>
    <row r="895" spans="1:12" x14ac:dyDescent="0.25">
      <c r="A895" s="15">
        <f t="shared" si="27"/>
        <v>890</v>
      </c>
      <c r="B895" s="17">
        <v>71520</v>
      </c>
      <c r="C895" s="18" t="s">
        <v>1263</v>
      </c>
      <c r="D895" s="20">
        <v>1.79594E-2</v>
      </c>
      <c r="E895" s="19">
        <v>0</v>
      </c>
      <c r="F895" s="20">
        <v>1.79594E-2</v>
      </c>
      <c r="G895" s="21">
        <v>28.728075299999997</v>
      </c>
      <c r="H895" s="21">
        <v>5.4231281999999981</v>
      </c>
      <c r="I895" s="14" t="s">
        <v>1561</v>
      </c>
      <c r="J895" s="21">
        <v>2.5413076609741934</v>
      </c>
      <c r="K895" s="21">
        <v>6.3408562000000002</v>
      </c>
      <c r="L895" s="24">
        <f t="shared" si="26"/>
        <v>0.2207198405665555</v>
      </c>
    </row>
    <row r="896" spans="1:12" x14ac:dyDescent="0.25">
      <c r="A896" s="15">
        <f t="shared" si="27"/>
        <v>891</v>
      </c>
      <c r="B896" s="17">
        <v>71529</v>
      </c>
      <c r="C896" s="18" t="s">
        <v>394</v>
      </c>
      <c r="D896" s="20" t="s">
        <v>1556</v>
      </c>
      <c r="E896" s="19">
        <v>0</v>
      </c>
      <c r="F896" s="20" t="s">
        <v>1556</v>
      </c>
      <c r="G896" s="21">
        <v>1.3069348000000001</v>
      </c>
      <c r="H896" s="21">
        <v>1.3069348000000001</v>
      </c>
      <c r="I896" s="14" t="s">
        <v>1561</v>
      </c>
      <c r="J896" s="21">
        <v>0.34904477850833332</v>
      </c>
      <c r="K896" s="21">
        <v>1.3092642999999999</v>
      </c>
      <c r="L896" s="24">
        <f t="shared" si="26"/>
        <v>1.0017824148534418</v>
      </c>
    </row>
    <row r="897" spans="1:12" x14ac:dyDescent="0.25">
      <c r="A897" s="15">
        <f t="shared" si="27"/>
        <v>892</v>
      </c>
      <c r="B897" s="17">
        <v>72073</v>
      </c>
      <c r="C897" s="18" t="s">
        <v>779</v>
      </c>
      <c r="D897" s="20" t="s">
        <v>1556</v>
      </c>
      <c r="E897" s="19">
        <v>0</v>
      </c>
      <c r="F897" s="20" t="s">
        <v>1556</v>
      </c>
      <c r="G897" s="21">
        <v>0</v>
      </c>
      <c r="H897" s="21">
        <v>0</v>
      </c>
      <c r="I897" s="14" t="s">
        <v>1561</v>
      </c>
      <c r="J897" s="21">
        <v>0</v>
      </c>
      <c r="K897" s="21">
        <v>0</v>
      </c>
      <c r="L897" s="24">
        <f t="shared" si="26"/>
        <v>0</v>
      </c>
    </row>
    <row r="898" spans="1:12" x14ac:dyDescent="0.25">
      <c r="A898" s="15">
        <f t="shared" si="27"/>
        <v>893</v>
      </c>
      <c r="B898" s="17">
        <v>72346</v>
      </c>
      <c r="C898" s="18" t="s">
        <v>1264</v>
      </c>
      <c r="D898" s="20" t="s">
        <v>1556</v>
      </c>
      <c r="E898" s="19">
        <v>0</v>
      </c>
      <c r="F898" s="20" t="s">
        <v>1556</v>
      </c>
      <c r="G898" s="21">
        <v>0</v>
      </c>
      <c r="H898" s="21">
        <v>0</v>
      </c>
      <c r="I898" s="14" t="s">
        <v>1561</v>
      </c>
      <c r="J898" s="21">
        <v>0</v>
      </c>
      <c r="K898" s="21">
        <v>0</v>
      </c>
      <c r="L898" s="24">
        <f t="shared" si="26"/>
        <v>0</v>
      </c>
    </row>
    <row r="899" spans="1:12" x14ac:dyDescent="0.25">
      <c r="A899" s="15">
        <f t="shared" si="27"/>
        <v>894</v>
      </c>
      <c r="B899" s="17">
        <v>72451</v>
      </c>
      <c r="C899" s="18" t="s">
        <v>395</v>
      </c>
      <c r="D899" s="20" t="s">
        <v>1556</v>
      </c>
      <c r="E899" s="19">
        <v>0</v>
      </c>
      <c r="F899" s="20" t="s">
        <v>1556</v>
      </c>
      <c r="G899" s="21">
        <v>0</v>
      </c>
      <c r="H899" s="21">
        <v>0</v>
      </c>
      <c r="I899" s="14" t="s">
        <v>1561</v>
      </c>
      <c r="J899" s="21">
        <v>0</v>
      </c>
      <c r="K899" s="21">
        <v>0</v>
      </c>
      <c r="L899" s="24">
        <f t="shared" si="26"/>
        <v>0</v>
      </c>
    </row>
    <row r="900" spans="1:12" x14ac:dyDescent="0.25">
      <c r="A900" s="15">
        <f t="shared" si="27"/>
        <v>895</v>
      </c>
      <c r="B900" s="17">
        <v>72462</v>
      </c>
      <c r="C900" s="18" t="s">
        <v>780</v>
      </c>
      <c r="D900" s="20" t="s">
        <v>1556</v>
      </c>
      <c r="E900" s="19">
        <v>0</v>
      </c>
      <c r="F900" s="20" t="s">
        <v>1556</v>
      </c>
      <c r="G900" s="21">
        <v>0</v>
      </c>
      <c r="H900" s="21">
        <v>0</v>
      </c>
      <c r="I900" s="14" t="s">
        <v>1561</v>
      </c>
      <c r="J900" s="21">
        <v>0</v>
      </c>
      <c r="K900" s="21">
        <v>0</v>
      </c>
      <c r="L900" s="24">
        <f t="shared" si="26"/>
        <v>0</v>
      </c>
    </row>
    <row r="901" spans="1:12" x14ac:dyDescent="0.25">
      <c r="A901" s="15">
        <f t="shared" si="27"/>
        <v>896</v>
      </c>
      <c r="B901" s="17">
        <v>72741</v>
      </c>
      <c r="C901" s="18" t="s">
        <v>1265</v>
      </c>
      <c r="D901" s="20">
        <v>9.6600000000000003E-5</v>
      </c>
      <c r="E901" s="19">
        <v>0</v>
      </c>
      <c r="F901" s="20">
        <v>9.6600000000000003E-5</v>
      </c>
      <c r="G901" s="21">
        <v>0.299985</v>
      </c>
      <c r="H901" s="21">
        <v>0.299985</v>
      </c>
      <c r="I901" s="14" t="s">
        <v>1561</v>
      </c>
      <c r="J901" s="21">
        <v>3.3826964275000003E-2</v>
      </c>
      <c r="K901" s="21">
        <v>0.29749580000000003</v>
      </c>
      <c r="L901" s="24">
        <f t="shared" si="26"/>
        <v>0.99170225177925575</v>
      </c>
    </row>
    <row r="902" spans="1:12" x14ac:dyDescent="0.25">
      <c r="A902" s="15">
        <f t="shared" si="27"/>
        <v>897</v>
      </c>
      <c r="B902" s="17">
        <v>72870</v>
      </c>
      <c r="C902" s="18" t="s">
        <v>396</v>
      </c>
      <c r="D902" s="20" t="s">
        <v>1556</v>
      </c>
      <c r="E902" s="19">
        <v>0</v>
      </c>
      <c r="F902" s="20" t="s">
        <v>1556</v>
      </c>
      <c r="G902" s="21">
        <v>0</v>
      </c>
      <c r="H902" s="21">
        <v>0</v>
      </c>
      <c r="I902" s="14" t="s">
        <v>1561</v>
      </c>
      <c r="J902" s="21">
        <v>0</v>
      </c>
      <c r="K902" s="21">
        <v>0</v>
      </c>
      <c r="L902" s="24">
        <f t="shared" si="26"/>
        <v>0</v>
      </c>
    </row>
    <row r="903" spans="1:12" x14ac:dyDescent="0.25">
      <c r="A903" s="15">
        <f t="shared" si="27"/>
        <v>898</v>
      </c>
      <c r="B903" s="17">
        <v>73130</v>
      </c>
      <c r="C903" s="18" t="s">
        <v>781</v>
      </c>
      <c r="D903" s="20" t="s">
        <v>1556</v>
      </c>
      <c r="E903" s="19">
        <v>0</v>
      </c>
      <c r="F903" s="20" t="s">
        <v>1556</v>
      </c>
      <c r="G903" s="21">
        <v>0</v>
      </c>
      <c r="H903" s="21">
        <v>0</v>
      </c>
      <c r="I903" s="14" t="s">
        <v>1561</v>
      </c>
      <c r="J903" s="21">
        <v>0</v>
      </c>
      <c r="K903" s="21">
        <v>0</v>
      </c>
      <c r="L903" s="24">
        <f t="shared" ref="L903:L966" si="28">+IFERROR(K903/G903,0)</f>
        <v>0</v>
      </c>
    </row>
    <row r="904" spans="1:12" x14ac:dyDescent="0.25">
      <c r="A904" s="15">
        <f t="shared" ref="A904:A967" si="29">A903+1</f>
        <v>899</v>
      </c>
      <c r="B904" s="17">
        <v>73211</v>
      </c>
      <c r="C904" s="18" t="s">
        <v>1266</v>
      </c>
      <c r="D904" s="20">
        <v>1.3030000000000001E-3</v>
      </c>
      <c r="E904" s="19">
        <v>0</v>
      </c>
      <c r="F904" s="20">
        <v>1.3030000000000001E-3</v>
      </c>
      <c r="G904" s="21">
        <v>3.9498025000000001</v>
      </c>
      <c r="H904" s="21">
        <v>3.9498025000000001</v>
      </c>
      <c r="I904" s="14" t="s">
        <v>1561</v>
      </c>
      <c r="J904" s="21">
        <v>0.34644017273333333</v>
      </c>
      <c r="K904" s="21">
        <v>4.0181103999999994</v>
      </c>
      <c r="L904" s="24">
        <f t="shared" si="28"/>
        <v>1.0172940039407032</v>
      </c>
    </row>
    <row r="905" spans="1:12" x14ac:dyDescent="0.25">
      <c r="A905" s="15">
        <f t="shared" si="29"/>
        <v>900</v>
      </c>
      <c r="B905" s="17">
        <v>73268</v>
      </c>
      <c r="C905" s="18" t="s">
        <v>1267</v>
      </c>
      <c r="D905" s="20">
        <v>4.1971499999999995E-2</v>
      </c>
      <c r="E905" s="19">
        <v>0</v>
      </c>
      <c r="F905" s="20">
        <v>4.1971499999999995E-2</v>
      </c>
      <c r="G905" s="21">
        <v>6.7796616000000007</v>
      </c>
      <c r="H905" s="21">
        <v>3.5426129000000004</v>
      </c>
      <c r="I905" s="14" t="s">
        <v>1561</v>
      </c>
      <c r="J905" s="21">
        <v>4.347510066544265</v>
      </c>
      <c r="K905" s="21">
        <v>6.2574490000000003</v>
      </c>
      <c r="L905" s="24">
        <f t="shared" si="28"/>
        <v>0.92297364812426619</v>
      </c>
    </row>
    <row r="906" spans="1:12" x14ac:dyDescent="0.25">
      <c r="A906" s="15">
        <f t="shared" si="29"/>
        <v>901</v>
      </c>
      <c r="B906" s="17">
        <v>73326</v>
      </c>
      <c r="C906" s="18" t="s">
        <v>782</v>
      </c>
      <c r="D906" s="20" t="s">
        <v>1556</v>
      </c>
      <c r="E906" s="19">
        <v>0</v>
      </c>
      <c r="F906" s="20" t="s">
        <v>1556</v>
      </c>
      <c r="G906" s="21">
        <v>0</v>
      </c>
      <c r="H906" s="21">
        <v>0</v>
      </c>
      <c r="I906" s="14" t="s">
        <v>1561</v>
      </c>
      <c r="J906" s="21">
        <v>0</v>
      </c>
      <c r="K906" s="21">
        <v>0</v>
      </c>
      <c r="L906" s="24">
        <f t="shared" si="28"/>
        <v>0</v>
      </c>
    </row>
    <row r="907" spans="1:12" x14ac:dyDescent="0.25">
      <c r="A907" s="15">
        <f t="shared" si="29"/>
        <v>902</v>
      </c>
      <c r="B907" s="17">
        <v>73688</v>
      </c>
      <c r="C907" s="18" t="s">
        <v>783</v>
      </c>
      <c r="D907" s="20">
        <v>2.93333E-2</v>
      </c>
      <c r="E907" s="19">
        <v>0</v>
      </c>
      <c r="F907" s="20">
        <v>2.93333E-2</v>
      </c>
      <c r="G907" s="21">
        <v>31.138444</v>
      </c>
      <c r="H907" s="21">
        <v>31.138444</v>
      </c>
      <c r="I907" s="14" t="s">
        <v>1561</v>
      </c>
      <c r="J907" s="21">
        <v>5.4072797069797494</v>
      </c>
      <c r="K907" s="21">
        <v>32.212045699999997</v>
      </c>
      <c r="L907" s="24">
        <f t="shared" si="28"/>
        <v>1.0344783348840423</v>
      </c>
    </row>
    <row r="908" spans="1:12" x14ac:dyDescent="0.25">
      <c r="A908" s="15">
        <f t="shared" si="29"/>
        <v>903</v>
      </c>
      <c r="B908" s="17">
        <v>73912</v>
      </c>
      <c r="C908" s="18" t="s">
        <v>514</v>
      </c>
      <c r="D908" s="20" t="s">
        <v>1556</v>
      </c>
      <c r="E908" s="19">
        <v>0</v>
      </c>
      <c r="F908" s="20" t="s">
        <v>1556</v>
      </c>
      <c r="G908" s="21">
        <v>0</v>
      </c>
      <c r="H908" s="21">
        <v>0</v>
      </c>
      <c r="I908" s="14" t="s">
        <v>1561</v>
      </c>
      <c r="J908" s="21">
        <v>0</v>
      </c>
      <c r="K908" s="21">
        <v>0</v>
      </c>
      <c r="L908" s="24">
        <f t="shared" si="28"/>
        <v>0</v>
      </c>
    </row>
    <row r="909" spans="1:12" x14ac:dyDescent="0.25">
      <c r="A909" s="15">
        <f t="shared" si="29"/>
        <v>904</v>
      </c>
      <c r="B909" s="17">
        <v>74061</v>
      </c>
      <c r="C909" s="18" t="s">
        <v>784</v>
      </c>
      <c r="D909" s="20">
        <v>7.8716999999999995E-2</v>
      </c>
      <c r="E909" s="19">
        <v>0</v>
      </c>
      <c r="F909" s="20">
        <v>7.8716999999999995E-2</v>
      </c>
      <c r="G909" s="21">
        <v>18.2690865</v>
      </c>
      <c r="H909" s="21">
        <v>18.2690865</v>
      </c>
      <c r="I909" s="14" t="s">
        <v>1561</v>
      </c>
      <c r="J909" s="21">
        <v>7.1203387582161293</v>
      </c>
      <c r="K909" s="21">
        <v>20.2718232</v>
      </c>
      <c r="L909" s="24">
        <f t="shared" si="28"/>
        <v>1.1096243482124846</v>
      </c>
    </row>
    <row r="910" spans="1:12" x14ac:dyDescent="0.25">
      <c r="A910" s="15">
        <f t="shared" si="29"/>
        <v>905</v>
      </c>
      <c r="B910" s="17">
        <v>74263</v>
      </c>
      <c r="C910" s="18" t="s">
        <v>397</v>
      </c>
      <c r="D910" s="20" t="s">
        <v>1556</v>
      </c>
      <c r="E910" s="19">
        <v>0</v>
      </c>
      <c r="F910" s="20" t="s">
        <v>1556</v>
      </c>
      <c r="G910" s="21">
        <v>0</v>
      </c>
      <c r="H910" s="21">
        <v>0</v>
      </c>
      <c r="I910" s="14" t="s">
        <v>1561</v>
      </c>
      <c r="J910" s="21">
        <v>0</v>
      </c>
      <c r="K910" s="21">
        <v>0</v>
      </c>
      <c r="L910" s="24">
        <f t="shared" si="28"/>
        <v>0</v>
      </c>
    </row>
    <row r="911" spans="1:12" x14ac:dyDescent="0.25">
      <c r="A911" s="15">
        <f t="shared" si="29"/>
        <v>906</v>
      </c>
      <c r="B911" s="17">
        <v>74723</v>
      </c>
      <c r="C911" s="18" t="s">
        <v>309</v>
      </c>
      <c r="D911" s="20" t="s">
        <v>1556</v>
      </c>
      <c r="E911" s="19">
        <v>0</v>
      </c>
      <c r="F911" s="20" t="s">
        <v>1556</v>
      </c>
      <c r="G911" s="21">
        <v>0</v>
      </c>
      <c r="H911" s="21">
        <v>0</v>
      </c>
      <c r="I911" s="14" t="s">
        <v>1561</v>
      </c>
      <c r="J911" s="21">
        <v>0</v>
      </c>
      <c r="K911" s="21">
        <v>0</v>
      </c>
      <c r="L911" s="24">
        <f t="shared" si="28"/>
        <v>0</v>
      </c>
    </row>
    <row r="912" spans="1:12" x14ac:dyDescent="0.25">
      <c r="A912" s="15">
        <f t="shared" si="29"/>
        <v>907</v>
      </c>
      <c r="B912" s="17">
        <v>75223</v>
      </c>
      <c r="C912" s="18" t="s">
        <v>1268</v>
      </c>
      <c r="D912" s="20">
        <v>0.29648619999999998</v>
      </c>
      <c r="E912" s="19">
        <v>0</v>
      </c>
      <c r="F912" s="20">
        <v>0.29648619999999998</v>
      </c>
      <c r="G912" s="21">
        <v>90.881584600000011</v>
      </c>
      <c r="H912" s="21">
        <v>57.770453800000006</v>
      </c>
      <c r="I912" s="14" t="s">
        <v>1561</v>
      </c>
      <c r="J912" s="21">
        <v>21.93909894393979</v>
      </c>
      <c r="K912" s="21">
        <v>60.859282100000001</v>
      </c>
      <c r="L912" s="24">
        <f t="shared" si="28"/>
        <v>0.66965472012687588</v>
      </c>
    </row>
    <row r="913" spans="1:12" x14ac:dyDescent="0.25">
      <c r="A913" s="15">
        <f t="shared" si="29"/>
        <v>908</v>
      </c>
      <c r="B913" s="17">
        <v>75320</v>
      </c>
      <c r="C913" s="18" t="s">
        <v>139</v>
      </c>
      <c r="D913" s="20">
        <v>0.25233279999999997</v>
      </c>
      <c r="E913" s="19">
        <v>0</v>
      </c>
      <c r="F913" s="20">
        <v>0.25233279999999997</v>
      </c>
      <c r="G913" s="21">
        <v>80.055438499999994</v>
      </c>
      <c r="H913" s="21">
        <v>62.794250699999992</v>
      </c>
      <c r="I913" s="14" t="s">
        <v>1561</v>
      </c>
      <c r="J913" s="21">
        <v>31.797534794040693</v>
      </c>
      <c r="K913" s="21">
        <v>72.621625100000003</v>
      </c>
      <c r="L913" s="24">
        <f t="shared" si="28"/>
        <v>0.90714168157357611</v>
      </c>
    </row>
    <row r="914" spans="1:12" x14ac:dyDescent="0.25">
      <c r="A914" s="15">
        <f t="shared" si="29"/>
        <v>909</v>
      </c>
      <c r="B914" s="17">
        <v>75404</v>
      </c>
      <c r="C914" s="18" t="s">
        <v>1269</v>
      </c>
      <c r="D914" s="20" t="s">
        <v>1556</v>
      </c>
      <c r="E914" s="19">
        <v>0</v>
      </c>
      <c r="F914" s="20" t="s">
        <v>1556</v>
      </c>
      <c r="G914" s="21">
        <v>0</v>
      </c>
      <c r="H914" s="21">
        <v>0</v>
      </c>
      <c r="I914" s="14" t="s">
        <v>1561</v>
      </c>
      <c r="J914" s="21">
        <v>0</v>
      </c>
      <c r="K914" s="21">
        <v>0</v>
      </c>
      <c r="L914" s="24">
        <f t="shared" si="28"/>
        <v>0</v>
      </c>
    </row>
    <row r="915" spans="1:12" x14ac:dyDescent="0.25">
      <c r="A915" s="15">
        <f t="shared" si="29"/>
        <v>910</v>
      </c>
      <c r="B915" s="17">
        <v>75678</v>
      </c>
      <c r="C915" s="18" t="s">
        <v>785</v>
      </c>
      <c r="D915" s="20" t="s">
        <v>1556</v>
      </c>
      <c r="E915" s="19">
        <v>0</v>
      </c>
      <c r="F915" s="20" t="s">
        <v>1556</v>
      </c>
      <c r="G915" s="21">
        <v>0</v>
      </c>
      <c r="H915" s="21">
        <v>0</v>
      </c>
      <c r="I915" s="14" t="s">
        <v>1561</v>
      </c>
      <c r="J915" s="21">
        <v>0</v>
      </c>
      <c r="K915" s="21">
        <v>0</v>
      </c>
      <c r="L915" s="24">
        <f t="shared" si="28"/>
        <v>0</v>
      </c>
    </row>
    <row r="916" spans="1:12" x14ac:dyDescent="0.25">
      <c r="A916" s="15">
        <f t="shared" si="29"/>
        <v>911</v>
      </c>
      <c r="B916" s="17">
        <v>75718</v>
      </c>
      <c r="C916" s="18" t="s">
        <v>398</v>
      </c>
      <c r="D916" s="20" t="s">
        <v>1556</v>
      </c>
      <c r="E916" s="19">
        <v>0</v>
      </c>
      <c r="F916" s="20" t="s">
        <v>1556</v>
      </c>
      <c r="G916" s="21">
        <v>0</v>
      </c>
      <c r="H916" s="21">
        <v>0</v>
      </c>
      <c r="I916" s="14" t="s">
        <v>1561</v>
      </c>
      <c r="J916" s="21">
        <v>0</v>
      </c>
      <c r="K916" s="21">
        <v>0</v>
      </c>
      <c r="L916" s="24">
        <f t="shared" si="28"/>
        <v>0</v>
      </c>
    </row>
    <row r="917" spans="1:12" x14ac:dyDescent="0.25">
      <c r="A917" s="15">
        <f t="shared" si="29"/>
        <v>912</v>
      </c>
      <c r="B917" s="17">
        <v>75889</v>
      </c>
      <c r="C917" s="18" t="s">
        <v>1270</v>
      </c>
      <c r="D917" s="20" t="s">
        <v>1556</v>
      </c>
      <c r="E917" s="19">
        <v>0</v>
      </c>
      <c r="F917" s="20" t="s">
        <v>1556</v>
      </c>
      <c r="G917" s="21">
        <v>0</v>
      </c>
      <c r="H917" s="21">
        <v>0</v>
      </c>
      <c r="I917" s="14" t="s">
        <v>1561</v>
      </c>
      <c r="J917" s="21">
        <v>0</v>
      </c>
      <c r="K917" s="21">
        <v>0</v>
      </c>
      <c r="L917" s="24">
        <f t="shared" si="28"/>
        <v>0</v>
      </c>
    </row>
    <row r="918" spans="1:12" x14ac:dyDescent="0.25">
      <c r="A918" s="15">
        <f t="shared" si="29"/>
        <v>913</v>
      </c>
      <c r="B918" s="17">
        <v>76017</v>
      </c>
      <c r="C918" s="18" t="s">
        <v>1271</v>
      </c>
      <c r="D918" s="20" t="s">
        <v>1556</v>
      </c>
      <c r="E918" s="19">
        <v>0</v>
      </c>
      <c r="F918" s="20" t="s">
        <v>1556</v>
      </c>
      <c r="G918" s="21">
        <v>0</v>
      </c>
      <c r="H918" s="21">
        <v>0</v>
      </c>
      <c r="I918" s="14" t="s">
        <v>1561</v>
      </c>
      <c r="J918" s="21">
        <v>0</v>
      </c>
      <c r="K918" s="21">
        <v>0</v>
      </c>
      <c r="L918" s="24">
        <f t="shared" si="28"/>
        <v>0</v>
      </c>
    </row>
    <row r="919" spans="1:12" x14ac:dyDescent="0.25">
      <c r="A919" s="15">
        <f t="shared" si="29"/>
        <v>914</v>
      </c>
      <c r="B919" s="17">
        <v>76019</v>
      </c>
      <c r="C919" s="18" t="s">
        <v>169</v>
      </c>
      <c r="D919" s="20" t="s">
        <v>1556</v>
      </c>
      <c r="E919" s="19">
        <v>0</v>
      </c>
      <c r="F919" s="20" t="s">
        <v>1556</v>
      </c>
      <c r="G919" s="21">
        <v>0</v>
      </c>
      <c r="H919" s="21">
        <v>0</v>
      </c>
      <c r="I919" s="14" t="s">
        <v>1561</v>
      </c>
      <c r="J919" s="21">
        <v>0</v>
      </c>
      <c r="K919" s="21">
        <v>0</v>
      </c>
      <c r="L919" s="24">
        <f t="shared" si="28"/>
        <v>0</v>
      </c>
    </row>
    <row r="920" spans="1:12" x14ac:dyDescent="0.25">
      <c r="A920" s="15">
        <f t="shared" si="29"/>
        <v>915</v>
      </c>
      <c r="B920" s="17">
        <v>76035</v>
      </c>
      <c r="C920" s="18" t="s">
        <v>786</v>
      </c>
      <c r="D920" s="20" t="s">
        <v>1556</v>
      </c>
      <c r="E920" s="19">
        <v>0</v>
      </c>
      <c r="F920" s="20" t="s">
        <v>1556</v>
      </c>
      <c r="G920" s="21">
        <v>0</v>
      </c>
      <c r="H920" s="21">
        <v>0</v>
      </c>
      <c r="I920" s="14" t="s">
        <v>1561</v>
      </c>
      <c r="J920" s="21">
        <v>0</v>
      </c>
      <c r="K920" s="21">
        <v>0</v>
      </c>
      <c r="L920" s="24">
        <f t="shared" si="28"/>
        <v>0</v>
      </c>
    </row>
    <row r="921" spans="1:12" x14ac:dyDescent="0.25">
      <c r="A921" s="15">
        <f t="shared" si="29"/>
        <v>916</v>
      </c>
      <c r="B921" s="17">
        <v>76037</v>
      </c>
      <c r="C921" s="18" t="s">
        <v>787</v>
      </c>
      <c r="D921" s="20">
        <v>5.8818943000000008</v>
      </c>
      <c r="E921" s="19">
        <v>0</v>
      </c>
      <c r="F921" s="20">
        <v>5.8818943000000008</v>
      </c>
      <c r="G921" s="21">
        <v>1054.7296684</v>
      </c>
      <c r="H921" s="21">
        <v>885.77585499999998</v>
      </c>
      <c r="I921" s="14" t="s">
        <v>1561</v>
      </c>
      <c r="J921" s="21">
        <v>465.3304747193701</v>
      </c>
      <c r="K921" s="21">
        <v>940.28181260000008</v>
      </c>
      <c r="L921" s="24">
        <f t="shared" si="28"/>
        <v>0.89149081586600798</v>
      </c>
    </row>
    <row r="922" spans="1:12" x14ac:dyDescent="0.25">
      <c r="A922" s="15">
        <f t="shared" si="29"/>
        <v>917</v>
      </c>
      <c r="B922" s="17">
        <v>76122</v>
      </c>
      <c r="C922" s="18" t="s">
        <v>399</v>
      </c>
      <c r="D922" s="20" t="s">
        <v>1556</v>
      </c>
      <c r="E922" s="19">
        <v>0</v>
      </c>
      <c r="F922" s="20" t="s">
        <v>1556</v>
      </c>
      <c r="G922" s="21">
        <v>9.9995000000000001E-2</v>
      </c>
      <c r="H922" s="21">
        <v>9.9995000000000001E-2</v>
      </c>
      <c r="I922" s="14" t="s">
        <v>1561</v>
      </c>
      <c r="J922" s="21">
        <v>8.1111613333333338E-4</v>
      </c>
      <c r="K922" s="21">
        <v>0.10103190000000001</v>
      </c>
      <c r="L922" s="24">
        <f t="shared" si="28"/>
        <v>1.0103695184759238</v>
      </c>
    </row>
    <row r="923" spans="1:12" x14ac:dyDescent="0.25">
      <c r="A923" s="15">
        <f t="shared" si="29"/>
        <v>918</v>
      </c>
      <c r="B923" s="17">
        <v>76123</v>
      </c>
      <c r="C923" s="18" t="s">
        <v>310</v>
      </c>
      <c r="D923" s="20">
        <v>1.5719E-3</v>
      </c>
      <c r="E923" s="19">
        <v>0</v>
      </c>
      <c r="F923" s="20">
        <v>1.5719E-3</v>
      </c>
      <c r="G923" s="21">
        <v>2.4318785000000003</v>
      </c>
      <c r="H923" s="21">
        <v>2.4318785000000003</v>
      </c>
      <c r="I923" s="14" t="s">
        <v>1561</v>
      </c>
      <c r="J923" s="21">
        <v>0.31672991505707887</v>
      </c>
      <c r="K923" s="21">
        <v>2.4947699999999999</v>
      </c>
      <c r="L923" s="24">
        <f t="shared" si="28"/>
        <v>1.0258612837771293</v>
      </c>
    </row>
    <row r="924" spans="1:12" x14ac:dyDescent="0.25">
      <c r="A924" s="15">
        <f t="shared" si="29"/>
        <v>919</v>
      </c>
      <c r="B924" s="17">
        <v>76165</v>
      </c>
      <c r="C924" s="18" t="s">
        <v>1272</v>
      </c>
      <c r="D924" s="20" t="s">
        <v>1556</v>
      </c>
      <c r="E924" s="19">
        <v>0</v>
      </c>
      <c r="F924" s="20" t="s">
        <v>1556</v>
      </c>
      <c r="G924" s="21">
        <v>0</v>
      </c>
      <c r="H924" s="21">
        <v>0</v>
      </c>
      <c r="I924" s="14" t="s">
        <v>1561</v>
      </c>
      <c r="J924" s="21">
        <v>0</v>
      </c>
      <c r="K924" s="21">
        <v>0</v>
      </c>
      <c r="L924" s="24">
        <f t="shared" si="28"/>
        <v>0</v>
      </c>
    </row>
    <row r="925" spans="1:12" x14ac:dyDescent="0.25">
      <c r="A925" s="15">
        <f t="shared" si="29"/>
        <v>920</v>
      </c>
      <c r="B925" s="17">
        <v>76586</v>
      </c>
      <c r="C925" s="18" t="s">
        <v>788</v>
      </c>
      <c r="D925" s="20">
        <v>4.2230999999999996E-3</v>
      </c>
      <c r="E925" s="19">
        <v>0</v>
      </c>
      <c r="F925" s="20">
        <v>4.2230999999999996E-3</v>
      </c>
      <c r="G925" s="21">
        <v>2.4998749999999998</v>
      </c>
      <c r="H925" s="21">
        <v>2.4998749999999998</v>
      </c>
      <c r="I925" s="14" t="s">
        <v>1561</v>
      </c>
      <c r="J925" s="21">
        <v>0.4866676695083334</v>
      </c>
      <c r="K925" s="21">
        <v>2.4091107000000003</v>
      </c>
      <c r="L925" s="24">
        <f t="shared" si="28"/>
        <v>0.96369246462323133</v>
      </c>
    </row>
    <row r="926" spans="1:12" x14ac:dyDescent="0.25">
      <c r="A926" s="15">
        <f t="shared" si="29"/>
        <v>921</v>
      </c>
      <c r="B926" s="17">
        <v>76793</v>
      </c>
      <c r="C926" s="18" t="s">
        <v>789</v>
      </c>
      <c r="D926" s="20" t="s">
        <v>1556</v>
      </c>
      <c r="E926" s="19">
        <v>0</v>
      </c>
      <c r="F926" s="20" t="s">
        <v>1556</v>
      </c>
      <c r="G926" s="21">
        <v>0</v>
      </c>
      <c r="H926" s="21">
        <v>0</v>
      </c>
      <c r="I926" s="14" t="s">
        <v>1561</v>
      </c>
      <c r="J926" s="21">
        <v>0</v>
      </c>
      <c r="K926" s="21">
        <v>0</v>
      </c>
      <c r="L926" s="24">
        <f t="shared" si="28"/>
        <v>0</v>
      </c>
    </row>
    <row r="927" spans="1:12" x14ac:dyDescent="0.25">
      <c r="A927" s="15">
        <f t="shared" si="29"/>
        <v>922</v>
      </c>
      <c r="B927" s="17">
        <v>76843</v>
      </c>
      <c r="C927" s="18" t="s">
        <v>1273</v>
      </c>
      <c r="D927" s="20">
        <v>6.5681465000000001</v>
      </c>
      <c r="E927" s="19">
        <v>0</v>
      </c>
      <c r="F927" s="20">
        <v>6.5681465000000001</v>
      </c>
      <c r="G927" s="21">
        <v>1141.7018756</v>
      </c>
      <c r="H927" s="21">
        <v>776.18270710000013</v>
      </c>
      <c r="I927" s="14" t="s">
        <v>1561</v>
      </c>
      <c r="J927" s="21">
        <v>523.64957545928098</v>
      </c>
      <c r="K927" s="21">
        <v>900.76031340000009</v>
      </c>
      <c r="L927" s="24">
        <f t="shared" si="28"/>
        <v>0.78896280425800513</v>
      </c>
    </row>
    <row r="928" spans="1:12" x14ac:dyDescent="0.25">
      <c r="A928" s="15">
        <f t="shared" si="29"/>
        <v>923</v>
      </c>
      <c r="B928" s="17">
        <v>76950</v>
      </c>
      <c r="C928" s="18" t="s">
        <v>1274</v>
      </c>
      <c r="D928" s="20">
        <v>3.65E-5</v>
      </c>
      <c r="E928" s="19">
        <v>0</v>
      </c>
      <c r="F928" s="20">
        <v>3.65E-5</v>
      </c>
      <c r="G928" s="21">
        <v>0.54997249999999998</v>
      </c>
      <c r="H928" s="21">
        <v>0.54997249999999998</v>
      </c>
      <c r="I928" s="14" t="s">
        <v>1561</v>
      </c>
      <c r="J928" s="21">
        <v>3.6363352575000001E-2</v>
      </c>
      <c r="K928" s="21">
        <v>0.57838630000000002</v>
      </c>
      <c r="L928" s="24">
        <f t="shared" si="28"/>
        <v>1.0516640377473421</v>
      </c>
    </row>
    <row r="929" spans="1:12" x14ac:dyDescent="0.25">
      <c r="A929" s="15">
        <f t="shared" si="29"/>
        <v>924</v>
      </c>
      <c r="B929" s="17">
        <v>77037</v>
      </c>
      <c r="C929" s="18" t="s">
        <v>1275</v>
      </c>
      <c r="D929" s="20">
        <v>1.0011519</v>
      </c>
      <c r="E929" s="19">
        <v>0</v>
      </c>
      <c r="F929" s="20">
        <v>1.0011519</v>
      </c>
      <c r="G929" s="21">
        <v>145.67379270000001</v>
      </c>
      <c r="H929" s="21">
        <v>131.7758934</v>
      </c>
      <c r="I929" s="14" t="s">
        <v>1561</v>
      </c>
      <c r="J929" s="21">
        <v>80.561597498626668</v>
      </c>
      <c r="K929" s="21">
        <v>161.3073929</v>
      </c>
      <c r="L929" s="24">
        <f t="shared" si="28"/>
        <v>1.1073192364270747</v>
      </c>
    </row>
    <row r="930" spans="1:12" x14ac:dyDescent="0.25">
      <c r="A930" s="15">
        <f t="shared" si="29"/>
        <v>925</v>
      </c>
      <c r="B930" s="17">
        <v>77152</v>
      </c>
      <c r="C930" s="18" t="s">
        <v>1276</v>
      </c>
      <c r="D930" s="20" t="s">
        <v>1556</v>
      </c>
      <c r="E930" s="19">
        <v>0</v>
      </c>
      <c r="F930" s="20" t="s">
        <v>1556</v>
      </c>
      <c r="G930" s="21">
        <v>0</v>
      </c>
      <c r="H930" s="21">
        <v>0</v>
      </c>
      <c r="I930" s="14" t="s">
        <v>1561</v>
      </c>
      <c r="J930" s="21">
        <v>0</v>
      </c>
      <c r="K930" s="21">
        <v>0</v>
      </c>
      <c r="L930" s="24">
        <f t="shared" si="28"/>
        <v>0</v>
      </c>
    </row>
    <row r="931" spans="1:12" x14ac:dyDescent="0.25">
      <c r="A931" s="15">
        <f t="shared" si="29"/>
        <v>926</v>
      </c>
      <c r="B931" s="17">
        <v>77356</v>
      </c>
      <c r="C931" s="18" t="s">
        <v>311</v>
      </c>
      <c r="D931" s="20">
        <v>3.3639599999999999E-2</v>
      </c>
      <c r="E931" s="19">
        <v>0</v>
      </c>
      <c r="F931" s="20">
        <v>3.3639599999999999E-2</v>
      </c>
      <c r="G931" s="21">
        <v>13.759312099999999</v>
      </c>
      <c r="H931" s="21">
        <v>12.434937700000001</v>
      </c>
      <c r="I931" s="14" t="s">
        <v>1561</v>
      </c>
      <c r="J931" s="21">
        <v>3.4354584699036748</v>
      </c>
      <c r="K931" s="21">
        <v>13.5323855</v>
      </c>
      <c r="L931" s="24">
        <f t="shared" si="28"/>
        <v>0.98350741676976727</v>
      </c>
    </row>
    <row r="932" spans="1:12" x14ac:dyDescent="0.25">
      <c r="A932" s="15">
        <f t="shared" si="29"/>
        <v>927</v>
      </c>
      <c r="B932" s="17">
        <v>77404</v>
      </c>
      <c r="C932" s="18" t="s">
        <v>1277</v>
      </c>
      <c r="D932" s="20">
        <v>9.2376375999999993</v>
      </c>
      <c r="E932" s="19">
        <v>0</v>
      </c>
      <c r="F932" s="20">
        <v>9.2376375999999993</v>
      </c>
      <c r="G932" s="21">
        <v>1491.9006581000001</v>
      </c>
      <c r="H932" s="21">
        <v>1125.1705069</v>
      </c>
      <c r="I932" s="14" t="s">
        <v>1561</v>
      </c>
      <c r="J932" s="21">
        <v>574.36331049101864</v>
      </c>
      <c r="K932" s="21">
        <v>1287.1225340999999</v>
      </c>
      <c r="L932" s="24">
        <f t="shared" si="28"/>
        <v>0.8627401074674812</v>
      </c>
    </row>
    <row r="933" spans="1:12" x14ac:dyDescent="0.25">
      <c r="A933" s="15">
        <f t="shared" si="29"/>
        <v>928</v>
      </c>
      <c r="B933" s="17">
        <v>77441</v>
      </c>
      <c r="C933" s="18" t="s">
        <v>515</v>
      </c>
      <c r="D933" s="20" t="s">
        <v>1556</v>
      </c>
      <c r="E933" s="19">
        <v>0</v>
      </c>
      <c r="F933" s="20" t="s">
        <v>1556</v>
      </c>
      <c r="G933" s="21">
        <v>16.779161500000001</v>
      </c>
      <c r="H933" s="21">
        <v>9.0273413999999992</v>
      </c>
      <c r="I933" s="14" t="s">
        <v>1561</v>
      </c>
      <c r="J933" s="21">
        <v>9.2942894157452454</v>
      </c>
      <c r="K933" s="21">
        <v>13.998354299999999</v>
      </c>
      <c r="L933" s="24">
        <f t="shared" si="28"/>
        <v>0.83427019282220971</v>
      </c>
    </row>
    <row r="934" spans="1:12" x14ac:dyDescent="0.25">
      <c r="A934" s="15">
        <f t="shared" si="29"/>
        <v>929</v>
      </c>
      <c r="B934" s="17">
        <v>77444</v>
      </c>
      <c r="C934" s="18" t="s">
        <v>140</v>
      </c>
      <c r="D934" s="20">
        <v>5.0875299999999998E-2</v>
      </c>
      <c r="E934" s="19">
        <v>0</v>
      </c>
      <c r="F934" s="20">
        <v>5.0875299999999998E-2</v>
      </c>
      <c r="G934" s="21">
        <v>14.899255</v>
      </c>
      <c r="H934" s="21">
        <v>13.1827247</v>
      </c>
      <c r="I934" s="14" t="s">
        <v>1561</v>
      </c>
      <c r="J934" s="21">
        <v>4.8003419102528664</v>
      </c>
      <c r="K934" s="21">
        <v>13.467311</v>
      </c>
      <c r="L934" s="24">
        <f t="shared" si="28"/>
        <v>0.90389157041744705</v>
      </c>
    </row>
    <row r="935" spans="1:12" x14ac:dyDescent="0.25">
      <c r="A935" s="15">
        <f t="shared" si="29"/>
        <v>930</v>
      </c>
      <c r="B935" s="17">
        <v>77509</v>
      </c>
      <c r="C935" s="18" t="s">
        <v>141</v>
      </c>
      <c r="D935" s="20" t="s">
        <v>1556</v>
      </c>
      <c r="E935" s="19">
        <v>0</v>
      </c>
      <c r="F935" s="20" t="s">
        <v>1556</v>
      </c>
      <c r="G935" s="21">
        <v>0</v>
      </c>
      <c r="H935" s="21">
        <v>0</v>
      </c>
      <c r="I935" s="14" t="s">
        <v>1561</v>
      </c>
      <c r="J935" s="21">
        <v>0</v>
      </c>
      <c r="K935" s="21">
        <v>0</v>
      </c>
      <c r="L935" s="24">
        <f t="shared" si="28"/>
        <v>0</v>
      </c>
    </row>
    <row r="936" spans="1:12" x14ac:dyDescent="0.25">
      <c r="A936" s="15">
        <f t="shared" si="29"/>
        <v>931</v>
      </c>
      <c r="B936" s="17">
        <v>77558</v>
      </c>
      <c r="C936" s="18" t="s">
        <v>1278</v>
      </c>
      <c r="D936" s="20">
        <v>1.1353097999999999</v>
      </c>
      <c r="E936" s="19">
        <v>0</v>
      </c>
      <c r="F936" s="20">
        <v>1.1353097999999999</v>
      </c>
      <c r="G936" s="21">
        <v>138.98881489999999</v>
      </c>
      <c r="H936" s="21">
        <v>81.0439528</v>
      </c>
      <c r="I936" s="14" t="s">
        <v>1561</v>
      </c>
      <c r="J936" s="21">
        <v>89.897171215122867</v>
      </c>
      <c r="K936" s="21">
        <v>158.13768150000001</v>
      </c>
      <c r="L936" s="24">
        <f t="shared" si="28"/>
        <v>1.1377727165583598</v>
      </c>
    </row>
    <row r="937" spans="1:12" x14ac:dyDescent="0.25">
      <c r="A937" s="15">
        <f t="shared" si="29"/>
        <v>932</v>
      </c>
      <c r="B937" s="17">
        <v>77775</v>
      </c>
      <c r="C937" s="18" t="s">
        <v>1279</v>
      </c>
      <c r="D937" s="20">
        <v>2.7466000000000001E-3</v>
      </c>
      <c r="E937" s="19">
        <v>0</v>
      </c>
      <c r="F937" s="20">
        <v>2.7466000000000001E-3</v>
      </c>
      <c r="G937" s="21">
        <v>0.75996200000000003</v>
      </c>
      <c r="H937" s="21">
        <v>0.75996200000000003</v>
      </c>
      <c r="I937" s="14" t="s">
        <v>1561</v>
      </c>
      <c r="J937" s="21">
        <v>0.14907744650958782</v>
      </c>
      <c r="K937" s="21">
        <v>0.80032039999999993</v>
      </c>
      <c r="L937" s="24">
        <f t="shared" si="28"/>
        <v>1.0531058131853961</v>
      </c>
    </row>
    <row r="938" spans="1:12" x14ac:dyDescent="0.25">
      <c r="A938" s="15">
        <f t="shared" si="29"/>
        <v>933</v>
      </c>
      <c r="B938" s="17">
        <v>77864</v>
      </c>
      <c r="C938" s="18" t="s">
        <v>790</v>
      </c>
      <c r="D938" s="20" t="s">
        <v>1556</v>
      </c>
      <c r="E938" s="19">
        <v>0</v>
      </c>
      <c r="F938" s="20" t="s">
        <v>1556</v>
      </c>
      <c r="G938" s="21">
        <v>0.14499280000000001</v>
      </c>
      <c r="H938" s="21">
        <v>0.14499280000000001</v>
      </c>
      <c r="I938" s="14" t="s">
        <v>1561</v>
      </c>
      <c r="J938" s="21">
        <v>2.6462309774551968E-2</v>
      </c>
      <c r="K938" s="21">
        <v>0.1494772</v>
      </c>
      <c r="L938" s="24">
        <f t="shared" si="28"/>
        <v>1.030928432308363</v>
      </c>
    </row>
    <row r="939" spans="1:12" x14ac:dyDescent="0.25">
      <c r="A939" s="15">
        <f t="shared" si="29"/>
        <v>934</v>
      </c>
      <c r="B939" s="17">
        <v>77875</v>
      </c>
      <c r="C939" s="18" t="s">
        <v>400</v>
      </c>
      <c r="D939" s="20">
        <v>5.7386099999999995E-2</v>
      </c>
      <c r="E939" s="19">
        <v>0</v>
      </c>
      <c r="F939" s="20">
        <v>5.7386099999999995E-2</v>
      </c>
      <c r="G939" s="21">
        <v>57.254868700000003</v>
      </c>
      <c r="H939" s="21">
        <v>55.103232900000002</v>
      </c>
      <c r="I939" s="14" t="s">
        <v>1561</v>
      </c>
      <c r="J939" s="21">
        <v>7.5429650313062702</v>
      </c>
      <c r="K939" s="21">
        <v>57.688740700000004</v>
      </c>
      <c r="L939" s="24">
        <f t="shared" si="28"/>
        <v>1.0075779057720553</v>
      </c>
    </row>
    <row r="940" spans="1:12" x14ac:dyDescent="0.25">
      <c r="A940" s="15">
        <f t="shared" si="29"/>
        <v>935</v>
      </c>
      <c r="B940" s="17">
        <v>77877</v>
      </c>
      <c r="C940" s="18" t="s">
        <v>1280</v>
      </c>
      <c r="D940" s="20" t="s">
        <v>1556</v>
      </c>
      <c r="E940" s="19">
        <v>0</v>
      </c>
      <c r="F940" s="20" t="s">
        <v>1556</v>
      </c>
      <c r="G940" s="21">
        <v>0</v>
      </c>
      <c r="H940" s="21">
        <v>0</v>
      </c>
      <c r="I940" s="14" t="s">
        <v>1561</v>
      </c>
      <c r="J940" s="21">
        <v>0</v>
      </c>
      <c r="K940" s="21">
        <v>0</v>
      </c>
      <c r="L940" s="24">
        <f t="shared" si="28"/>
        <v>0</v>
      </c>
    </row>
    <row r="941" spans="1:12" x14ac:dyDescent="0.25">
      <c r="A941" s="15">
        <f t="shared" si="29"/>
        <v>936</v>
      </c>
      <c r="B941" s="17">
        <v>77890</v>
      </c>
      <c r="C941" s="18" t="s">
        <v>791</v>
      </c>
      <c r="D941" s="20" t="s">
        <v>1556</v>
      </c>
      <c r="E941" s="19">
        <v>0</v>
      </c>
      <c r="F941" s="20" t="s">
        <v>1556</v>
      </c>
      <c r="G941" s="21">
        <v>0</v>
      </c>
      <c r="H941" s="21">
        <v>0</v>
      </c>
      <c r="I941" s="14" t="s">
        <v>1561</v>
      </c>
      <c r="J941" s="21">
        <v>0</v>
      </c>
      <c r="K941" s="21">
        <v>0</v>
      </c>
      <c r="L941" s="24">
        <f t="shared" si="28"/>
        <v>0</v>
      </c>
    </row>
    <row r="942" spans="1:12" x14ac:dyDescent="0.25">
      <c r="A942" s="15">
        <f t="shared" si="29"/>
        <v>937</v>
      </c>
      <c r="B942" s="17">
        <v>77926</v>
      </c>
      <c r="C942" s="18" t="s">
        <v>192</v>
      </c>
      <c r="D942" s="20" t="s">
        <v>1556</v>
      </c>
      <c r="E942" s="19">
        <v>0</v>
      </c>
      <c r="F942" s="20" t="s">
        <v>1556</v>
      </c>
      <c r="G942" s="21">
        <v>0</v>
      </c>
      <c r="H942" s="21">
        <v>0</v>
      </c>
      <c r="I942" s="14" t="s">
        <v>1561</v>
      </c>
      <c r="J942" s="21">
        <v>0</v>
      </c>
      <c r="K942" s="21">
        <v>0</v>
      </c>
      <c r="L942" s="24">
        <f t="shared" si="28"/>
        <v>0</v>
      </c>
    </row>
    <row r="943" spans="1:12" x14ac:dyDescent="0.25">
      <c r="A943" s="15">
        <f t="shared" si="29"/>
        <v>938</v>
      </c>
      <c r="B943" s="17">
        <v>78038</v>
      </c>
      <c r="C943" s="18" t="s">
        <v>792</v>
      </c>
      <c r="D943" s="20" t="s">
        <v>1556</v>
      </c>
      <c r="E943" s="19">
        <v>0</v>
      </c>
      <c r="F943" s="20" t="s">
        <v>1556</v>
      </c>
      <c r="G943" s="21">
        <v>0.11999399999999999</v>
      </c>
      <c r="H943" s="21">
        <v>0.11999399999999999</v>
      </c>
      <c r="I943" s="14" t="s">
        <v>1561</v>
      </c>
      <c r="J943" s="21">
        <v>8.7061529583333328E-3</v>
      </c>
      <c r="K943" s="21">
        <v>0.13701860000000002</v>
      </c>
      <c r="L943" s="24">
        <f t="shared" si="28"/>
        <v>1.1418787606046972</v>
      </c>
    </row>
    <row r="944" spans="1:12" x14ac:dyDescent="0.25">
      <c r="A944" s="15">
        <f t="shared" si="29"/>
        <v>939</v>
      </c>
      <c r="B944" s="17">
        <v>78126</v>
      </c>
      <c r="C944" s="18" t="s">
        <v>464</v>
      </c>
      <c r="D944" s="20" t="s">
        <v>1556</v>
      </c>
      <c r="E944" s="19">
        <v>0</v>
      </c>
      <c r="F944" s="20" t="s">
        <v>1556</v>
      </c>
      <c r="G944" s="21">
        <v>0</v>
      </c>
      <c r="H944" s="21">
        <v>0</v>
      </c>
      <c r="I944" s="14" t="s">
        <v>1561</v>
      </c>
      <c r="J944" s="21">
        <v>0</v>
      </c>
      <c r="K944" s="21">
        <v>0</v>
      </c>
      <c r="L944" s="24">
        <f t="shared" si="28"/>
        <v>0</v>
      </c>
    </row>
    <row r="945" spans="1:12" x14ac:dyDescent="0.25">
      <c r="A945" s="15">
        <f t="shared" si="29"/>
        <v>940</v>
      </c>
      <c r="B945" s="17">
        <v>78165</v>
      </c>
      <c r="C945" s="18" t="s">
        <v>793</v>
      </c>
      <c r="D945" s="20" t="s">
        <v>1556</v>
      </c>
      <c r="E945" s="19">
        <v>0</v>
      </c>
      <c r="F945" s="20" t="s">
        <v>1556</v>
      </c>
      <c r="G945" s="21">
        <v>0</v>
      </c>
      <c r="H945" s="21">
        <v>0</v>
      </c>
      <c r="I945" s="14" t="s">
        <v>1561</v>
      </c>
      <c r="J945" s="21">
        <v>0</v>
      </c>
      <c r="K945" s="21">
        <v>0</v>
      </c>
      <c r="L945" s="24">
        <f t="shared" si="28"/>
        <v>0</v>
      </c>
    </row>
    <row r="946" spans="1:12" x14ac:dyDescent="0.25">
      <c r="A946" s="15">
        <f t="shared" si="29"/>
        <v>941</v>
      </c>
      <c r="B946" s="17">
        <v>78432</v>
      </c>
      <c r="C946" s="18" t="s">
        <v>172</v>
      </c>
      <c r="D946" s="20" t="s">
        <v>1556</v>
      </c>
      <c r="E946" s="19">
        <v>0</v>
      </c>
      <c r="F946" s="20" t="s">
        <v>1556</v>
      </c>
      <c r="G946" s="21">
        <v>0</v>
      </c>
      <c r="H946" s="21">
        <v>0</v>
      </c>
      <c r="I946" s="14" t="s">
        <v>1561</v>
      </c>
      <c r="J946" s="21">
        <v>0</v>
      </c>
      <c r="K946" s="21">
        <v>0</v>
      </c>
      <c r="L946" s="24">
        <f t="shared" si="28"/>
        <v>0</v>
      </c>
    </row>
    <row r="947" spans="1:12" x14ac:dyDescent="0.25">
      <c r="A947" s="15">
        <f t="shared" si="29"/>
        <v>942</v>
      </c>
      <c r="B947" s="17">
        <v>78494</v>
      </c>
      <c r="C947" s="18" t="s">
        <v>401</v>
      </c>
      <c r="D947" s="20" t="s">
        <v>1556</v>
      </c>
      <c r="E947" s="19">
        <v>0</v>
      </c>
      <c r="F947" s="20" t="s">
        <v>1556</v>
      </c>
      <c r="G947" s="21">
        <v>0</v>
      </c>
      <c r="H947" s="21">
        <v>0</v>
      </c>
      <c r="I947" s="14" t="s">
        <v>1561</v>
      </c>
      <c r="J947" s="21">
        <v>0</v>
      </c>
      <c r="K947" s="21">
        <v>0</v>
      </c>
      <c r="L947" s="24">
        <f t="shared" si="28"/>
        <v>0</v>
      </c>
    </row>
    <row r="948" spans="1:12" x14ac:dyDescent="0.25">
      <c r="A948" s="15">
        <f t="shared" si="29"/>
        <v>943</v>
      </c>
      <c r="B948" s="17">
        <v>78740</v>
      </c>
      <c r="C948" s="18" t="s">
        <v>1281</v>
      </c>
      <c r="D948" s="20" t="s">
        <v>1556</v>
      </c>
      <c r="E948" s="19">
        <v>0</v>
      </c>
      <c r="F948" s="20" t="s">
        <v>1556</v>
      </c>
      <c r="G948" s="21">
        <v>0</v>
      </c>
      <c r="H948" s="21">
        <v>0</v>
      </c>
      <c r="I948" s="14" t="s">
        <v>1561</v>
      </c>
      <c r="J948" s="21">
        <v>0</v>
      </c>
      <c r="K948" s="21">
        <v>0</v>
      </c>
      <c r="L948" s="24">
        <f t="shared" si="28"/>
        <v>0</v>
      </c>
    </row>
    <row r="949" spans="1:12" x14ac:dyDescent="0.25">
      <c r="A949" s="15">
        <f t="shared" si="29"/>
        <v>944</v>
      </c>
      <c r="B949" s="17">
        <v>78908</v>
      </c>
      <c r="C949" s="18" t="s">
        <v>1282</v>
      </c>
      <c r="D949" s="20">
        <v>0.46481489999999998</v>
      </c>
      <c r="E949" s="19">
        <v>0</v>
      </c>
      <c r="F949" s="20">
        <v>0.46481489999999998</v>
      </c>
      <c r="G949" s="21">
        <v>71.434367000000009</v>
      </c>
      <c r="H949" s="21">
        <v>39.913963200000005</v>
      </c>
      <c r="I949" s="14" t="s">
        <v>1561</v>
      </c>
      <c r="J949" s="21">
        <v>32.33226381970406</v>
      </c>
      <c r="K949" s="21">
        <v>47.206112599999997</v>
      </c>
      <c r="L949" s="24">
        <f t="shared" si="28"/>
        <v>0.66083195781660653</v>
      </c>
    </row>
    <row r="950" spans="1:12" x14ac:dyDescent="0.25">
      <c r="A950" s="15">
        <f t="shared" si="29"/>
        <v>945</v>
      </c>
      <c r="B950" s="17">
        <v>78933</v>
      </c>
      <c r="C950" s="18" t="s">
        <v>312</v>
      </c>
      <c r="D950" s="20" t="s">
        <v>1556</v>
      </c>
      <c r="E950" s="19">
        <v>0</v>
      </c>
      <c r="F950" s="20" t="s">
        <v>1556</v>
      </c>
      <c r="G950" s="21">
        <v>0</v>
      </c>
      <c r="H950" s="21">
        <v>0</v>
      </c>
      <c r="I950" s="14" t="s">
        <v>1561</v>
      </c>
      <c r="J950" s="21">
        <v>0</v>
      </c>
      <c r="K950" s="21">
        <v>0</v>
      </c>
      <c r="L950" s="24">
        <f t="shared" si="28"/>
        <v>0</v>
      </c>
    </row>
    <row r="951" spans="1:12" x14ac:dyDescent="0.25">
      <c r="A951" s="15">
        <f t="shared" si="29"/>
        <v>946</v>
      </c>
      <c r="B951" s="17">
        <v>79003</v>
      </c>
      <c r="C951" s="18" t="s">
        <v>794</v>
      </c>
      <c r="D951" s="20" t="s">
        <v>1556</v>
      </c>
      <c r="E951" s="19">
        <v>0</v>
      </c>
      <c r="F951" s="20" t="s">
        <v>1556</v>
      </c>
      <c r="G951" s="21">
        <v>9.0185498000000006</v>
      </c>
      <c r="H951" s="21">
        <v>7.9685497999999999</v>
      </c>
      <c r="I951" s="14" t="s">
        <v>1561</v>
      </c>
      <c r="J951" s="21">
        <v>4.3668732651844087</v>
      </c>
      <c r="K951" s="21">
        <v>12.015226699999999</v>
      </c>
      <c r="L951" s="24">
        <f t="shared" si="28"/>
        <v>1.3322792429443588</v>
      </c>
    </row>
    <row r="952" spans="1:12" x14ac:dyDescent="0.25">
      <c r="A952" s="15">
        <f t="shared" si="29"/>
        <v>947</v>
      </c>
      <c r="B952" s="17">
        <v>79036</v>
      </c>
      <c r="C952" s="18" t="s">
        <v>313</v>
      </c>
      <c r="D952" s="20" t="s">
        <v>1556</v>
      </c>
      <c r="E952" s="19">
        <v>0</v>
      </c>
      <c r="F952" s="20" t="s">
        <v>1556</v>
      </c>
      <c r="G952" s="21">
        <v>0</v>
      </c>
      <c r="H952" s="21">
        <v>0</v>
      </c>
      <c r="I952" s="14" t="s">
        <v>1561</v>
      </c>
      <c r="J952" s="21">
        <v>0</v>
      </c>
      <c r="K952" s="21">
        <v>0</v>
      </c>
      <c r="L952" s="24">
        <f t="shared" si="28"/>
        <v>0</v>
      </c>
    </row>
    <row r="953" spans="1:12" x14ac:dyDescent="0.25">
      <c r="A953" s="15">
        <f t="shared" si="29"/>
        <v>948</v>
      </c>
      <c r="B953" s="17">
        <v>79099</v>
      </c>
      <c r="C953" s="18" t="s">
        <v>1283</v>
      </c>
      <c r="D953" s="20" t="s">
        <v>1556</v>
      </c>
      <c r="E953" s="19">
        <v>0</v>
      </c>
      <c r="F953" s="20" t="s">
        <v>1556</v>
      </c>
      <c r="G953" s="21">
        <v>0</v>
      </c>
      <c r="H953" s="21">
        <v>0</v>
      </c>
      <c r="I953" s="14" t="s">
        <v>1561</v>
      </c>
      <c r="J953" s="21">
        <v>0</v>
      </c>
      <c r="K953" s="21">
        <v>0</v>
      </c>
      <c r="L953" s="24">
        <f t="shared" si="28"/>
        <v>0</v>
      </c>
    </row>
    <row r="954" spans="1:12" x14ac:dyDescent="0.25">
      <c r="A954" s="15">
        <f t="shared" si="29"/>
        <v>949</v>
      </c>
      <c r="B954" s="17">
        <v>79638</v>
      </c>
      <c r="C954" s="18" t="s">
        <v>1284</v>
      </c>
      <c r="D954" s="20" t="s">
        <v>1556</v>
      </c>
      <c r="E954" s="19">
        <v>0</v>
      </c>
      <c r="F954" s="20" t="s">
        <v>1556</v>
      </c>
      <c r="G954" s="21">
        <v>0</v>
      </c>
      <c r="H954" s="21">
        <v>0</v>
      </c>
      <c r="I954" s="14" t="s">
        <v>1561</v>
      </c>
      <c r="J954" s="21">
        <v>0</v>
      </c>
      <c r="K954" s="21">
        <v>0</v>
      </c>
      <c r="L954" s="24">
        <f t="shared" si="28"/>
        <v>0</v>
      </c>
    </row>
    <row r="955" spans="1:12" x14ac:dyDescent="0.25">
      <c r="A955" s="15">
        <f t="shared" si="29"/>
        <v>950</v>
      </c>
      <c r="B955" s="17">
        <v>79664</v>
      </c>
      <c r="C955" s="18" t="s">
        <v>1285</v>
      </c>
      <c r="D955" s="20" t="s">
        <v>1556</v>
      </c>
      <c r="E955" s="19">
        <v>0</v>
      </c>
      <c r="F955" s="20" t="s">
        <v>1556</v>
      </c>
      <c r="G955" s="21">
        <v>0</v>
      </c>
      <c r="H955" s="21">
        <v>0</v>
      </c>
      <c r="I955" s="14" t="s">
        <v>1561</v>
      </c>
      <c r="J955" s="21">
        <v>0</v>
      </c>
      <c r="K955" s="21">
        <v>0</v>
      </c>
      <c r="L955" s="24">
        <f t="shared" si="28"/>
        <v>0</v>
      </c>
    </row>
    <row r="956" spans="1:12" x14ac:dyDescent="0.25">
      <c r="A956" s="15">
        <f t="shared" si="29"/>
        <v>951</v>
      </c>
      <c r="B956" s="17">
        <v>79799</v>
      </c>
      <c r="C956" s="18" t="s">
        <v>795</v>
      </c>
      <c r="D956" s="20">
        <v>0.1385969</v>
      </c>
      <c r="E956" s="19">
        <v>0</v>
      </c>
      <c r="F956" s="20">
        <v>0.1385969</v>
      </c>
      <c r="G956" s="21">
        <v>73.7363134</v>
      </c>
      <c r="H956" s="21">
        <v>72.336313399999995</v>
      </c>
      <c r="I956" s="14" t="s">
        <v>1561</v>
      </c>
      <c r="J956" s="21">
        <v>20.844632186025532</v>
      </c>
      <c r="K956" s="21">
        <v>73.859859900000004</v>
      </c>
      <c r="L956" s="24">
        <f t="shared" si="28"/>
        <v>1.0016755177239443</v>
      </c>
    </row>
    <row r="957" spans="1:12" x14ac:dyDescent="0.25">
      <c r="A957" s="15">
        <f t="shared" si="29"/>
        <v>952</v>
      </c>
      <c r="B957" s="17">
        <v>79846</v>
      </c>
      <c r="C957" s="18" t="s">
        <v>796</v>
      </c>
      <c r="D957" s="20">
        <v>0.44079730000000006</v>
      </c>
      <c r="E957" s="19">
        <v>0</v>
      </c>
      <c r="F957" s="20">
        <v>0.44079730000000006</v>
      </c>
      <c r="G957" s="21">
        <v>174.50124890000001</v>
      </c>
      <c r="H957" s="21">
        <v>124.1037747</v>
      </c>
      <c r="I957" s="14" t="s">
        <v>1561</v>
      </c>
      <c r="J957" s="21">
        <v>46.610098039718281</v>
      </c>
      <c r="K957" s="21">
        <v>124.7193281</v>
      </c>
      <c r="L957" s="24">
        <f t="shared" si="28"/>
        <v>0.71471882800948816</v>
      </c>
    </row>
    <row r="958" spans="1:12" x14ac:dyDescent="0.25">
      <c r="A958" s="15">
        <f t="shared" si="29"/>
        <v>953</v>
      </c>
      <c r="B958" s="17">
        <v>80121</v>
      </c>
      <c r="C958" s="18" t="s">
        <v>402</v>
      </c>
      <c r="D958" s="20" t="s">
        <v>1556</v>
      </c>
      <c r="E958" s="19">
        <v>0</v>
      </c>
      <c r="F958" s="20" t="s">
        <v>1556</v>
      </c>
      <c r="G958" s="21">
        <v>0</v>
      </c>
      <c r="H958" s="21">
        <v>0</v>
      </c>
      <c r="I958" s="14" t="s">
        <v>1561</v>
      </c>
      <c r="J958" s="21">
        <v>0</v>
      </c>
      <c r="K958" s="21">
        <v>0</v>
      </c>
      <c r="L958" s="24">
        <f t="shared" si="28"/>
        <v>0</v>
      </c>
    </row>
    <row r="959" spans="1:12" x14ac:dyDescent="0.25">
      <c r="A959" s="15">
        <f t="shared" si="29"/>
        <v>954</v>
      </c>
      <c r="B959" s="17">
        <v>80125</v>
      </c>
      <c r="C959" s="18" t="s">
        <v>1286</v>
      </c>
      <c r="D959" s="20" t="s">
        <v>1556</v>
      </c>
      <c r="E959" s="19">
        <v>0</v>
      </c>
      <c r="F959" s="20" t="s">
        <v>1556</v>
      </c>
      <c r="G959" s="21">
        <v>0</v>
      </c>
      <c r="H959" s="21">
        <v>0</v>
      </c>
      <c r="I959" s="14" t="s">
        <v>1561</v>
      </c>
      <c r="J959" s="21">
        <v>0</v>
      </c>
      <c r="K959" s="21">
        <v>0</v>
      </c>
      <c r="L959" s="24">
        <f t="shared" si="28"/>
        <v>0</v>
      </c>
    </row>
    <row r="960" spans="1:12" x14ac:dyDescent="0.25">
      <c r="A960" s="15">
        <f t="shared" si="29"/>
        <v>955</v>
      </c>
      <c r="B960" s="17">
        <v>80131</v>
      </c>
      <c r="C960" s="18" t="s">
        <v>797</v>
      </c>
      <c r="D960" s="20" t="s">
        <v>1556</v>
      </c>
      <c r="E960" s="19">
        <v>0</v>
      </c>
      <c r="F960" s="20" t="s">
        <v>1556</v>
      </c>
      <c r="G960" s="21">
        <v>2.9998499999999999</v>
      </c>
      <c r="H960" s="21">
        <v>2.9998499999999999</v>
      </c>
      <c r="I960" s="14" t="s">
        <v>1561</v>
      </c>
      <c r="J960" s="21">
        <v>1.615415215E-2</v>
      </c>
      <c r="K960" s="21">
        <v>3.0094928000000003</v>
      </c>
      <c r="L960" s="24">
        <f t="shared" si="28"/>
        <v>1.0032144273880361</v>
      </c>
    </row>
    <row r="961" spans="1:12" x14ac:dyDescent="0.25">
      <c r="A961" s="15">
        <f t="shared" si="29"/>
        <v>956</v>
      </c>
      <c r="B961" s="17">
        <v>80655</v>
      </c>
      <c r="C961" s="18" t="s">
        <v>1287</v>
      </c>
      <c r="D961" s="20" t="s">
        <v>1556</v>
      </c>
      <c r="E961" s="19">
        <v>0</v>
      </c>
      <c r="F961" s="20" t="s">
        <v>1556</v>
      </c>
      <c r="G961" s="21">
        <v>0</v>
      </c>
      <c r="H961" s="21">
        <v>0</v>
      </c>
      <c r="I961" s="14" t="s">
        <v>1561</v>
      </c>
      <c r="J961" s="21">
        <v>0</v>
      </c>
      <c r="K961" s="21">
        <v>0</v>
      </c>
      <c r="L961" s="24">
        <f t="shared" si="28"/>
        <v>0</v>
      </c>
    </row>
    <row r="962" spans="1:12" x14ac:dyDescent="0.25">
      <c r="A962" s="15">
        <f t="shared" si="29"/>
        <v>957</v>
      </c>
      <c r="B962" s="17">
        <v>80711</v>
      </c>
      <c r="C962" s="18" t="s">
        <v>314</v>
      </c>
      <c r="D962" s="20" t="s">
        <v>1556</v>
      </c>
      <c r="E962" s="19">
        <v>0</v>
      </c>
      <c r="F962" s="20" t="s">
        <v>1556</v>
      </c>
      <c r="G962" s="21">
        <v>0</v>
      </c>
      <c r="H962" s="21">
        <v>0</v>
      </c>
      <c r="I962" s="14" t="s">
        <v>1561</v>
      </c>
      <c r="J962" s="21">
        <v>0</v>
      </c>
      <c r="K962" s="21">
        <v>0</v>
      </c>
      <c r="L962" s="24">
        <f t="shared" si="28"/>
        <v>0</v>
      </c>
    </row>
    <row r="963" spans="1:12" x14ac:dyDescent="0.25">
      <c r="A963" s="15">
        <f t="shared" si="29"/>
        <v>958</v>
      </c>
      <c r="B963" s="17">
        <v>80789</v>
      </c>
      <c r="C963" s="18" t="s">
        <v>516</v>
      </c>
      <c r="D963" s="20">
        <v>6.0639999999999999E-4</v>
      </c>
      <c r="E963" s="19">
        <v>0</v>
      </c>
      <c r="F963" s="20">
        <v>6.0639999999999999E-4</v>
      </c>
      <c r="G963" s="21">
        <v>0.23998799999999998</v>
      </c>
      <c r="H963" s="21">
        <v>0.23998799999999998</v>
      </c>
      <c r="I963" s="14" t="s">
        <v>1561</v>
      </c>
      <c r="J963" s="21">
        <v>7.9680704982437275E-2</v>
      </c>
      <c r="K963" s="21">
        <v>0.25442769999999998</v>
      </c>
      <c r="L963" s="24">
        <f t="shared" si="28"/>
        <v>1.0601684250879211</v>
      </c>
    </row>
    <row r="964" spans="1:12" x14ac:dyDescent="0.25">
      <c r="A964" s="15">
        <f t="shared" si="29"/>
        <v>959</v>
      </c>
      <c r="B964" s="17">
        <v>80863</v>
      </c>
      <c r="C964" s="18" t="s">
        <v>798</v>
      </c>
      <c r="D964" s="20" t="s">
        <v>1556</v>
      </c>
      <c r="E964" s="19">
        <v>0</v>
      </c>
      <c r="F964" s="20" t="s">
        <v>1556</v>
      </c>
      <c r="G964" s="21">
        <v>0</v>
      </c>
      <c r="H964" s="21">
        <v>0</v>
      </c>
      <c r="I964" s="14" t="s">
        <v>1561</v>
      </c>
      <c r="J964" s="21">
        <v>0</v>
      </c>
      <c r="K964" s="21">
        <v>0</v>
      </c>
      <c r="L964" s="24">
        <f t="shared" si="28"/>
        <v>0</v>
      </c>
    </row>
    <row r="965" spans="1:12" x14ac:dyDescent="0.25">
      <c r="A965" s="15">
        <f t="shared" si="29"/>
        <v>960</v>
      </c>
      <c r="B965" s="17">
        <v>80943</v>
      </c>
      <c r="C965" s="18" t="s">
        <v>315</v>
      </c>
      <c r="D965" s="20">
        <v>6.0041700000000003E-2</v>
      </c>
      <c r="E965" s="19">
        <v>0</v>
      </c>
      <c r="F965" s="20">
        <v>6.0041700000000003E-2</v>
      </c>
      <c r="G965" s="21">
        <v>91.124974100000003</v>
      </c>
      <c r="H965" s="21">
        <v>68.717645199999993</v>
      </c>
      <c r="I965" s="14" t="s">
        <v>1561</v>
      </c>
      <c r="J965" s="21">
        <v>15.157627956473123</v>
      </c>
      <c r="K965" s="21">
        <v>70.790005600000001</v>
      </c>
      <c r="L965" s="24">
        <f t="shared" si="28"/>
        <v>0.77684527539415782</v>
      </c>
    </row>
    <row r="966" spans="1:12" x14ac:dyDescent="0.25">
      <c r="A966" s="15">
        <f t="shared" si="29"/>
        <v>961</v>
      </c>
      <c r="B966" s="17">
        <v>81023</v>
      </c>
      <c r="C966" s="18" t="s">
        <v>465</v>
      </c>
      <c r="D966" s="20" t="s">
        <v>1556</v>
      </c>
      <c r="E966" s="19">
        <v>0</v>
      </c>
      <c r="F966" s="20" t="s">
        <v>1556</v>
      </c>
      <c r="G966" s="21">
        <v>0</v>
      </c>
      <c r="H966" s="21">
        <v>0</v>
      </c>
      <c r="I966" s="14" t="s">
        <v>1561</v>
      </c>
      <c r="J966" s="21">
        <v>0</v>
      </c>
      <c r="K966" s="21">
        <v>0</v>
      </c>
      <c r="L966" s="24">
        <f t="shared" si="28"/>
        <v>0</v>
      </c>
    </row>
    <row r="967" spans="1:12" x14ac:dyDescent="0.25">
      <c r="A967" s="15">
        <f t="shared" si="29"/>
        <v>962</v>
      </c>
      <c r="B967" s="17">
        <v>81103</v>
      </c>
      <c r="C967" s="18" t="s">
        <v>799</v>
      </c>
      <c r="D967" s="20">
        <v>0.64626850000000002</v>
      </c>
      <c r="E967" s="19">
        <v>0</v>
      </c>
      <c r="F967" s="20">
        <v>0.64626850000000002</v>
      </c>
      <c r="G967" s="21">
        <v>213.43932760000001</v>
      </c>
      <c r="H967" s="21">
        <v>202.64597740000002</v>
      </c>
      <c r="I967" s="14" t="s">
        <v>1561</v>
      </c>
      <c r="J967" s="21">
        <v>109.65676584027925</v>
      </c>
      <c r="K967" s="21">
        <v>304.7644651</v>
      </c>
      <c r="L967" s="24">
        <f t="shared" ref="L967:L1030" si="30">+IFERROR(K967/G967,0)</f>
        <v>1.4278739936397737</v>
      </c>
    </row>
    <row r="968" spans="1:12" x14ac:dyDescent="0.25">
      <c r="A968" s="15">
        <f t="shared" ref="A968:A1031" si="31">A967+1</f>
        <v>963</v>
      </c>
      <c r="B968" s="17">
        <v>81194</v>
      </c>
      <c r="C968" s="18" t="s">
        <v>800</v>
      </c>
      <c r="D968" s="20" t="s">
        <v>1556</v>
      </c>
      <c r="E968" s="19">
        <v>0</v>
      </c>
      <c r="F968" s="20" t="s">
        <v>1556</v>
      </c>
      <c r="G968" s="21">
        <v>0</v>
      </c>
      <c r="H968" s="21">
        <v>0</v>
      </c>
      <c r="I968" s="14" t="s">
        <v>1561</v>
      </c>
      <c r="J968" s="21">
        <v>0</v>
      </c>
      <c r="K968" s="21">
        <v>0</v>
      </c>
      <c r="L968" s="24">
        <f t="shared" si="30"/>
        <v>0</v>
      </c>
    </row>
    <row r="969" spans="1:12" x14ac:dyDescent="0.25">
      <c r="A969" s="15">
        <f t="shared" si="31"/>
        <v>964</v>
      </c>
      <c r="B969" s="17">
        <v>81310</v>
      </c>
      <c r="C969" s="18" t="s">
        <v>1288</v>
      </c>
      <c r="D969" s="20">
        <v>0.43035519999999999</v>
      </c>
      <c r="E969" s="19">
        <v>0</v>
      </c>
      <c r="F969" s="20">
        <v>0.43035519999999999</v>
      </c>
      <c r="G969" s="21">
        <v>214.9792506</v>
      </c>
      <c r="H969" s="21">
        <v>214.9792506</v>
      </c>
      <c r="I969" s="14" t="s">
        <v>1561</v>
      </c>
      <c r="J969" s="21">
        <v>40.822320016939251</v>
      </c>
      <c r="K969" s="21">
        <v>223.13580999999999</v>
      </c>
      <c r="L969" s="24">
        <f t="shared" si="30"/>
        <v>1.0379411472373976</v>
      </c>
    </row>
    <row r="970" spans="1:12" x14ac:dyDescent="0.25">
      <c r="A970" s="15">
        <f t="shared" si="31"/>
        <v>965</v>
      </c>
      <c r="B970" s="17">
        <v>81389</v>
      </c>
      <c r="C970" s="18" t="s">
        <v>1289</v>
      </c>
      <c r="D970" s="20" t="s">
        <v>1556</v>
      </c>
      <c r="E970" s="19">
        <v>0</v>
      </c>
      <c r="F970" s="20" t="s">
        <v>1556</v>
      </c>
      <c r="G970" s="21">
        <v>0</v>
      </c>
      <c r="H970" s="21">
        <v>0</v>
      </c>
      <c r="I970" s="14" t="s">
        <v>1561</v>
      </c>
      <c r="J970" s="21">
        <v>0</v>
      </c>
      <c r="K970" s="21">
        <v>0</v>
      </c>
      <c r="L970" s="24">
        <f t="shared" si="30"/>
        <v>0</v>
      </c>
    </row>
    <row r="971" spans="1:12" x14ac:dyDescent="0.25">
      <c r="A971" s="15">
        <f t="shared" si="31"/>
        <v>966</v>
      </c>
      <c r="B971" s="17">
        <v>81404</v>
      </c>
      <c r="C971" s="18" t="s">
        <v>801</v>
      </c>
      <c r="D971" s="20" t="s">
        <v>1556</v>
      </c>
      <c r="E971" s="19">
        <v>0</v>
      </c>
      <c r="F971" s="20" t="s">
        <v>1556</v>
      </c>
      <c r="G971" s="21">
        <v>0</v>
      </c>
      <c r="H971" s="21">
        <v>0</v>
      </c>
      <c r="I971" s="14" t="s">
        <v>1561</v>
      </c>
      <c r="J971" s="21">
        <v>0</v>
      </c>
      <c r="K971" s="21">
        <v>0</v>
      </c>
      <c r="L971" s="24">
        <f t="shared" si="30"/>
        <v>0</v>
      </c>
    </row>
    <row r="972" spans="1:12" x14ac:dyDescent="0.25">
      <c r="A972" s="15">
        <f t="shared" si="31"/>
        <v>967</v>
      </c>
      <c r="B972" s="17">
        <v>81449</v>
      </c>
      <c r="C972" s="18" t="s">
        <v>1290</v>
      </c>
      <c r="D972" s="20" t="s">
        <v>1556</v>
      </c>
      <c r="E972" s="19">
        <v>0</v>
      </c>
      <c r="F972" s="20" t="s">
        <v>1556</v>
      </c>
      <c r="G972" s="21">
        <v>1.9999</v>
      </c>
      <c r="H972" s="21">
        <v>-3.931049999999988E-2</v>
      </c>
      <c r="I972" s="14" t="s">
        <v>1561</v>
      </c>
      <c r="J972" s="21">
        <v>0.91618662465367362</v>
      </c>
      <c r="K972" s="21">
        <v>0</v>
      </c>
      <c r="L972" s="24">
        <f t="shared" si="30"/>
        <v>0</v>
      </c>
    </row>
    <row r="973" spans="1:12" x14ac:dyDescent="0.25">
      <c r="A973" s="15">
        <f t="shared" si="31"/>
        <v>968</v>
      </c>
      <c r="B973" s="17">
        <v>81496</v>
      </c>
      <c r="C973" s="18" t="s">
        <v>802</v>
      </c>
      <c r="D973" s="20">
        <v>2.6991000000000003E-3</v>
      </c>
      <c r="E973" s="19">
        <v>0</v>
      </c>
      <c r="F973" s="20">
        <v>2.6991000000000003E-3</v>
      </c>
      <c r="G973" s="21">
        <v>0.92995360000000005</v>
      </c>
      <c r="H973" s="21">
        <v>0.92995360000000005</v>
      </c>
      <c r="I973" s="14" t="s">
        <v>1561</v>
      </c>
      <c r="J973" s="21">
        <v>0.34648719654516136</v>
      </c>
      <c r="K973" s="21">
        <v>0.90512100000000006</v>
      </c>
      <c r="L973" s="24">
        <f t="shared" si="30"/>
        <v>0.97329694728855287</v>
      </c>
    </row>
    <row r="974" spans="1:12" x14ac:dyDescent="0.25">
      <c r="A974" s="15">
        <f t="shared" si="31"/>
        <v>969</v>
      </c>
      <c r="B974" s="17">
        <v>81505</v>
      </c>
      <c r="C974" s="18" t="s">
        <v>1291</v>
      </c>
      <c r="D974" s="20" t="s">
        <v>1556</v>
      </c>
      <c r="E974" s="19">
        <v>0</v>
      </c>
      <c r="F974" s="20" t="s">
        <v>1556</v>
      </c>
      <c r="G974" s="21">
        <v>0</v>
      </c>
      <c r="H974" s="21">
        <v>0</v>
      </c>
      <c r="I974" s="14" t="s">
        <v>1561</v>
      </c>
      <c r="J974" s="21">
        <v>0</v>
      </c>
      <c r="K974" s="21">
        <v>0</v>
      </c>
      <c r="L974" s="24">
        <f t="shared" si="30"/>
        <v>0</v>
      </c>
    </row>
    <row r="975" spans="1:12" x14ac:dyDescent="0.25">
      <c r="A975" s="15">
        <f t="shared" si="31"/>
        <v>970</v>
      </c>
      <c r="B975" s="17">
        <v>81507</v>
      </c>
      <c r="C975" s="18" t="s">
        <v>1292</v>
      </c>
      <c r="D975" s="20" t="s">
        <v>1556</v>
      </c>
      <c r="E975" s="19">
        <v>0</v>
      </c>
      <c r="F975" s="20" t="s">
        <v>1556</v>
      </c>
      <c r="G975" s="21">
        <v>0</v>
      </c>
      <c r="H975" s="21">
        <v>0</v>
      </c>
      <c r="I975" s="14" t="s">
        <v>1561</v>
      </c>
      <c r="J975" s="21">
        <v>0</v>
      </c>
      <c r="K975" s="21">
        <v>0</v>
      </c>
      <c r="L975" s="24">
        <f t="shared" si="30"/>
        <v>0</v>
      </c>
    </row>
    <row r="976" spans="1:12" x14ac:dyDescent="0.25">
      <c r="A976" s="15">
        <f t="shared" si="31"/>
        <v>971</v>
      </c>
      <c r="B976" s="17">
        <v>81646</v>
      </c>
      <c r="C976" s="18" t="s">
        <v>1293</v>
      </c>
      <c r="D976" s="20">
        <v>1.3819000000000001E-2</v>
      </c>
      <c r="E976" s="19">
        <v>0</v>
      </c>
      <c r="F976" s="20">
        <v>1.3819000000000001E-2</v>
      </c>
      <c r="G976" s="21">
        <v>1.499925</v>
      </c>
      <c r="H976" s="21">
        <v>1.499925</v>
      </c>
      <c r="I976" s="14" t="s">
        <v>1561</v>
      </c>
      <c r="J976" s="21">
        <v>1.4012188326960573</v>
      </c>
      <c r="K976" s="21">
        <v>1.8006104999999999</v>
      </c>
      <c r="L976" s="24">
        <f t="shared" si="30"/>
        <v>1.2004670233511676</v>
      </c>
    </row>
    <row r="977" spans="1:12" x14ac:dyDescent="0.25">
      <c r="A977" s="15">
        <f t="shared" si="31"/>
        <v>972</v>
      </c>
      <c r="B977" s="17">
        <v>81655</v>
      </c>
      <c r="C977" s="18" t="s">
        <v>803</v>
      </c>
      <c r="D977" s="20" t="s">
        <v>1556</v>
      </c>
      <c r="E977" s="19">
        <v>0</v>
      </c>
      <c r="F977" s="20" t="s">
        <v>1556</v>
      </c>
      <c r="G977" s="21">
        <v>0</v>
      </c>
      <c r="H977" s="21">
        <v>0</v>
      </c>
      <c r="I977" s="14" t="s">
        <v>1561</v>
      </c>
      <c r="J977" s="21">
        <v>0</v>
      </c>
      <c r="K977" s="21">
        <v>0</v>
      </c>
      <c r="L977" s="24">
        <f t="shared" si="30"/>
        <v>0</v>
      </c>
    </row>
    <row r="978" spans="1:12" x14ac:dyDescent="0.25">
      <c r="A978" s="15">
        <f t="shared" si="31"/>
        <v>973</v>
      </c>
      <c r="B978" s="17">
        <v>81656</v>
      </c>
      <c r="C978" s="18" t="s">
        <v>195</v>
      </c>
      <c r="D978" s="20" t="s">
        <v>1556</v>
      </c>
      <c r="E978" s="19">
        <v>0</v>
      </c>
      <c r="F978" s="20" t="s">
        <v>1556</v>
      </c>
      <c r="G978" s="21">
        <v>0</v>
      </c>
      <c r="H978" s="21">
        <v>0</v>
      </c>
      <c r="I978" s="14" t="s">
        <v>1561</v>
      </c>
      <c r="J978" s="21">
        <v>0</v>
      </c>
      <c r="K978" s="21">
        <v>0</v>
      </c>
      <c r="L978" s="24">
        <f t="shared" si="30"/>
        <v>0</v>
      </c>
    </row>
    <row r="979" spans="1:12" x14ac:dyDescent="0.25">
      <c r="A979" s="15">
        <f t="shared" si="31"/>
        <v>974</v>
      </c>
      <c r="B979" s="17">
        <v>81768</v>
      </c>
      <c r="C979" s="18" t="s">
        <v>403</v>
      </c>
      <c r="D979" s="20">
        <v>9.1035796999999992</v>
      </c>
      <c r="E979" s="19">
        <v>0</v>
      </c>
      <c r="F979" s="20">
        <v>9.1035796999999992</v>
      </c>
      <c r="G979" s="21">
        <v>1359.188089</v>
      </c>
      <c r="H979" s="21">
        <v>950.73219930000005</v>
      </c>
      <c r="I979" s="14" t="s">
        <v>1561</v>
      </c>
      <c r="J979" s="21">
        <v>740.18440821020783</v>
      </c>
      <c r="K979" s="21">
        <v>1338.7708640000001</v>
      </c>
      <c r="L979" s="24">
        <f t="shared" si="30"/>
        <v>0.98497836674317718</v>
      </c>
    </row>
    <row r="980" spans="1:12" x14ac:dyDescent="0.25">
      <c r="A980" s="15">
        <f t="shared" si="31"/>
        <v>975</v>
      </c>
      <c r="B980" s="17">
        <v>81815</v>
      </c>
      <c r="C980" s="18" t="s">
        <v>316</v>
      </c>
      <c r="D980" s="20" t="s">
        <v>1556</v>
      </c>
      <c r="E980" s="19">
        <v>0</v>
      </c>
      <c r="F980" s="20" t="s">
        <v>1556</v>
      </c>
      <c r="G980" s="21">
        <v>0</v>
      </c>
      <c r="H980" s="21">
        <v>0</v>
      </c>
      <c r="I980" s="14" t="s">
        <v>1561</v>
      </c>
      <c r="J980" s="21">
        <v>0</v>
      </c>
      <c r="K980" s="21">
        <v>0</v>
      </c>
      <c r="L980" s="24">
        <f t="shared" si="30"/>
        <v>0</v>
      </c>
    </row>
    <row r="981" spans="1:12" x14ac:dyDescent="0.25">
      <c r="A981" s="15">
        <f t="shared" si="31"/>
        <v>976</v>
      </c>
      <c r="B981" s="17">
        <v>81916</v>
      </c>
      <c r="C981" s="18" t="s">
        <v>1294</v>
      </c>
      <c r="D981" s="20" t="s">
        <v>1556</v>
      </c>
      <c r="E981" s="19">
        <v>0</v>
      </c>
      <c r="F981" s="20" t="s">
        <v>1556</v>
      </c>
      <c r="G981" s="21">
        <v>1.9998999999999999E-2</v>
      </c>
      <c r="H981" s="21">
        <v>1.9998999999999999E-2</v>
      </c>
      <c r="I981" s="14" t="s">
        <v>1561</v>
      </c>
      <c r="J981" s="21">
        <v>2.1505537499999999E-4</v>
      </c>
      <c r="K981" s="21">
        <v>2.0172599999999999E-2</v>
      </c>
      <c r="L981" s="24">
        <f t="shared" si="30"/>
        <v>1.008680434021701</v>
      </c>
    </row>
    <row r="982" spans="1:12" x14ac:dyDescent="0.25">
      <c r="A982" s="15">
        <f t="shared" si="31"/>
        <v>977</v>
      </c>
      <c r="B982" s="17">
        <v>81987</v>
      </c>
      <c r="C982" s="18" t="s">
        <v>1295</v>
      </c>
      <c r="D982" s="20" t="s">
        <v>1556</v>
      </c>
      <c r="E982" s="19">
        <v>0</v>
      </c>
      <c r="F982" s="20" t="s">
        <v>1556</v>
      </c>
      <c r="G982" s="21">
        <v>0</v>
      </c>
      <c r="H982" s="21">
        <v>0</v>
      </c>
      <c r="I982" s="14" t="s">
        <v>1561</v>
      </c>
      <c r="J982" s="21">
        <v>0</v>
      </c>
      <c r="K982" s="21">
        <v>0</v>
      </c>
      <c r="L982" s="24">
        <f t="shared" si="30"/>
        <v>0</v>
      </c>
    </row>
    <row r="983" spans="1:12" x14ac:dyDescent="0.25">
      <c r="A983" s="15">
        <f t="shared" si="31"/>
        <v>978</v>
      </c>
      <c r="B983" s="17">
        <v>82130</v>
      </c>
      <c r="C983" s="18" t="s">
        <v>142</v>
      </c>
      <c r="D983" s="20">
        <v>3.2126200000000001E-2</v>
      </c>
      <c r="E983" s="19">
        <v>0</v>
      </c>
      <c r="F983" s="20">
        <v>3.2126200000000001E-2</v>
      </c>
      <c r="G983" s="21">
        <v>13.705852500000001</v>
      </c>
      <c r="H983" s="21">
        <v>13.204316100000002</v>
      </c>
      <c r="I983" s="14" t="s">
        <v>1561</v>
      </c>
      <c r="J983" s="21">
        <v>3.4012509842888883</v>
      </c>
      <c r="K983" s="21">
        <v>13.791451299999999</v>
      </c>
      <c r="L983" s="24">
        <f t="shared" si="30"/>
        <v>1.0062454196118045</v>
      </c>
    </row>
    <row r="984" spans="1:12" x14ac:dyDescent="0.25">
      <c r="A984" s="15">
        <f t="shared" si="31"/>
        <v>979</v>
      </c>
      <c r="B984" s="17">
        <v>82161</v>
      </c>
      <c r="C984" s="18" t="s">
        <v>804</v>
      </c>
      <c r="D984" s="20">
        <v>1.0699999999999999E-2</v>
      </c>
      <c r="E984" s="19">
        <v>0</v>
      </c>
      <c r="F984" s="20">
        <v>1.0699999999999999E-2</v>
      </c>
      <c r="G984" s="21">
        <v>3.5848208000000001</v>
      </c>
      <c r="H984" s="21">
        <v>3.5848208000000001</v>
      </c>
      <c r="I984" s="14" t="s">
        <v>1561</v>
      </c>
      <c r="J984" s="21">
        <v>1.0458413109168458</v>
      </c>
      <c r="K984" s="21">
        <v>3.7083177000000003</v>
      </c>
      <c r="L984" s="24">
        <f t="shared" si="30"/>
        <v>1.0344499507478868</v>
      </c>
    </row>
    <row r="985" spans="1:12" x14ac:dyDescent="0.25">
      <c r="A985" s="15">
        <f t="shared" si="31"/>
        <v>980</v>
      </c>
      <c r="B985" s="17">
        <v>82172</v>
      </c>
      <c r="C985" s="18" t="s">
        <v>1296</v>
      </c>
      <c r="D985" s="20" t="s">
        <v>1556</v>
      </c>
      <c r="E985" s="19">
        <v>0</v>
      </c>
      <c r="F985" s="20" t="s">
        <v>1556</v>
      </c>
      <c r="G985" s="21">
        <v>0</v>
      </c>
      <c r="H985" s="21">
        <v>0</v>
      </c>
      <c r="I985" s="14" t="s">
        <v>1561</v>
      </c>
      <c r="J985" s="21">
        <v>0</v>
      </c>
      <c r="K985" s="21">
        <v>0</v>
      </c>
      <c r="L985" s="24">
        <f t="shared" si="30"/>
        <v>0</v>
      </c>
    </row>
    <row r="986" spans="1:12" x14ac:dyDescent="0.25">
      <c r="A986" s="15">
        <f t="shared" si="31"/>
        <v>981</v>
      </c>
      <c r="B986" s="17">
        <v>82174</v>
      </c>
      <c r="C986" s="18" t="s">
        <v>805</v>
      </c>
      <c r="D986" s="20">
        <v>0.57610079999999997</v>
      </c>
      <c r="E986" s="19">
        <v>0</v>
      </c>
      <c r="F986" s="20">
        <v>0.57610079999999997</v>
      </c>
      <c r="G986" s="21">
        <v>34.168291600000003</v>
      </c>
      <c r="H986" s="21">
        <v>28.858780900000003</v>
      </c>
      <c r="I986" s="14" t="s">
        <v>1561</v>
      </c>
      <c r="J986" s="21">
        <v>37.795218707420247</v>
      </c>
      <c r="K986" s="21">
        <v>56.564789599999997</v>
      </c>
      <c r="L986" s="24">
        <f t="shared" si="30"/>
        <v>1.655476084733484</v>
      </c>
    </row>
    <row r="987" spans="1:12" x14ac:dyDescent="0.25">
      <c r="A987" s="15">
        <f t="shared" si="31"/>
        <v>982</v>
      </c>
      <c r="B987" s="17">
        <v>82357</v>
      </c>
      <c r="C987" s="18" t="s">
        <v>230</v>
      </c>
      <c r="D987" s="20" t="s">
        <v>1556</v>
      </c>
      <c r="E987" s="19">
        <v>0</v>
      </c>
      <c r="F987" s="20" t="s">
        <v>1556</v>
      </c>
      <c r="G987" s="21">
        <v>1.5399235999999998</v>
      </c>
      <c r="H987" s="21">
        <v>1.5399235999999998</v>
      </c>
      <c r="I987" s="14" t="s">
        <v>1561</v>
      </c>
      <c r="J987" s="21">
        <v>0.85375864313781358</v>
      </c>
      <c r="K987" s="21">
        <v>2.1697983000000001</v>
      </c>
      <c r="L987" s="24">
        <f t="shared" si="30"/>
        <v>1.4090298375841506</v>
      </c>
    </row>
    <row r="988" spans="1:12" x14ac:dyDescent="0.25">
      <c r="A988" s="15">
        <f t="shared" si="31"/>
        <v>983</v>
      </c>
      <c r="B988" s="17">
        <v>82408</v>
      </c>
      <c r="C988" s="18" t="s">
        <v>404</v>
      </c>
      <c r="D988" s="20">
        <v>2.9489999999999996E-4</v>
      </c>
      <c r="E988" s="19">
        <v>0</v>
      </c>
      <c r="F988" s="20">
        <v>2.9489999999999996E-4</v>
      </c>
      <c r="G988" s="21">
        <v>5.9996999999999995E-2</v>
      </c>
      <c r="H988" s="21">
        <v>5.9996999999999995E-2</v>
      </c>
      <c r="I988" s="14" t="s">
        <v>1561</v>
      </c>
      <c r="J988" s="21">
        <v>1.5380603886200715E-2</v>
      </c>
      <c r="K988" s="21">
        <v>6.1571800000000003E-2</v>
      </c>
      <c r="L988" s="24">
        <f t="shared" si="30"/>
        <v>1.02624797906562</v>
      </c>
    </row>
    <row r="989" spans="1:12" x14ac:dyDescent="0.25">
      <c r="A989" s="15">
        <f t="shared" si="31"/>
        <v>984</v>
      </c>
      <c r="B989" s="17">
        <v>82457</v>
      </c>
      <c r="C989" s="18" t="s">
        <v>1297</v>
      </c>
      <c r="D989" s="20" t="s">
        <v>1556</v>
      </c>
      <c r="E989" s="19">
        <v>0</v>
      </c>
      <c r="F989" s="20" t="s">
        <v>1556</v>
      </c>
      <c r="G989" s="21">
        <v>0</v>
      </c>
      <c r="H989" s="21">
        <v>0</v>
      </c>
      <c r="I989" s="14" t="s">
        <v>1561</v>
      </c>
      <c r="J989" s="21">
        <v>0</v>
      </c>
      <c r="K989" s="21">
        <v>0</v>
      </c>
      <c r="L989" s="24">
        <f t="shared" si="30"/>
        <v>0</v>
      </c>
    </row>
    <row r="990" spans="1:12" x14ac:dyDescent="0.25">
      <c r="A990" s="15">
        <f t="shared" si="31"/>
        <v>985</v>
      </c>
      <c r="B990" s="17">
        <v>82471</v>
      </c>
      <c r="C990" s="18" t="s">
        <v>466</v>
      </c>
      <c r="D990" s="20" t="s">
        <v>1556</v>
      </c>
      <c r="E990" s="19">
        <v>0</v>
      </c>
      <c r="F990" s="20" t="s">
        <v>1556</v>
      </c>
      <c r="G990" s="21">
        <v>0</v>
      </c>
      <c r="H990" s="21">
        <v>0</v>
      </c>
      <c r="I990" s="14" t="s">
        <v>1561</v>
      </c>
      <c r="J990" s="21">
        <v>0</v>
      </c>
      <c r="K990" s="21">
        <v>0</v>
      </c>
      <c r="L990" s="24">
        <f t="shared" si="30"/>
        <v>0</v>
      </c>
    </row>
    <row r="991" spans="1:12" x14ac:dyDescent="0.25">
      <c r="A991" s="15">
        <f t="shared" si="31"/>
        <v>986</v>
      </c>
      <c r="B991" s="17">
        <v>82588</v>
      </c>
      <c r="C991" s="18" t="s">
        <v>806</v>
      </c>
      <c r="D991" s="20" t="s">
        <v>1556</v>
      </c>
      <c r="E991" s="19">
        <v>0</v>
      </c>
      <c r="F991" s="20" t="s">
        <v>1556</v>
      </c>
      <c r="G991" s="21">
        <v>0</v>
      </c>
      <c r="H991" s="21">
        <v>0</v>
      </c>
      <c r="I991" s="14" t="s">
        <v>1561</v>
      </c>
      <c r="J991" s="21">
        <v>0</v>
      </c>
      <c r="K991" s="21">
        <v>0</v>
      </c>
      <c r="L991" s="24">
        <f t="shared" si="30"/>
        <v>0</v>
      </c>
    </row>
    <row r="992" spans="1:12" x14ac:dyDescent="0.25">
      <c r="A992" s="15">
        <f t="shared" si="31"/>
        <v>987</v>
      </c>
      <c r="B992" s="17">
        <v>82601</v>
      </c>
      <c r="C992" s="18" t="s">
        <v>807</v>
      </c>
      <c r="D992" s="20">
        <v>0.37706980000000001</v>
      </c>
      <c r="E992" s="19">
        <v>0</v>
      </c>
      <c r="F992" s="20">
        <v>0.37706980000000001</v>
      </c>
      <c r="G992" s="21">
        <v>100.59497</v>
      </c>
      <c r="H992" s="21">
        <v>100.59497</v>
      </c>
      <c r="I992" s="14" t="s">
        <v>1561</v>
      </c>
      <c r="J992" s="21">
        <v>36.540933002161474</v>
      </c>
      <c r="K992" s="21">
        <v>112.6239209</v>
      </c>
      <c r="L992" s="24">
        <f t="shared" si="30"/>
        <v>1.1195780554435277</v>
      </c>
    </row>
    <row r="993" spans="1:12" x14ac:dyDescent="0.25">
      <c r="A993" s="15">
        <f t="shared" si="31"/>
        <v>988</v>
      </c>
      <c r="B993" s="17">
        <v>82735</v>
      </c>
      <c r="C993" s="18" t="s">
        <v>808</v>
      </c>
      <c r="D993" s="20" t="s">
        <v>1556</v>
      </c>
      <c r="E993" s="19">
        <v>0</v>
      </c>
      <c r="F993" s="20" t="s">
        <v>1556</v>
      </c>
      <c r="G993" s="21">
        <v>0</v>
      </c>
      <c r="H993" s="21">
        <v>0</v>
      </c>
      <c r="I993" s="14" t="s">
        <v>1561</v>
      </c>
      <c r="J993" s="21">
        <v>0</v>
      </c>
      <c r="K993" s="21">
        <v>0</v>
      </c>
      <c r="L993" s="24">
        <f t="shared" si="30"/>
        <v>0</v>
      </c>
    </row>
    <row r="994" spans="1:12" x14ac:dyDescent="0.25">
      <c r="A994" s="15">
        <f t="shared" si="31"/>
        <v>989</v>
      </c>
      <c r="B994" s="17">
        <v>82850</v>
      </c>
      <c r="C994" s="18" t="s">
        <v>1298</v>
      </c>
      <c r="D994" s="20" t="s">
        <v>1556</v>
      </c>
      <c r="E994" s="19">
        <v>0</v>
      </c>
      <c r="F994" s="20" t="s">
        <v>1556</v>
      </c>
      <c r="G994" s="21">
        <v>0</v>
      </c>
      <c r="H994" s="21">
        <v>0</v>
      </c>
      <c r="I994" s="14" t="s">
        <v>1561</v>
      </c>
      <c r="J994" s="21">
        <v>0</v>
      </c>
      <c r="K994" s="21">
        <v>0</v>
      </c>
      <c r="L994" s="24">
        <f t="shared" si="30"/>
        <v>0</v>
      </c>
    </row>
    <row r="995" spans="1:12" x14ac:dyDescent="0.25">
      <c r="A995" s="15">
        <f t="shared" si="31"/>
        <v>990</v>
      </c>
      <c r="B995" s="17">
        <v>82880</v>
      </c>
      <c r="C995" s="18" t="s">
        <v>1299</v>
      </c>
      <c r="D995" s="20" t="s">
        <v>1556</v>
      </c>
      <c r="E995" s="19">
        <v>0</v>
      </c>
      <c r="F995" s="20" t="s">
        <v>1556</v>
      </c>
      <c r="G995" s="21">
        <v>0</v>
      </c>
      <c r="H995" s="21">
        <v>0</v>
      </c>
      <c r="I995" s="14" t="s">
        <v>1561</v>
      </c>
      <c r="J995" s="21">
        <v>0</v>
      </c>
      <c r="K995" s="21">
        <v>0</v>
      </c>
      <c r="L995" s="24">
        <f t="shared" si="30"/>
        <v>0</v>
      </c>
    </row>
    <row r="996" spans="1:12" x14ac:dyDescent="0.25">
      <c r="A996" s="15">
        <f t="shared" si="31"/>
        <v>991</v>
      </c>
      <c r="B996" s="17">
        <v>82974</v>
      </c>
      <c r="C996" s="18" t="s">
        <v>809</v>
      </c>
      <c r="D996" s="20">
        <v>1.4666475000000001</v>
      </c>
      <c r="E996" s="19">
        <v>0</v>
      </c>
      <c r="F996" s="20">
        <v>1.4666475000000001</v>
      </c>
      <c r="G996" s="21">
        <v>376.82456200000001</v>
      </c>
      <c r="H996" s="21">
        <v>344.86113929999999</v>
      </c>
      <c r="I996" s="14" t="s">
        <v>1561</v>
      </c>
      <c r="J996" s="21">
        <v>136.36690184487395</v>
      </c>
      <c r="K996" s="21">
        <v>354.3590858</v>
      </c>
      <c r="L996" s="24">
        <f t="shared" si="30"/>
        <v>0.94038213411364624</v>
      </c>
    </row>
    <row r="997" spans="1:12" x14ac:dyDescent="0.25">
      <c r="A997" s="15">
        <f t="shared" si="31"/>
        <v>992</v>
      </c>
      <c r="B997" s="17">
        <v>82992</v>
      </c>
      <c r="C997" s="18" t="s">
        <v>810</v>
      </c>
      <c r="D997" s="20" t="s">
        <v>1556</v>
      </c>
      <c r="E997" s="19">
        <v>0</v>
      </c>
      <c r="F997" s="20" t="s">
        <v>1556</v>
      </c>
      <c r="G997" s="21">
        <v>0</v>
      </c>
      <c r="H997" s="21">
        <v>0</v>
      </c>
      <c r="I997" s="14" t="s">
        <v>1561</v>
      </c>
      <c r="J997" s="21">
        <v>0</v>
      </c>
      <c r="K997" s="21">
        <v>0</v>
      </c>
      <c r="L997" s="24">
        <f t="shared" si="30"/>
        <v>0</v>
      </c>
    </row>
    <row r="998" spans="1:12" x14ac:dyDescent="0.25">
      <c r="A998" s="15">
        <f t="shared" si="31"/>
        <v>993</v>
      </c>
      <c r="B998" s="17">
        <v>82995</v>
      </c>
      <c r="C998" s="18" t="s">
        <v>1300</v>
      </c>
      <c r="D998" s="20" t="s">
        <v>1556</v>
      </c>
      <c r="E998" s="19">
        <v>0</v>
      </c>
      <c r="F998" s="20" t="s">
        <v>1556</v>
      </c>
      <c r="G998" s="21">
        <v>0</v>
      </c>
      <c r="H998" s="21">
        <v>0</v>
      </c>
      <c r="I998" s="14" t="s">
        <v>1561</v>
      </c>
      <c r="J998" s="21">
        <v>0</v>
      </c>
      <c r="K998" s="21">
        <v>0</v>
      </c>
      <c r="L998" s="24">
        <f t="shared" si="30"/>
        <v>0</v>
      </c>
    </row>
    <row r="999" spans="1:12" x14ac:dyDescent="0.25">
      <c r="A999" s="15">
        <f t="shared" si="31"/>
        <v>994</v>
      </c>
      <c r="B999" s="17">
        <v>83013</v>
      </c>
      <c r="C999" s="18" t="s">
        <v>811</v>
      </c>
      <c r="D999" s="20">
        <v>3.8860000000000001E-3</v>
      </c>
      <c r="E999" s="19">
        <v>0</v>
      </c>
      <c r="F999" s="20">
        <v>3.8860000000000001E-3</v>
      </c>
      <c r="G999" s="21">
        <v>0.44997749999999997</v>
      </c>
      <c r="H999" s="21">
        <v>0.44997749999999997</v>
      </c>
      <c r="I999" s="14" t="s">
        <v>1561</v>
      </c>
      <c r="J999" s="21">
        <v>0.17948171614005379</v>
      </c>
      <c r="K999" s="21">
        <v>0.4671903</v>
      </c>
      <c r="L999" s="24">
        <f t="shared" si="30"/>
        <v>1.0382525792956314</v>
      </c>
    </row>
    <row r="1000" spans="1:12" x14ac:dyDescent="0.25">
      <c r="A1000" s="15">
        <f t="shared" si="31"/>
        <v>995</v>
      </c>
      <c r="B1000" s="17">
        <v>83065</v>
      </c>
      <c r="C1000" s="18" t="s">
        <v>1301</v>
      </c>
      <c r="D1000" s="20" t="s">
        <v>1556</v>
      </c>
      <c r="E1000" s="19">
        <v>0</v>
      </c>
      <c r="F1000" s="20" t="s">
        <v>1556</v>
      </c>
      <c r="G1000" s="21">
        <v>0</v>
      </c>
      <c r="H1000" s="21">
        <v>0</v>
      </c>
      <c r="I1000" s="14" t="s">
        <v>1561</v>
      </c>
      <c r="J1000" s="21">
        <v>0</v>
      </c>
      <c r="K1000" s="21">
        <v>0</v>
      </c>
      <c r="L1000" s="24">
        <f t="shared" si="30"/>
        <v>0</v>
      </c>
    </row>
    <row r="1001" spans="1:12" x14ac:dyDescent="0.25">
      <c r="A1001" s="15">
        <f t="shared" si="31"/>
        <v>996</v>
      </c>
      <c r="B1001" s="17">
        <v>83114</v>
      </c>
      <c r="C1001" s="18" t="s">
        <v>405</v>
      </c>
      <c r="D1001" s="20" t="s">
        <v>1556</v>
      </c>
      <c r="E1001" s="19">
        <v>0</v>
      </c>
      <c r="F1001" s="20" t="s">
        <v>1556</v>
      </c>
      <c r="G1001" s="21">
        <v>0</v>
      </c>
      <c r="H1001" s="21">
        <v>0</v>
      </c>
      <c r="I1001" s="14" t="s">
        <v>1561</v>
      </c>
      <c r="J1001" s="21">
        <v>0</v>
      </c>
      <c r="K1001" s="21">
        <v>0</v>
      </c>
      <c r="L1001" s="24">
        <f t="shared" si="30"/>
        <v>0</v>
      </c>
    </row>
    <row r="1002" spans="1:12" x14ac:dyDescent="0.25">
      <c r="A1002" s="15">
        <f t="shared" si="31"/>
        <v>997</v>
      </c>
      <c r="B1002" s="17">
        <v>83166</v>
      </c>
      <c r="C1002" s="18" t="s">
        <v>812</v>
      </c>
      <c r="D1002" s="20" t="s">
        <v>1556</v>
      </c>
      <c r="E1002" s="19">
        <v>0</v>
      </c>
      <c r="F1002" s="20" t="s">
        <v>1556</v>
      </c>
      <c r="G1002" s="21">
        <v>0</v>
      </c>
      <c r="H1002" s="21">
        <v>0</v>
      </c>
      <c r="I1002" s="14" t="s">
        <v>1561</v>
      </c>
      <c r="J1002" s="21">
        <v>0</v>
      </c>
      <c r="K1002" s="21">
        <v>0</v>
      </c>
      <c r="L1002" s="24">
        <f t="shared" si="30"/>
        <v>0</v>
      </c>
    </row>
    <row r="1003" spans="1:12" x14ac:dyDescent="0.25">
      <c r="A1003" s="15">
        <f t="shared" si="31"/>
        <v>998</v>
      </c>
      <c r="B1003" s="17">
        <v>83202</v>
      </c>
      <c r="C1003" s="18" t="s">
        <v>813</v>
      </c>
      <c r="D1003" s="20" t="s">
        <v>1556</v>
      </c>
      <c r="E1003" s="19">
        <v>0</v>
      </c>
      <c r="F1003" s="20" t="s">
        <v>1556</v>
      </c>
      <c r="G1003" s="21">
        <v>0</v>
      </c>
      <c r="H1003" s="21">
        <v>0</v>
      </c>
      <c r="I1003" s="14" t="s">
        <v>1561</v>
      </c>
      <c r="J1003" s="21">
        <v>0</v>
      </c>
      <c r="K1003" s="21">
        <v>0</v>
      </c>
      <c r="L1003" s="24">
        <f t="shared" si="30"/>
        <v>0</v>
      </c>
    </row>
    <row r="1004" spans="1:12" x14ac:dyDescent="0.25">
      <c r="A1004" s="15">
        <f t="shared" si="31"/>
        <v>999</v>
      </c>
      <c r="B1004" s="17">
        <v>83313</v>
      </c>
      <c r="C1004" s="18" t="s">
        <v>1302</v>
      </c>
      <c r="D1004" s="20">
        <v>9.5673500000000009E-2</v>
      </c>
      <c r="E1004" s="19">
        <v>0</v>
      </c>
      <c r="F1004" s="20">
        <v>9.5673500000000009E-2</v>
      </c>
      <c r="G1004" s="21">
        <v>27.5486225</v>
      </c>
      <c r="H1004" s="21">
        <v>12.5486225</v>
      </c>
      <c r="I1004" s="14" t="s">
        <v>1561</v>
      </c>
      <c r="J1004" s="21">
        <v>8.321375654768012</v>
      </c>
      <c r="K1004" s="21">
        <v>13.6534379</v>
      </c>
      <c r="L1004" s="24">
        <f t="shared" si="30"/>
        <v>0.49561236319529223</v>
      </c>
    </row>
    <row r="1005" spans="1:12" x14ac:dyDescent="0.25">
      <c r="A1005" s="15">
        <f t="shared" si="31"/>
        <v>1000</v>
      </c>
      <c r="B1005" s="17">
        <v>83360</v>
      </c>
      <c r="C1005" s="18" t="s">
        <v>814</v>
      </c>
      <c r="D1005" s="20">
        <v>0.31733610000000001</v>
      </c>
      <c r="E1005" s="19">
        <v>0</v>
      </c>
      <c r="F1005" s="20">
        <v>0.31733610000000001</v>
      </c>
      <c r="G1005" s="21">
        <v>189.02870910000001</v>
      </c>
      <c r="H1005" s="21">
        <v>187.89870909999999</v>
      </c>
      <c r="I1005" s="14" t="s">
        <v>1561</v>
      </c>
      <c r="J1005" s="21">
        <v>37.587655424104121</v>
      </c>
      <c r="K1005" s="21">
        <v>195.12056999999999</v>
      </c>
      <c r="L1005" s="24">
        <f t="shared" si="30"/>
        <v>1.0322271729463977</v>
      </c>
    </row>
    <row r="1006" spans="1:12" x14ac:dyDescent="0.25">
      <c r="A1006" s="15">
        <f t="shared" si="31"/>
        <v>1001</v>
      </c>
      <c r="B1006" s="17">
        <v>83393</v>
      </c>
      <c r="C1006" s="18" t="s">
        <v>1303</v>
      </c>
      <c r="D1006" s="20" t="s">
        <v>1556</v>
      </c>
      <c r="E1006" s="19">
        <v>0</v>
      </c>
      <c r="F1006" s="20" t="s">
        <v>1556</v>
      </c>
      <c r="G1006" s="21">
        <v>0</v>
      </c>
      <c r="H1006" s="21">
        <v>0</v>
      </c>
      <c r="I1006" s="14" t="s">
        <v>1561</v>
      </c>
      <c r="J1006" s="21">
        <v>0</v>
      </c>
      <c r="K1006" s="21">
        <v>0</v>
      </c>
      <c r="L1006" s="24">
        <f t="shared" si="30"/>
        <v>0</v>
      </c>
    </row>
    <row r="1007" spans="1:12" x14ac:dyDescent="0.25">
      <c r="A1007" s="15">
        <f t="shared" si="31"/>
        <v>1002</v>
      </c>
      <c r="B1007" s="17">
        <v>83420</v>
      </c>
      <c r="C1007" s="18" t="s">
        <v>143</v>
      </c>
      <c r="D1007" s="20" t="s">
        <v>1556</v>
      </c>
      <c r="E1007" s="19">
        <v>0</v>
      </c>
      <c r="F1007" s="20" t="s">
        <v>1556</v>
      </c>
      <c r="G1007" s="21">
        <v>1.59992</v>
      </c>
      <c r="H1007" s="21">
        <v>1.2624583999999999</v>
      </c>
      <c r="I1007" s="14" t="s">
        <v>1561</v>
      </c>
      <c r="J1007" s="21">
        <v>0.86958491139641581</v>
      </c>
      <c r="K1007" s="21">
        <v>1.4158172</v>
      </c>
      <c r="L1007" s="24">
        <f t="shared" si="30"/>
        <v>0.88492999649982496</v>
      </c>
    </row>
    <row r="1008" spans="1:12" x14ac:dyDescent="0.25">
      <c r="A1008" s="15">
        <f t="shared" si="31"/>
        <v>1003</v>
      </c>
      <c r="B1008" s="17">
        <v>83432</v>
      </c>
      <c r="C1008" s="18" t="s">
        <v>406</v>
      </c>
      <c r="D1008" s="20">
        <v>12.539121999999999</v>
      </c>
      <c r="E1008" s="19">
        <v>0</v>
      </c>
      <c r="F1008" s="20">
        <v>12.539121999999999</v>
      </c>
      <c r="G1008" s="21">
        <v>6.9996500000000003E-2</v>
      </c>
      <c r="H1008" s="21">
        <v>6.9996500000000003E-2</v>
      </c>
      <c r="I1008" s="14" t="s">
        <v>1561</v>
      </c>
      <c r="J1008" s="21">
        <v>840.12406428980728</v>
      </c>
      <c r="K1008" s="21">
        <v>7.1513900000000005E-2</v>
      </c>
      <c r="L1008" s="24">
        <f t="shared" si="30"/>
        <v>1.0216782267684814</v>
      </c>
    </row>
    <row r="1009" spans="1:12" x14ac:dyDescent="0.25">
      <c r="A1009" s="15">
        <f t="shared" si="31"/>
        <v>1004</v>
      </c>
      <c r="B1009" s="17">
        <v>83673</v>
      </c>
      <c r="C1009" s="18" t="s">
        <v>1304</v>
      </c>
      <c r="D1009" s="20" t="s">
        <v>1556</v>
      </c>
      <c r="E1009" s="19">
        <v>0</v>
      </c>
      <c r="F1009" s="20" t="s">
        <v>1556</v>
      </c>
      <c r="G1009" s="21">
        <v>0</v>
      </c>
      <c r="H1009" s="21">
        <v>0</v>
      </c>
      <c r="I1009" s="14" t="s">
        <v>1561</v>
      </c>
      <c r="J1009" s="21">
        <v>0</v>
      </c>
      <c r="K1009" s="21">
        <v>0</v>
      </c>
      <c r="L1009" s="24">
        <f t="shared" si="30"/>
        <v>0</v>
      </c>
    </row>
    <row r="1010" spans="1:12" x14ac:dyDescent="0.25">
      <c r="A1010" s="15">
        <f t="shared" si="31"/>
        <v>1005</v>
      </c>
      <c r="B1010" s="17">
        <v>83676</v>
      </c>
      <c r="C1010" s="18" t="s">
        <v>231</v>
      </c>
      <c r="D1010" s="20">
        <v>3.0149999999999999E-3</v>
      </c>
      <c r="E1010" s="19">
        <v>0</v>
      </c>
      <c r="F1010" s="20">
        <v>3.0149999999999999E-3</v>
      </c>
      <c r="G1010" s="21">
        <v>0.97395130000000008</v>
      </c>
      <c r="H1010" s="21">
        <v>0.97395130000000008</v>
      </c>
      <c r="I1010" s="14" t="s">
        <v>1561</v>
      </c>
      <c r="J1010" s="21">
        <v>0.36473991095698927</v>
      </c>
      <c r="K1010" s="21">
        <v>1.1730257000000002</v>
      </c>
      <c r="L1010" s="24">
        <f t="shared" si="30"/>
        <v>1.2043987209627423</v>
      </c>
    </row>
    <row r="1011" spans="1:12" x14ac:dyDescent="0.25">
      <c r="A1011" s="15">
        <f t="shared" si="31"/>
        <v>1006</v>
      </c>
      <c r="B1011" s="17">
        <v>83700</v>
      </c>
      <c r="C1011" s="18" t="s">
        <v>407</v>
      </c>
      <c r="D1011" s="20">
        <v>1.3733807</v>
      </c>
      <c r="E1011" s="19">
        <v>0</v>
      </c>
      <c r="F1011" s="20">
        <v>1.3733807</v>
      </c>
      <c r="G1011" s="21">
        <v>152.2823856</v>
      </c>
      <c r="H1011" s="21">
        <v>152.2823856</v>
      </c>
      <c r="I1011" s="14" t="s">
        <v>1561</v>
      </c>
      <c r="J1011" s="21">
        <v>105.87690874304235</v>
      </c>
      <c r="K1011" s="21">
        <v>182.51737899999998</v>
      </c>
      <c r="L1011" s="24">
        <f t="shared" si="30"/>
        <v>1.1985455722989409</v>
      </c>
    </row>
    <row r="1012" spans="1:12" x14ac:dyDescent="0.25">
      <c r="A1012" s="15">
        <f t="shared" si="31"/>
        <v>1007</v>
      </c>
      <c r="B1012" s="17">
        <v>83867</v>
      </c>
      <c r="C1012" s="18" t="s">
        <v>815</v>
      </c>
      <c r="D1012" s="20">
        <v>1.7443082999999999</v>
      </c>
      <c r="E1012" s="19">
        <v>0</v>
      </c>
      <c r="F1012" s="20">
        <v>1.7443082999999999</v>
      </c>
      <c r="G1012" s="21">
        <v>3.0998450000000002</v>
      </c>
      <c r="H1012" s="21">
        <v>-43.594610299999999</v>
      </c>
      <c r="I1012" s="14" t="s">
        <v>1561</v>
      </c>
      <c r="J1012" s="21">
        <v>195.42116737663915</v>
      </c>
      <c r="K1012" s="21">
        <v>220.94013440000001</v>
      </c>
      <c r="L1012" s="24">
        <f t="shared" si="30"/>
        <v>71.274574825515472</v>
      </c>
    </row>
    <row r="1013" spans="1:12" x14ac:dyDescent="0.25">
      <c r="A1013" s="15">
        <f t="shared" si="31"/>
        <v>1008</v>
      </c>
      <c r="B1013" s="17">
        <v>83946</v>
      </c>
      <c r="C1013" s="18" t="s">
        <v>467</v>
      </c>
      <c r="D1013" s="20">
        <v>2.5274363000000002</v>
      </c>
      <c r="E1013" s="19">
        <v>0</v>
      </c>
      <c r="F1013" s="20">
        <v>2.5274363000000002</v>
      </c>
      <c r="G1013" s="21">
        <v>254.28728559999999</v>
      </c>
      <c r="H1013" s="21">
        <v>254.28728559999999</v>
      </c>
      <c r="I1013" s="14" t="s">
        <v>1561</v>
      </c>
      <c r="J1013" s="21">
        <v>203.81934012789932</v>
      </c>
      <c r="K1013" s="21">
        <v>291.71979670000002</v>
      </c>
      <c r="L1013" s="24">
        <f t="shared" si="30"/>
        <v>1.1472055946945072</v>
      </c>
    </row>
    <row r="1014" spans="1:12" x14ac:dyDescent="0.25">
      <c r="A1014" s="15">
        <f t="shared" si="31"/>
        <v>1009</v>
      </c>
      <c r="B1014" s="17">
        <v>84072</v>
      </c>
      <c r="C1014" s="18" t="s">
        <v>816</v>
      </c>
      <c r="D1014" s="20" t="s">
        <v>1556</v>
      </c>
      <c r="E1014" s="19">
        <v>0</v>
      </c>
      <c r="F1014" s="20" t="s">
        <v>1556</v>
      </c>
      <c r="G1014" s="21">
        <v>0</v>
      </c>
      <c r="H1014" s="21">
        <v>0</v>
      </c>
      <c r="I1014" s="14" t="s">
        <v>1561</v>
      </c>
      <c r="J1014" s="21">
        <v>0</v>
      </c>
      <c r="K1014" s="21">
        <v>0</v>
      </c>
      <c r="L1014" s="24">
        <f t="shared" si="30"/>
        <v>0</v>
      </c>
    </row>
    <row r="1015" spans="1:12" x14ac:dyDescent="0.25">
      <c r="A1015" s="15">
        <f t="shared" si="31"/>
        <v>1010</v>
      </c>
      <c r="B1015" s="17">
        <v>84261</v>
      </c>
      <c r="C1015" s="18" t="s">
        <v>817</v>
      </c>
      <c r="D1015" s="20">
        <v>12.490454699999999</v>
      </c>
      <c r="E1015" s="19">
        <v>0</v>
      </c>
      <c r="F1015" s="20">
        <v>12.490454699999999</v>
      </c>
      <c r="G1015" s="21">
        <v>588.99856119999993</v>
      </c>
      <c r="H1015" s="21">
        <v>534.68671570000004</v>
      </c>
      <c r="I1015" s="14" t="s">
        <v>1561</v>
      </c>
      <c r="J1015" s="21">
        <v>786.51728459572325</v>
      </c>
      <c r="K1015" s="21">
        <v>1088.4034893999999</v>
      </c>
      <c r="L1015" s="24">
        <f t="shared" si="30"/>
        <v>1.8478881971842753</v>
      </c>
    </row>
    <row r="1016" spans="1:12" x14ac:dyDescent="0.25">
      <c r="A1016" s="15">
        <f t="shared" si="31"/>
        <v>1011</v>
      </c>
      <c r="B1016" s="17">
        <v>84293</v>
      </c>
      <c r="C1016" s="18" t="s">
        <v>818</v>
      </c>
      <c r="D1016" s="20" t="s">
        <v>1556</v>
      </c>
      <c r="E1016" s="19">
        <v>0</v>
      </c>
      <c r="F1016" s="20" t="s">
        <v>1556</v>
      </c>
      <c r="G1016" s="21">
        <v>0</v>
      </c>
      <c r="H1016" s="21">
        <v>0</v>
      </c>
      <c r="I1016" s="14" t="s">
        <v>1561</v>
      </c>
      <c r="J1016" s="21">
        <v>0</v>
      </c>
      <c r="K1016" s="21">
        <v>0</v>
      </c>
      <c r="L1016" s="24">
        <f t="shared" si="30"/>
        <v>0</v>
      </c>
    </row>
    <row r="1017" spans="1:12" x14ac:dyDescent="0.25">
      <c r="A1017" s="15">
        <f t="shared" si="31"/>
        <v>1012</v>
      </c>
      <c r="B1017" s="17">
        <v>84328</v>
      </c>
      <c r="C1017" s="18" t="s">
        <v>819</v>
      </c>
      <c r="D1017" s="20" t="s">
        <v>1556</v>
      </c>
      <c r="E1017" s="19">
        <v>0</v>
      </c>
      <c r="F1017" s="20" t="s">
        <v>1556</v>
      </c>
      <c r="G1017" s="21">
        <v>0</v>
      </c>
      <c r="H1017" s="21">
        <v>0</v>
      </c>
      <c r="I1017" s="14" t="s">
        <v>1561</v>
      </c>
      <c r="J1017" s="21">
        <v>0</v>
      </c>
      <c r="K1017" s="21">
        <v>0</v>
      </c>
      <c r="L1017" s="24">
        <f t="shared" si="30"/>
        <v>0</v>
      </c>
    </row>
    <row r="1018" spans="1:12" x14ac:dyDescent="0.25">
      <c r="A1018" s="15">
        <f t="shared" si="31"/>
        <v>1013</v>
      </c>
      <c r="B1018" s="17">
        <v>84334</v>
      </c>
      <c r="C1018" s="18" t="s">
        <v>820</v>
      </c>
      <c r="D1018" s="20" t="s">
        <v>1556</v>
      </c>
      <c r="E1018" s="19">
        <v>0</v>
      </c>
      <c r="F1018" s="20" t="s">
        <v>1556</v>
      </c>
      <c r="G1018" s="21">
        <v>0</v>
      </c>
      <c r="H1018" s="21">
        <v>0</v>
      </c>
      <c r="I1018" s="14" t="s">
        <v>1561</v>
      </c>
      <c r="J1018" s="21">
        <v>0</v>
      </c>
      <c r="K1018" s="21">
        <v>0</v>
      </c>
      <c r="L1018" s="24">
        <f t="shared" si="30"/>
        <v>0</v>
      </c>
    </row>
    <row r="1019" spans="1:12" x14ac:dyDescent="0.25">
      <c r="A1019" s="15">
        <f t="shared" si="31"/>
        <v>1014</v>
      </c>
      <c r="B1019" s="17">
        <v>84385</v>
      </c>
      <c r="C1019" s="18" t="s">
        <v>1305</v>
      </c>
      <c r="D1019" s="20" t="s">
        <v>1556</v>
      </c>
      <c r="E1019" s="19">
        <v>0</v>
      </c>
      <c r="F1019" s="20" t="s">
        <v>1556</v>
      </c>
      <c r="G1019" s="21">
        <v>0</v>
      </c>
      <c r="H1019" s="21">
        <v>0</v>
      </c>
      <c r="I1019" s="14" t="s">
        <v>1561</v>
      </c>
      <c r="J1019" s="21">
        <v>0</v>
      </c>
      <c r="K1019" s="21">
        <v>0</v>
      </c>
      <c r="L1019" s="24">
        <f t="shared" si="30"/>
        <v>0</v>
      </c>
    </row>
    <row r="1020" spans="1:12" x14ac:dyDescent="0.25">
      <c r="A1020" s="15">
        <f t="shared" si="31"/>
        <v>1015</v>
      </c>
      <c r="B1020" s="17">
        <v>84436</v>
      </c>
      <c r="C1020" s="18" t="s">
        <v>1306</v>
      </c>
      <c r="D1020" s="20" t="s">
        <v>1556</v>
      </c>
      <c r="E1020" s="19">
        <v>0</v>
      </c>
      <c r="F1020" s="20" t="s">
        <v>1556</v>
      </c>
      <c r="G1020" s="21">
        <v>0</v>
      </c>
      <c r="H1020" s="21">
        <v>0</v>
      </c>
      <c r="I1020" s="14" t="s">
        <v>1561</v>
      </c>
      <c r="J1020" s="21">
        <v>0</v>
      </c>
      <c r="K1020" s="21">
        <v>0</v>
      </c>
      <c r="L1020" s="24">
        <f t="shared" si="30"/>
        <v>0</v>
      </c>
    </row>
    <row r="1021" spans="1:12" x14ac:dyDescent="0.25">
      <c r="A1021" s="15">
        <f t="shared" si="31"/>
        <v>1016</v>
      </c>
      <c r="B1021" s="17">
        <v>84571</v>
      </c>
      <c r="C1021" s="18" t="s">
        <v>1307</v>
      </c>
      <c r="D1021" s="20" t="s">
        <v>1556</v>
      </c>
      <c r="E1021" s="19">
        <v>0</v>
      </c>
      <c r="F1021" s="20" t="s">
        <v>1556</v>
      </c>
      <c r="G1021" s="21">
        <v>0</v>
      </c>
      <c r="H1021" s="21">
        <v>0</v>
      </c>
      <c r="I1021" s="14" t="s">
        <v>1561</v>
      </c>
      <c r="J1021" s="21">
        <v>0</v>
      </c>
      <c r="K1021" s="21">
        <v>0</v>
      </c>
      <c r="L1021" s="24">
        <f t="shared" si="30"/>
        <v>0</v>
      </c>
    </row>
    <row r="1022" spans="1:12" x14ac:dyDescent="0.25">
      <c r="A1022" s="15">
        <f t="shared" si="31"/>
        <v>1017</v>
      </c>
      <c r="B1022" s="17">
        <v>84672</v>
      </c>
      <c r="C1022" s="18" t="s">
        <v>1308</v>
      </c>
      <c r="D1022" s="20" t="s">
        <v>1556</v>
      </c>
      <c r="E1022" s="19">
        <v>0</v>
      </c>
      <c r="F1022" s="20" t="s">
        <v>1556</v>
      </c>
      <c r="G1022" s="21">
        <v>5.9996999999999995E-2</v>
      </c>
      <c r="H1022" s="21">
        <v>5.9996999999999995E-2</v>
      </c>
      <c r="I1022" s="14" t="s">
        <v>1561</v>
      </c>
      <c r="J1022" s="21">
        <v>9.0814003908602139E-3</v>
      </c>
      <c r="K1022" s="21">
        <v>6.0989700000000001E-2</v>
      </c>
      <c r="L1022" s="24">
        <f t="shared" si="30"/>
        <v>1.0165458272913648</v>
      </c>
    </row>
    <row r="1023" spans="1:12" x14ac:dyDescent="0.25">
      <c r="A1023" s="15">
        <f t="shared" si="31"/>
        <v>1018</v>
      </c>
      <c r="B1023" s="17">
        <v>84771</v>
      </c>
      <c r="C1023" s="18" t="s">
        <v>1309</v>
      </c>
      <c r="D1023" s="20" t="s">
        <v>1556</v>
      </c>
      <c r="E1023" s="19">
        <v>0</v>
      </c>
      <c r="F1023" s="20" t="s">
        <v>1556</v>
      </c>
      <c r="G1023" s="21">
        <v>0</v>
      </c>
      <c r="H1023" s="21">
        <v>0</v>
      </c>
      <c r="I1023" s="14" t="s">
        <v>1561</v>
      </c>
      <c r="J1023" s="21">
        <v>0</v>
      </c>
      <c r="K1023" s="21">
        <v>0</v>
      </c>
      <c r="L1023" s="24">
        <f t="shared" si="30"/>
        <v>0</v>
      </c>
    </row>
    <row r="1024" spans="1:12" x14ac:dyDescent="0.25">
      <c r="A1024" s="15">
        <f t="shared" si="31"/>
        <v>1019</v>
      </c>
      <c r="B1024" s="17">
        <v>84838</v>
      </c>
      <c r="C1024" s="18" t="s">
        <v>185</v>
      </c>
      <c r="D1024" s="20" t="s">
        <v>1556</v>
      </c>
      <c r="E1024" s="19">
        <v>0</v>
      </c>
      <c r="F1024" s="20" t="s">
        <v>1556</v>
      </c>
      <c r="G1024" s="21">
        <v>0</v>
      </c>
      <c r="H1024" s="21">
        <v>0</v>
      </c>
      <c r="I1024" s="14" t="s">
        <v>1561</v>
      </c>
      <c r="J1024" s="21">
        <v>0</v>
      </c>
      <c r="K1024" s="21">
        <v>0</v>
      </c>
      <c r="L1024" s="24">
        <f t="shared" si="30"/>
        <v>0</v>
      </c>
    </row>
    <row r="1025" spans="1:12" x14ac:dyDescent="0.25">
      <c r="A1025" s="15">
        <f t="shared" si="31"/>
        <v>1020</v>
      </c>
      <c r="B1025" s="17">
        <v>84894</v>
      </c>
      <c r="C1025" s="18" t="s">
        <v>145</v>
      </c>
      <c r="D1025" s="20" t="s">
        <v>1556</v>
      </c>
      <c r="E1025" s="19">
        <v>0</v>
      </c>
      <c r="F1025" s="20" t="s">
        <v>1556</v>
      </c>
      <c r="G1025" s="21">
        <v>2.5126426999999998</v>
      </c>
      <c r="H1025" s="21">
        <v>2.5126426999999998</v>
      </c>
      <c r="I1025" s="14" t="s">
        <v>1561</v>
      </c>
      <c r="J1025" s="21">
        <v>2.525390135E-2</v>
      </c>
      <c r="K1025" s="21">
        <v>2.5545391</v>
      </c>
      <c r="L1025" s="24">
        <f t="shared" si="30"/>
        <v>1.0166742370493027</v>
      </c>
    </row>
    <row r="1026" spans="1:12" x14ac:dyDescent="0.25">
      <c r="A1026" s="15">
        <f t="shared" si="31"/>
        <v>1021</v>
      </c>
      <c r="B1026" s="17">
        <v>84912</v>
      </c>
      <c r="C1026" s="18" t="s">
        <v>1310</v>
      </c>
      <c r="D1026" s="20">
        <v>0.34853149999999999</v>
      </c>
      <c r="E1026" s="19">
        <v>0</v>
      </c>
      <c r="F1026" s="20">
        <v>0.34853149999999999</v>
      </c>
      <c r="G1026" s="21">
        <v>99.223471700000005</v>
      </c>
      <c r="H1026" s="21">
        <v>94.165038699999997</v>
      </c>
      <c r="I1026" s="14" t="s">
        <v>1561</v>
      </c>
      <c r="J1026" s="21">
        <v>30.245541232969988</v>
      </c>
      <c r="K1026" s="21">
        <v>99.493166999999985</v>
      </c>
      <c r="L1026" s="24">
        <f t="shared" si="30"/>
        <v>1.0027180595012377</v>
      </c>
    </row>
    <row r="1027" spans="1:12" x14ac:dyDescent="0.25">
      <c r="A1027" s="15">
        <f t="shared" si="31"/>
        <v>1022</v>
      </c>
      <c r="B1027" s="17">
        <v>84967</v>
      </c>
      <c r="C1027" s="18" t="s">
        <v>408</v>
      </c>
      <c r="D1027" s="20">
        <v>6.8945000000000006E-2</v>
      </c>
      <c r="E1027" s="19">
        <v>0</v>
      </c>
      <c r="F1027" s="20">
        <v>6.8945000000000006E-2</v>
      </c>
      <c r="G1027" s="21">
        <v>39.132541699999997</v>
      </c>
      <c r="H1027" s="21">
        <v>34.668940599999999</v>
      </c>
      <c r="I1027" s="14" t="s">
        <v>1561</v>
      </c>
      <c r="J1027" s="21">
        <v>11.383804147643641</v>
      </c>
      <c r="K1027" s="21">
        <v>68.187926500000003</v>
      </c>
      <c r="L1027" s="24">
        <f t="shared" si="30"/>
        <v>1.7424865224126245</v>
      </c>
    </row>
    <row r="1028" spans="1:12" x14ac:dyDescent="0.25">
      <c r="A1028" s="15">
        <f t="shared" si="31"/>
        <v>1023</v>
      </c>
      <c r="B1028" s="17">
        <v>84998</v>
      </c>
      <c r="C1028" s="18" t="s">
        <v>1311</v>
      </c>
      <c r="D1028" s="20">
        <v>0.7930855</v>
      </c>
      <c r="E1028" s="19">
        <v>0</v>
      </c>
      <c r="F1028" s="20">
        <v>0.7930855</v>
      </c>
      <c r="G1028" s="21">
        <v>193.49270530000001</v>
      </c>
      <c r="H1028" s="21">
        <v>168.69493300000002</v>
      </c>
      <c r="I1028" s="14" t="s">
        <v>1561</v>
      </c>
      <c r="J1028" s="21">
        <v>69.903367761520954</v>
      </c>
      <c r="K1028" s="21">
        <v>182.03367499999999</v>
      </c>
      <c r="L1028" s="24">
        <f t="shared" si="30"/>
        <v>0.94077797257403883</v>
      </c>
    </row>
    <row r="1029" spans="1:12" x14ac:dyDescent="0.25">
      <c r="A1029" s="15">
        <f t="shared" si="31"/>
        <v>1024</v>
      </c>
      <c r="B1029" s="17">
        <v>85040</v>
      </c>
      <c r="C1029" s="18" t="s">
        <v>1312</v>
      </c>
      <c r="D1029" s="20" t="s">
        <v>1556</v>
      </c>
      <c r="E1029" s="19">
        <v>0</v>
      </c>
      <c r="F1029" s="20" t="s">
        <v>1556</v>
      </c>
      <c r="G1029" s="21">
        <v>0</v>
      </c>
      <c r="H1029" s="21">
        <v>0</v>
      </c>
      <c r="I1029" s="14" t="s">
        <v>1561</v>
      </c>
      <c r="J1029" s="21">
        <v>0</v>
      </c>
      <c r="K1029" s="21">
        <v>0</v>
      </c>
      <c r="L1029" s="24">
        <f t="shared" si="30"/>
        <v>0</v>
      </c>
    </row>
    <row r="1030" spans="1:12" x14ac:dyDescent="0.25">
      <c r="A1030" s="15">
        <f t="shared" si="31"/>
        <v>1025</v>
      </c>
      <c r="B1030" s="17">
        <v>85175</v>
      </c>
      <c r="C1030" s="18" t="s">
        <v>821</v>
      </c>
      <c r="D1030" s="20" t="s">
        <v>1556</v>
      </c>
      <c r="E1030" s="19">
        <v>0</v>
      </c>
      <c r="F1030" s="20" t="s">
        <v>1556</v>
      </c>
      <c r="G1030" s="21">
        <v>0</v>
      </c>
      <c r="H1030" s="21">
        <v>0</v>
      </c>
      <c r="I1030" s="14" t="s">
        <v>1561</v>
      </c>
      <c r="J1030" s="21">
        <v>0</v>
      </c>
      <c r="K1030" s="21">
        <v>0</v>
      </c>
      <c r="L1030" s="24">
        <f t="shared" si="30"/>
        <v>0</v>
      </c>
    </row>
    <row r="1031" spans="1:12" x14ac:dyDescent="0.25">
      <c r="A1031" s="15">
        <f t="shared" si="31"/>
        <v>1026</v>
      </c>
      <c r="B1031" s="17">
        <v>85363</v>
      </c>
      <c r="C1031" s="18" t="s">
        <v>196</v>
      </c>
      <c r="D1031" s="20" t="s">
        <v>1556</v>
      </c>
      <c r="E1031" s="19">
        <v>0</v>
      </c>
      <c r="F1031" s="20" t="s">
        <v>1556</v>
      </c>
      <c r="G1031" s="21">
        <v>0</v>
      </c>
      <c r="H1031" s="21">
        <v>0</v>
      </c>
      <c r="I1031" s="14" t="s">
        <v>1561</v>
      </c>
      <c r="J1031" s="21">
        <v>0</v>
      </c>
      <c r="K1031" s="21">
        <v>0</v>
      </c>
      <c r="L1031" s="24">
        <f t="shared" ref="L1031:L1094" si="32">+IFERROR(K1031/G1031,0)</f>
        <v>0</v>
      </c>
    </row>
    <row r="1032" spans="1:12" x14ac:dyDescent="0.25">
      <c r="A1032" s="15">
        <f t="shared" ref="A1032:A1095" si="33">A1031+1</f>
        <v>1027</v>
      </c>
      <c r="B1032" s="17">
        <v>85413</v>
      </c>
      <c r="C1032" s="18" t="s">
        <v>186</v>
      </c>
      <c r="D1032" s="20" t="s">
        <v>1556</v>
      </c>
      <c r="E1032" s="19">
        <v>0</v>
      </c>
      <c r="F1032" s="20" t="s">
        <v>1556</v>
      </c>
      <c r="G1032" s="21">
        <v>0</v>
      </c>
      <c r="H1032" s="21">
        <v>0</v>
      </c>
      <c r="I1032" s="14" t="s">
        <v>1561</v>
      </c>
      <c r="J1032" s="21">
        <v>0</v>
      </c>
      <c r="K1032" s="21">
        <v>0</v>
      </c>
      <c r="L1032" s="24">
        <f t="shared" si="32"/>
        <v>0</v>
      </c>
    </row>
    <row r="1033" spans="1:12" x14ac:dyDescent="0.25">
      <c r="A1033" s="15">
        <f t="shared" si="33"/>
        <v>1028</v>
      </c>
      <c r="B1033" s="17">
        <v>85460</v>
      </c>
      <c r="C1033" s="18" t="s">
        <v>1313</v>
      </c>
      <c r="D1033" s="20" t="s">
        <v>1556</v>
      </c>
      <c r="E1033" s="19">
        <v>0</v>
      </c>
      <c r="F1033" s="20" t="s">
        <v>1556</v>
      </c>
      <c r="G1033" s="21">
        <v>0</v>
      </c>
      <c r="H1033" s="21">
        <v>0</v>
      </c>
      <c r="I1033" s="14" t="s">
        <v>1561</v>
      </c>
      <c r="J1033" s="21">
        <v>0</v>
      </c>
      <c r="K1033" s="21">
        <v>0</v>
      </c>
      <c r="L1033" s="24">
        <f t="shared" si="32"/>
        <v>0</v>
      </c>
    </row>
    <row r="1034" spans="1:12" x14ac:dyDescent="0.25">
      <c r="A1034" s="15">
        <f t="shared" si="33"/>
        <v>1029</v>
      </c>
      <c r="B1034" s="17">
        <v>85488</v>
      </c>
      <c r="C1034" s="18" t="s">
        <v>1314</v>
      </c>
      <c r="D1034" s="20" t="s">
        <v>1556</v>
      </c>
      <c r="E1034" s="19">
        <v>0</v>
      </c>
      <c r="F1034" s="20" t="s">
        <v>1556</v>
      </c>
      <c r="G1034" s="21">
        <v>0</v>
      </c>
      <c r="H1034" s="21">
        <v>0</v>
      </c>
      <c r="I1034" s="14" t="s">
        <v>1561</v>
      </c>
      <c r="J1034" s="21">
        <v>0</v>
      </c>
      <c r="K1034" s="21">
        <v>0</v>
      </c>
      <c r="L1034" s="24">
        <f t="shared" si="32"/>
        <v>0</v>
      </c>
    </row>
    <row r="1035" spans="1:12" x14ac:dyDescent="0.25">
      <c r="A1035" s="15">
        <f t="shared" si="33"/>
        <v>1030</v>
      </c>
      <c r="B1035" s="17">
        <v>85562</v>
      </c>
      <c r="C1035" s="18" t="s">
        <v>1315</v>
      </c>
      <c r="D1035" s="20" t="s">
        <v>1556</v>
      </c>
      <c r="E1035" s="19">
        <v>0</v>
      </c>
      <c r="F1035" s="20" t="s">
        <v>1556</v>
      </c>
      <c r="G1035" s="21">
        <v>0</v>
      </c>
      <c r="H1035" s="21">
        <v>0</v>
      </c>
      <c r="I1035" s="14" t="s">
        <v>1561</v>
      </c>
      <c r="J1035" s="21">
        <v>0</v>
      </c>
      <c r="K1035" s="21">
        <v>0</v>
      </c>
      <c r="L1035" s="24">
        <f t="shared" si="32"/>
        <v>0</v>
      </c>
    </row>
    <row r="1036" spans="1:12" x14ac:dyDescent="0.25">
      <c r="A1036" s="15">
        <f t="shared" si="33"/>
        <v>1031</v>
      </c>
      <c r="B1036" s="17">
        <v>85592</v>
      </c>
      <c r="C1036" s="18" t="s">
        <v>822</v>
      </c>
      <c r="D1036" s="20">
        <v>6.1649700000000002E-2</v>
      </c>
      <c r="E1036" s="19">
        <v>0</v>
      </c>
      <c r="F1036" s="20">
        <v>6.1649700000000002E-2</v>
      </c>
      <c r="G1036" s="21">
        <v>19.769011499999998</v>
      </c>
      <c r="H1036" s="21">
        <v>19.769011499999998</v>
      </c>
      <c r="I1036" s="14" t="s">
        <v>1561</v>
      </c>
      <c r="J1036" s="21">
        <v>5.7025816560218621</v>
      </c>
      <c r="K1036" s="21">
        <v>19.881514499999998</v>
      </c>
      <c r="L1036" s="24">
        <f t="shared" si="32"/>
        <v>1.0056908763495838</v>
      </c>
    </row>
    <row r="1037" spans="1:12" x14ac:dyDescent="0.25">
      <c r="A1037" s="15">
        <f t="shared" si="33"/>
        <v>1032</v>
      </c>
      <c r="B1037" s="17">
        <v>85605</v>
      </c>
      <c r="C1037" s="18" t="s">
        <v>1316</v>
      </c>
      <c r="D1037" s="20" t="s">
        <v>1556</v>
      </c>
      <c r="E1037" s="19">
        <v>0</v>
      </c>
      <c r="F1037" s="20" t="s">
        <v>1556</v>
      </c>
      <c r="G1037" s="21">
        <v>0</v>
      </c>
      <c r="H1037" s="21">
        <v>0</v>
      </c>
      <c r="I1037" s="14" t="s">
        <v>1561</v>
      </c>
      <c r="J1037" s="21">
        <v>0</v>
      </c>
      <c r="K1037" s="21">
        <v>0</v>
      </c>
      <c r="L1037" s="24">
        <f t="shared" si="32"/>
        <v>0</v>
      </c>
    </row>
    <row r="1038" spans="1:12" x14ac:dyDescent="0.25">
      <c r="A1038" s="15">
        <f t="shared" si="33"/>
        <v>1033</v>
      </c>
      <c r="B1038" s="17">
        <v>85700</v>
      </c>
      <c r="C1038" s="18" t="s">
        <v>409</v>
      </c>
      <c r="D1038" s="20" t="s">
        <v>1556</v>
      </c>
      <c r="E1038" s="19">
        <v>0</v>
      </c>
      <c r="F1038" s="20" t="s">
        <v>1556</v>
      </c>
      <c r="G1038" s="21">
        <v>0</v>
      </c>
      <c r="H1038" s="21">
        <v>0</v>
      </c>
      <c r="I1038" s="14" t="s">
        <v>1561</v>
      </c>
      <c r="J1038" s="21">
        <v>0</v>
      </c>
      <c r="K1038" s="21">
        <v>0</v>
      </c>
      <c r="L1038" s="24">
        <f t="shared" si="32"/>
        <v>0</v>
      </c>
    </row>
    <row r="1039" spans="1:12" x14ac:dyDescent="0.25">
      <c r="A1039" s="15">
        <f t="shared" si="33"/>
        <v>1034</v>
      </c>
      <c r="B1039" s="17">
        <v>85927</v>
      </c>
      <c r="C1039" s="18" t="s">
        <v>823</v>
      </c>
      <c r="D1039" s="20">
        <v>1.5017341</v>
      </c>
      <c r="E1039" s="19">
        <v>0</v>
      </c>
      <c r="F1039" s="20">
        <v>1.5017341</v>
      </c>
      <c r="G1039" s="21">
        <v>65.911704400000005</v>
      </c>
      <c r="H1039" s="21">
        <v>47.488527200000007</v>
      </c>
      <c r="I1039" s="14" t="s">
        <v>1561</v>
      </c>
      <c r="J1039" s="21">
        <v>53.022186207268369</v>
      </c>
      <c r="K1039" s="21">
        <v>80.39125150000001</v>
      </c>
      <c r="L1039" s="24">
        <f t="shared" si="32"/>
        <v>1.2196809691360371</v>
      </c>
    </row>
    <row r="1040" spans="1:12" x14ac:dyDescent="0.25">
      <c r="A1040" s="15">
        <f t="shared" si="33"/>
        <v>1035</v>
      </c>
      <c r="B1040" s="17">
        <v>86076</v>
      </c>
      <c r="C1040" s="18" t="s">
        <v>146</v>
      </c>
      <c r="D1040" s="20" t="s">
        <v>1556</v>
      </c>
      <c r="E1040" s="19">
        <v>0</v>
      </c>
      <c r="F1040" s="20" t="s">
        <v>1556</v>
      </c>
      <c r="G1040" s="21">
        <v>0</v>
      </c>
      <c r="H1040" s="21">
        <v>0</v>
      </c>
      <c r="I1040" s="14" t="s">
        <v>1561</v>
      </c>
      <c r="J1040" s="21">
        <v>0</v>
      </c>
      <c r="K1040" s="21">
        <v>0</v>
      </c>
      <c r="L1040" s="24">
        <f t="shared" si="32"/>
        <v>0</v>
      </c>
    </row>
    <row r="1041" spans="1:12" x14ac:dyDescent="0.25">
      <c r="A1041" s="15">
        <f t="shared" si="33"/>
        <v>1036</v>
      </c>
      <c r="B1041" s="17">
        <v>86209</v>
      </c>
      <c r="C1041" s="18" t="s">
        <v>1317</v>
      </c>
      <c r="D1041" s="20" t="s">
        <v>1556</v>
      </c>
      <c r="E1041" s="19">
        <v>0</v>
      </c>
      <c r="F1041" s="20" t="s">
        <v>1556</v>
      </c>
      <c r="G1041" s="21">
        <v>0</v>
      </c>
      <c r="H1041" s="21">
        <v>0</v>
      </c>
      <c r="I1041" s="14" t="s">
        <v>1561</v>
      </c>
      <c r="J1041" s="21">
        <v>0</v>
      </c>
      <c r="K1041" s="21">
        <v>0</v>
      </c>
      <c r="L1041" s="24">
        <f t="shared" si="32"/>
        <v>0</v>
      </c>
    </row>
    <row r="1042" spans="1:12" x14ac:dyDescent="0.25">
      <c r="A1042" s="15">
        <f t="shared" si="33"/>
        <v>1037</v>
      </c>
      <c r="B1042" s="17">
        <v>86257</v>
      </c>
      <c r="C1042" s="18" t="s">
        <v>824</v>
      </c>
      <c r="D1042" s="20">
        <v>5.5871499999999998E-2</v>
      </c>
      <c r="E1042" s="19">
        <v>0</v>
      </c>
      <c r="F1042" s="20">
        <v>5.5871499999999998E-2</v>
      </c>
      <c r="G1042" s="21">
        <v>4.99975E-2</v>
      </c>
      <c r="H1042" s="21">
        <v>-2.3351000000000023E-3</v>
      </c>
      <c r="I1042" s="14" t="s">
        <v>1561</v>
      </c>
      <c r="J1042" s="21">
        <v>3.2729248701516127</v>
      </c>
      <c r="K1042" s="21">
        <v>3.6100975000000002</v>
      </c>
      <c r="L1042" s="24">
        <f t="shared" si="32"/>
        <v>72.205560278013905</v>
      </c>
    </row>
    <row r="1043" spans="1:12" x14ac:dyDescent="0.25">
      <c r="A1043" s="15">
        <f t="shared" si="33"/>
        <v>1038</v>
      </c>
      <c r="B1043" s="17">
        <v>86499</v>
      </c>
      <c r="C1043" s="18" t="s">
        <v>188</v>
      </c>
      <c r="D1043" s="20">
        <v>3.6906999999999999E-3</v>
      </c>
      <c r="E1043" s="19">
        <v>0</v>
      </c>
      <c r="F1043" s="20">
        <v>3.6906999999999999E-3</v>
      </c>
      <c r="G1043" s="21">
        <v>2.2498874999999998</v>
      </c>
      <c r="H1043" s="21">
        <v>1.9677914000000001</v>
      </c>
      <c r="I1043" s="14" t="s">
        <v>1561</v>
      </c>
      <c r="J1043" s="21">
        <v>0.42307477603862004</v>
      </c>
      <c r="K1043" s="21">
        <v>2.0350344000000002</v>
      </c>
      <c r="L1043" s="24">
        <f t="shared" si="32"/>
        <v>0.90450495858126256</v>
      </c>
    </row>
    <row r="1044" spans="1:12" x14ac:dyDescent="0.25">
      <c r="A1044" s="15">
        <f t="shared" si="33"/>
        <v>1039</v>
      </c>
      <c r="B1044" s="17">
        <v>86502</v>
      </c>
      <c r="C1044" s="18" t="s">
        <v>197</v>
      </c>
      <c r="D1044" s="20">
        <v>1.9312835000000002</v>
      </c>
      <c r="E1044" s="19">
        <v>0</v>
      </c>
      <c r="F1044" s="20">
        <v>1.9312835000000002</v>
      </c>
      <c r="G1044" s="21">
        <v>214.47796440000002</v>
      </c>
      <c r="H1044" s="21">
        <v>186.83927589999999</v>
      </c>
      <c r="I1044" s="14" t="s">
        <v>1561</v>
      </c>
      <c r="J1044" s="21">
        <v>137.06172020204085</v>
      </c>
      <c r="K1044" s="21">
        <v>214.39757780000002</v>
      </c>
      <c r="L1044" s="24">
        <f t="shared" si="32"/>
        <v>0.99962519879268308</v>
      </c>
    </row>
    <row r="1045" spans="1:12" x14ac:dyDescent="0.25">
      <c r="A1045" s="15">
        <f t="shared" si="33"/>
        <v>1040</v>
      </c>
      <c r="B1045" s="17">
        <v>86558</v>
      </c>
      <c r="C1045" s="18" t="s">
        <v>825</v>
      </c>
      <c r="D1045" s="20" t="s">
        <v>1556</v>
      </c>
      <c r="E1045" s="19">
        <v>0</v>
      </c>
      <c r="F1045" s="20" t="s">
        <v>1556</v>
      </c>
      <c r="G1045" s="21">
        <v>24.543772799999999</v>
      </c>
      <c r="H1045" s="21">
        <v>22.043772799999999</v>
      </c>
      <c r="I1045" s="14" t="s">
        <v>1561</v>
      </c>
      <c r="J1045" s="21">
        <v>0.39742856474166671</v>
      </c>
      <c r="K1045" s="21">
        <v>22.111288199999997</v>
      </c>
      <c r="L1045" s="24">
        <f t="shared" si="32"/>
        <v>0.90089198511485558</v>
      </c>
    </row>
    <row r="1046" spans="1:12" x14ac:dyDescent="0.25">
      <c r="A1046" s="15">
        <f t="shared" si="33"/>
        <v>1041</v>
      </c>
      <c r="B1046" s="17">
        <v>86589</v>
      </c>
      <c r="C1046" s="18" t="s">
        <v>1318</v>
      </c>
      <c r="D1046" s="20" t="s">
        <v>1556</v>
      </c>
      <c r="E1046" s="19">
        <v>0</v>
      </c>
      <c r="F1046" s="20" t="s">
        <v>1556</v>
      </c>
      <c r="G1046" s="21">
        <v>0</v>
      </c>
      <c r="H1046" s="21">
        <v>0</v>
      </c>
      <c r="I1046" s="14" t="s">
        <v>1561</v>
      </c>
      <c r="J1046" s="21">
        <v>0</v>
      </c>
      <c r="K1046" s="21">
        <v>0</v>
      </c>
      <c r="L1046" s="24">
        <f t="shared" si="32"/>
        <v>0</v>
      </c>
    </row>
    <row r="1047" spans="1:12" x14ac:dyDescent="0.25">
      <c r="A1047" s="15">
        <f t="shared" si="33"/>
        <v>1042</v>
      </c>
      <c r="B1047" s="17">
        <v>86683</v>
      </c>
      <c r="C1047" s="18" t="s">
        <v>1319</v>
      </c>
      <c r="D1047" s="20" t="s">
        <v>1556</v>
      </c>
      <c r="E1047" s="19">
        <v>0</v>
      </c>
      <c r="F1047" s="20" t="s">
        <v>1556</v>
      </c>
      <c r="G1047" s="21">
        <v>0</v>
      </c>
      <c r="H1047" s="21">
        <v>0</v>
      </c>
      <c r="I1047" s="14" t="s">
        <v>1561</v>
      </c>
      <c r="J1047" s="21">
        <v>0</v>
      </c>
      <c r="K1047" s="21">
        <v>0</v>
      </c>
      <c r="L1047" s="24">
        <f t="shared" si="32"/>
        <v>0</v>
      </c>
    </row>
    <row r="1048" spans="1:12" x14ac:dyDescent="0.25">
      <c r="A1048" s="15">
        <f t="shared" si="33"/>
        <v>1043</v>
      </c>
      <c r="B1048" s="17">
        <v>86800</v>
      </c>
      <c r="C1048" s="18" t="s">
        <v>826</v>
      </c>
      <c r="D1048" s="20" t="s">
        <v>1556</v>
      </c>
      <c r="E1048" s="19">
        <v>0</v>
      </c>
      <c r="F1048" s="20" t="s">
        <v>1556</v>
      </c>
      <c r="G1048" s="21">
        <v>0</v>
      </c>
      <c r="H1048" s="21">
        <v>0</v>
      </c>
      <c r="I1048" s="14" t="s">
        <v>1561</v>
      </c>
      <c r="J1048" s="21">
        <v>0</v>
      </c>
      <c r="K1048" s="21">
        <v>0</v>
      </c>
      <c r="L1048" s="24">
        <f t="shared" si="32"/>
        <v>0</v>
      </c>
    </row>
    <row r="1049" spans="1:12" x14ac:dyDescent="0.25">
      <c r="A1049" s="15">
        <f t="shared" si="33"/>
        <v>1044</v>
      </c>
      <c r="B1049" s="17">
        <v>86807</v>
      </c>
      <c r="C1049" s="18" t="s">
        <v>1320</v>
      </c>
      <c r="D1049" s="20" t="s">
        <v>1556</v>
      </c>
      <c r="E1049" s="19">
        <v>0</v>
      </c>
      <c r="F1049" s="20" t="s">
        <v>1556</v>
      </c>
      <c r="G1049" s="21">
        <v>0</v>
      </c>
      <c r="H1049" s="21">
        <v>0</v>
      </c>
      <c r="I1049" s="14" t="s">
        <v>1561</v>
      </c>
      <c r="J1049" s="21">
        <v>0</v>
      </c>
      <c r="K1049" s="21">
        <v>0</v>
      </c>
      <c r="L1049" s="24">
        <f t="shared" si="32"/>
        <v>0</v>
      </c>
    </row>
    <row r="1050" spans="1:12" x14ac:dyDescent="0.25">
      <c r="A1050" s="15">
        <f t="shared" si="33"/>
        <v>1045</v>
      </c>
      <c r="B1050" s="17">
        <v>86828</v>
      </c>
      <c r="C1050" s="18" t="s">
        <v>1321</v>
      </c>
      <c r="D1050" s="20" t="s">
        <v>1556</v>
      </c>
      <c r="E1050" s="19">
        <v>0</v>
      </c>
      <c r="F1050" s="20" t="s">
        <v>1556</v>
      </c>
      <c r="G1050" s="21">
        <v>0</v>
      </c>
      <c r="H1050" s="21">
        <v>0</v>
      </c>
      <c r="I1050" s="14" t="s">
        <v>1561</v>
      </c>
      <c r="J1050" s="21">
        <v>0</v>
      </c>
      <c r="K1050" s="21">
        <v>0</v>
      </c>
      <c r="L1050" s="24">
        <f t="shared" si="32"/>
        <v>0</v>
      </c>
    </row>
    <row r="1051" spans="1:12" x14ac:dyDescent="0.25">
      <c r="A1051" s="15">
        <f t="shared" si="33"/>
        <v>1046</v>
      </c>
      <c r="B1051" s="17">
        <v>86871</v>
      </c>
      <c r="C1051" s="18" t="s">
        <v>410</v>
      </c>
      <c r="D1051" s="20">
        <v>1.1808900000000001E-2</v>
      </c>
      <c r="E1051" s="19">
        <v>0</v>
      </c>
      <c r="F1051" s="20">
        <v>1.1808900000000001E-2</v>
      </c>
      <c r="G1051" s="21">
        <v>163.72570429999999</v>
      </c>
      <c r="H1051" s="21">
        <v>125.1234109</v>
      </c>
      <c r="I1051" s="14" t="s">
        <v>1561</v>
      </c>
      <c r="J1051" s="21">
        <v>12.722468521558064</v>
      </c>
      <c r="K1051" s="21">
        <v>131.52247199999999</v>
      </c>
      <c r="L1051" s="24">
        <f t="shared" si="32"/>
        <v>0.80330985633756713</v>
      </c>
    </row>
    <row r="1052" spans="1:12" x14ac:dyDescent="0.25">
      <c r="A1052" s="15">
        <f t="shared" si="33"/>
        <v>1047</v>
      </c>
      <c r="B1052" s="17">
        <v>86872</v>
      </c>
      <c r="C1052" s="18" t="s">
        <v>1322</v>
      </c>
      <c r="D1052" s="20" t="s">
        <v>1556</v>
      </c>
      <c r="E1052" s="19">
        <v>0</v>
      </c>
      <c r="F1052" s="20" t="s">
        <v>1556</v>
      </c>
      <c r="G1052" s="21">
        <v>0</v>
      </c>
      <c r="H1052" s="21">
        <v>0</v>
      </c>
      <c r="I1052" s="14" t="s">
        <v>1561</v>
      </c>
      <c r="J1052" s="21">
        <v>0</v>
      </c>
      <c r="K1052" s="21">
        <v>0</v>
      </c>
      <c r="L1052" s="24">
        <f t="shared" si="32"/>
        <v>0</v>
      </c>
    </row>
    <row r="1053" spans="1:12" x14ac:dyDescent="0.25">
      <c r="A1053" s="15">
        <f t="shared" si="33"/>
        <v>1048</v>
      </c>
      <c r="B1053" s="17">
        <v>86901</v>
      </c>
      <c r="C1053" s="18" t="s">
        <v>317</v>
      </c>
      <c r="D1053" s="20" t="s">
        <v>1556</v>
      </c>
      <c r="E1053" s="19">
        <v>0</v>
      </c>
      <c r="F1053" s="20" t="s">
        <v>1556</v>
      </c>
      <c r="G1053" s="21">
        <v>0</v>
      </c>
      <c r="H1053" s="21">
        <v>0</v>
      </c>
      <c r="I1053" s="14" t="s">
        <v>1561</v>
      </c>
      <c r="J1053" s="21">
        <v>0</v>
      </c>
      <c r="K1053" s="21">
        <v>0</v>
      </c>
      <c r="L1053" s="24">
        <f t="shared" si="32"/>
        <v>0</v>
      </c>
    </row>
    <row r="1054" spans="1:12" x14ac:dyDescent="0.25">
      <c r="A1054" s="15">
        <f t="shared" si="33"/>
        <v>1049</v>
      </c>
      <c r="B1054" s="17">
        <v>86906</v>
      </c>
      <c r="C1054" s="18" t="s">
        <v>147</v>
      </c>
      <c r="D1054" s="20" t="s">
        <v>1556</v>
      </c>
      <c r="E1054" s="19">
        <v>0</v>
      </c>
      <c r="F1054" s="20" t="s">
        <v>1556</v>
      </c>
      <c r="G1054" s="21">
        <v>0</v>
      </c>
      <c r="H1054" s="21">
        <v>0</v>
      </c>
      <c r="I1054" s="14" t="s">
        <v>1561</v>
      </c>
      <c r="J1054" s="21">
        <v>0</v>
      </c>
      <c r="K1054" s="21">
        <v>0</v>
      </c>
      <c r="L1054" s="24">
        <f t="shared" si="32"/>
        <v>0</v>
      </c>
    </row>
    <row r="1055" spans="1:12" x14ac:dyDescent="0.25">
      <c r="A1055" s="15">
        <f t="shared" si="33"/>
        <v>1050</v>
      </c>
      <c r="B1055" s="17">
        <v>86973</v>
      </c>
      <c r="C1055" s="18" t="s">
        <v>1323</v>
      </c>
      <c r="D1055" s="20" t="s">
        <v>1556</v>
      </c>
      <c r="E1055" s="19">
        <v>0</v>
      </c>
      <c r="F1055" s="20" t="s">
        <v>1556</v>
      </c>
      <c r="G1055" s="21">
        <v>0</v>
      </c>
      <c r="H1055" s="21">
        <v>0</v>
      </c>
      <c r="I1055" s="14" t="s">
        <v>1561</v>
      </c>
      <c r="J1055" s="21">
        <v>0</v>
      </c>
      <c r="K1055" s="21">
        <v>0</v>
      </c>
      <c r="L1055" s="24">
        <f t="shared" si="32"/>
        <v>0</v>
      </c>
    </row>
    <row r="1056" spans="1:12" x14ac:dyDescent="0.25">
      <c r="A1056" s="15">
        <f t="shared" si="33"/>
        <v>1051</v>
      </c>
      <c r="B1056" s="17">
        <v>87087</v>
      </c>
      <c r="C1056" s="18" t="s">
        <v>318</v>
      </c>
      <c r="D1056" s="20">
        <v>2.4579999999999996E-4</v>
      </c>
      <c r="E1056" s="19">
        <v>0</v>
      </c>
      <c r="F1056" s="20">
        <v>2.4579999999999996E-4</v>
      </c>
      <c r="G1056" s="21">
        <v>0.99995000000000001</v>
      </c>
      <c r="H1056" s="21">
        <v>0.99995000000000001</v>
      </c>
      <c r="I1056" s="14" t="s">
        <v>1561</v>
      </c>
      <c r="J1056" s="21">
        <v>9.6646941399999992E-2</v>
      </c>
      <c r="K1056" s="21">
        <v>1.0418156000000001</v>
      </c>
      <c r="L1056" s="24">
        <f t="shared" si="32"/>
        <v>1.0418676933846693</v>
      </c>
    </row>
    <row r="1057" spans="1:12" x14ac:dyDescent="0.25">
      <c r="A1057" s="15">
        <f t="shared" si="33"/>
        <v>1052</v>
      </c>
      <c r="B1057" s="17">
        <v>87145</v>
      </c>
      <c r="C1057" s="18" t="s">
        <v>827</v>
      </c>
      <c r="D1057" s="20">
        <v>0.1303435</v>
      </c>
      <c r="E1057" s="19">
        <v>0</v>
      </c>
      <c r="F1057" s="20">
        <v>0.1303435</v>
      </c>
      <c r="G1057" s="21">
        <v>43.856337199999999</v>
      </c>
      <c r="H1057" s="21">
        <v>31.050125499999996</v>
      </c>
      <c r="I1057" s="14" t="s">
        <v>1561</v>
      </c>
      <c r="J1057" s="21">
        <v>15.402327534530468</v>
      </c>
      <c r="K1057" s="21">
        <v>33.084316099999995</v>
      </c>
      <c r="L1057" s="24">
        <f t="shared" si="32"/>
        <v>0.7543793716544116</v>
      </c>
    </row>
    <row r="1058" spans="1:12" x14ac:dyDescent="0.25">
      <c r="A1058" s="15">
        <f t="shared" si="33"/>
        <v>1053</v>
      </c>
      <c r="B1058" s="17">
        <v>87332</v>
      </c>
      <c r="C1058" s="18" t="s">
        <v>319</v>
      </c>
      <c r="D1058" s="20" t="s">
        <v>1556</v>
      </c>
      <c r="E1058" s="19">
        <v>0</v>
      </c>
      <c r="F1058" s="20" t="s">
        <v>1556</v>
      </c>
      <c r="G1058" s="21">
        <v>0</v>
      </c>
      <c r="H1058" s="21">
        <v>0</v>
      </c>
      <c r="I1058" s="14" t="s">
        <v>1561</v>
      </c>
      <c r="J1058" s="21">
        <v>0</v>
      </c>
      <c r="K1058" s="21">
        <v>0</v>
      </c>
      <c r="L1058" s="24">
        <f t="shared" si="32"/>
        <v>0</v>
      </c>
    </row>
    <row r="1059" spans="1:12" x14ac:dyDescent="0.25">
      <c r="A1059" s="15">
        <f t="shared" si="33"/>
        <v>1054</v>
      </c>
      <c r="B1059" s="17">
        <v>87401</v>
      </c>
      <c r="C1059" s="18" t="s">
        <v>828</v>
      </c>
      <c r="D1059" s="20" t="s">
        <v>1556</v>
      </c>
      <c r="E1059" s="19">
        <v>0</v>
      </c>
      <c r="F1059" s="20" t="s">
        <v>1556</v>
      </c>
      <c r="G1059" s="21">
        <v>0</v>
      </c>
      <c r="H1059" s="21">
        <v>0</v>
      </c>
      <c r="I1059" s="14" t="s">
        <v>1561</v>
      </c>
      <c r="J1059" s="21">
        <v>0</v>
      </c>
      <c r="K1059" s="21">
        <v>0</v>
      </c>
      <c r="L1059" s="24">
        <f t="shared" si="32"/>
        <v>0</v>
      </c>
    </row>
    <row r="1060" spans="1:12" x14ac:dyDescent="0.25">
      <c r="A1060" s="15">
        <f t="shared" si="33"/>
        <v>1055</v>
      </c>
      <c r="B1060" s="17">
        <v>87527</v>
      </c>
      <c r="C1060" s="18" t="s">
        <v>320</v>
      </c>
      <c r="D1060" s="20" t="s">
        <v>1556</v>
      </c>
      <c r="E1060" s="19">
        <v>0</v>
      </c>
      <c r="F1060" s="20" t="s">
        <v>1556</v>
      </c>
      <c r="G1060" s="21">
        <v>0</v>
      </c>
      <c r="H1060" s="21">
        <v>0</v>
      </c>
      <c r="I1060" s="14" t="s">
        <v>1561</v>
      </c>
      <c r="J1060" s="21">
        <v>0</v>
      </c>
      <c r="K1060" s="21">
        <v>0</v>
      </c>
      <c r="L1060" s="24">
        <f t="shared" si="32"/>
        <v>0</v>
      </c>
    </row>
    <row r="1061" spans="1:12" x14ac:dyDescent="0.25">
      <c r="A1061" s="15">
        <f t="shared" si="33"/>
        <v>1056</v>
      </c>
      <c r="B1061" s="17">
        <v>87539</v>
      </c>
      <c r="C1061" s="18" t="s">
        <v>1324</v>
      </c>
      <c r="D1061" s="20">
        <v>2.0923999999999999E-3</v>
      </c>
      <c r="E1061" s="19">
        <v>0</v>
      </c>
      <c r="F1061" s="20">
        <v>2.0923999999999999E-3</v>
      </c>
      <c r="G1061" s="21">
        <v>5.5086593999999991</v>
      </c>
      <c r="H1061" s="21">
        <v>2.2469504999999992</v>
      </c>
      <c r="I1061" s="14" t="s">
        <v>1561</v>
      </c>
      <c r="J1061" s="21">
        <v>0.65411147177750895</v>
      </c>
      <c r="K1061" s="21">
        <v>2.4024760000000001</v>
      </c>
      <c r="L1061" s="24">
        <f t="shared" si="32"/>
        <v>0.43612716371609406</v>
      </c>
    </row>
    <row r="1062" spans="1:12" x14ac:dyDescent="0.25">
      <c r="A1062" s="15">
        <f t="shared" si="33"/>
        <v>1057</v>
      </c>
      <c r="B1062" s="17">
        <v>87541</v>
      </c>
      <c r="C1062" s="18" t="s">
        <v>1325</v>
      </c>
      <c r="D1062" s="20" t="s">
        <v>1556</v>
      </c>
      <c r="E1062" s="19">
        <v>0</v>
      </c>
      <c r="F1062" s="20" t="s">
        <v>1556</v>
      </c>
      <c r="G1062" s="21">
        <v>0</v>
      </c>
      <c r="H1062" s="21">
        <v>0</v>
      </c>
      <c r="I1062" s="14" t="s">
        <v>1561</v>
      </c>
      <c r="J1062" s="21">
        <v>0</v>
      </c>
      <c r="K1062" s="21">
        <v>0</v>
      </c>
      <c r="L1062" s="24">
        <f t="shared" si="32"/>
        <v>0</v>
      </c>
    </row>
    <row r="1063" spans="1:12" x14ac:dyDescent="0.25">
      <c r="A1063" s="15">
        <f t="shared" si="33"/>
        <v>1058</v>
      </c>
      <c r="B1063" s="17">
        <v>87554</v>
      </c>
      <c r="C1063" s="18" t="s">
        <v>1326</v>
      </c>
      <c r="D1063" s="20" t="s">
        <v>1556</v>
      </c>
      <c r="E1063" s="19">
        <v>0</v>
      </c>
      <c r="F1063" s="20" t="s">
        <v>1556</v>
      </c>
      <c r="G1063" s="21">
        <v>103.06594480000001</v>
      </c>
      <c r="H1063" s="21">
        <v>77.978080200000008</v>
      </c>
      <c r="I1063" s="14" t="s">
        <v>1561</v>
      </c>
      <c r="J1063" s="21">
        <v>7.988990784408065</v>
      </c>
      <c r="K1063" s="21">
        <v>82.775802300000009</v>
      </c>
      <c r="L1063" s="24">
        <f t="shared" si="32"/>
        <v>0.80313436664872062</v>
      </c>
    </row>
    <row r="1064" spans="1:12" x14ac:dyDescent="0.25">
      <c r="A1064" s="15">
        <f t="shared" si="33"/>
        <v>1059</v>
      </c>
      <c r="B1064" s="17">
        <v>87712</v>
      </c>
      <c r="C1064" s="18" t="s">
        <v>829</v>
      </c>
      <c r="D1064" s="20" t="s">
        <v>1556</v>
      </c>
      <c r="E1064" s="19">
        <v>0</v>
      </c>
      <c r="F1064" s="20" t="s">
        <v>1556</v>
      </c>
      <c r="G1064" s="21">
        <v>0</v>
      </c>
      <c r="H1064" s="21">
        <v>0</v>
      </c>
      <c r="I1064" s="14" t="s">
        <v>1561</v>
      </c>
      <c r="J1064" s="21">
        <v>0</v>
      </c>
      <c r="K1064" s="21">
        <v>0</v>
      </c>
      <c r="L1064" s="24">
        <f t="shared" si="32"/>
        <v>0</v>
      </c>
    </row>
    <row r="1065" spans="1:12" x14ac:dyDescent="0.25">
      <c r="A1065" s="15">
        <f t="shared" si="33"/>
        <v>1060</v>
      </c>
      <c r="B1065" s="17">
        <v>87717</v>
      </c>
      <c r="C1065" s="18" t="s">
        <v>1327</v>
      </c>
      <c r="D1065" s="20" t="s">
        <v>1556</v>
      </c>
      <c r="E1065" s="19">
        <v>0</v>
      </c>
      <c r="F1065" s="20" t="s">
        <v>1556</v>
      </c>
      <c r="G1065" s="21">
        <v>0</v>
      </c>
      <c r="H1065" s="21">
        <v>0</v>
      </c>
      <c r="I1065" s="14" t="s">
        <v>1561</v>
      </c>
      <c r="J1065" s="21">
        <v>0</v>
      </c>
      <c r="K1065" s="21">
        <v>0</v>
      </c>
      <c r="L1065" s="24">
        <f t="shared" si="32"/>
        <v>0</v>
      </c>
    </row>
    <row r="1066" spans="1:12" x14ac:dyDescent="0.25">
      <c r="A1066" s="15">
        <f t="shared" si="33"/>
        <v>1061</v>
      </c>
      <c r="B1066" s="17">
        <v>87755</v>
      </c>
      <c r="C1066" s="18" t="s">
        <v>830</v>
      </c>
      <c r="D1066" s="20" t="s">
        <v>1556</v>
      </c>
      <c r="E1066" s="19">
        <v>0</v>
      </c>
      <c r="F1066" s="20" t="s">
        <v>1556</v>
      </c>
      <c r="G1066" s="21">
        <v>0</v>
      </c>
      <c r="H1066" s="21">
        <v>0</v>
      </c>
      <c r="I1066" s="14" t="s">
        <v>1561</v>
      </c>
      <c r="J1066" s="21">
        <v>0</v>
      </c>
      <c r="K1066" s="21">
        <v>0</v>
      </c>
      <c r="L1066" s="24">
        <f t="shared" si="32"/>
        <v>0</v>
      </c>
    </row>
    <row r="1067" spans="1:12" x14ac:dyDescent="0.25">
      <c r="A1067" s="15">
        <f t="shared" si="33"/>
        <v>1062</v>
      </c>
      <c r="B1067" s="17">
        <v>87761</v>
      </c>
      <c r="C1067" s="18" t="s">
        <v>321</v>
      </c>
      <c r="D1067" s="20" t="s">
        <v>1556</v>
      </c>
      <c r="E1067" s="19">
        <v>0</v>
      </c>
      <c r="F1067" s="20" t="s">
        <v>1556</v>
      </c>
      <c r="G1067" s="21">
        <v>0</v>
      </c>
      <c r="H1067" s="21">
        <v>0</v>
      </c>
      <c r="I1067" s="14" t="s">
        <v>1561</v>
      </c>
      <c r="J1067" s="21">
        <v>0</v>
      </c>
      <c r="K1067" s="21">
        <v>0</v>
      </c>
      <c r="L1067" s="24">
        <f t="shared" si="32"/>
        <v>0</v>
      </c>
    </row>
    <row r="1068" spans="1:12" x14ac:dyDescent="0.25">
      <c r="A1068" s="15">
        <f t="shared" si="33"/>
        <v>1063</v>
      </c>
      <c r="B1068" s="17">
        <v>87977</v>
      </c>
      <c r="C1068" s="18" t="s">
        <v>831</v>
      </c>
      <c r="D1068" s="20" t="s">
        <v>1556</v>
      </c>
      <c r="E1068" s="19">
        <v>0</v>
      </c>
      <c r="F1068" s="20" t="s">
        <v>1556</v>
      </c>
      <c r="G1068" s="21">
        <v>28.998550000000002</v>
      </c>
      <c r="H1068" s="21">
        <v>22.998550000000002</v>
      </c>
      <c r="I1068" s="14" t="s">
        <v>1561</v>
      </c>
      <c r="J1068" s="21">
        <v>4.2127659759886198</v>
      </c>
      <c r="K1068" s="21">
        <v>24.3068189</v>
      </c>
      <c r="L1068" s="24">
        <f t="shared" si="32"/>
        <v>0.8382080793694856</v>
      </c>
    </row>
    <row r="1069" spans="1:12" x14ac:dyDescent="0.25">
      <c r="A1069" s="15">
        <f t="shared" si="33"/>
        <v>1064</v>
      </c>
      <c r="B1069" s="17">
        <v>88200</v>
      </c>
      <c r="C1069" s="18" t="s">
        <v>411</v>
      </c>
      <c r="D1069" s="20">
        <v>0.13276879999999999</v>
      </c>
      <c r="E1069" s="19">
        <v>0</v>
      </c>
      <c r="F1069" s="20">
        <v>0.13276879999999999</v>
      </c>
      <c r="G1069" s="21">
        <v>68.491577100000001</v>
      </c>
      <c r="H1069" s="21">
        <v>30.389133100000002</v>
      </c>
      <c r="I1069" s="14" t="s">
        <v>1561</v>
      </c>
      <c r="J1069" s="21">
        <v>23.749082895833251</v>
      </c>
      <c r="K1069" s="21">
        <v>32.513748700000001</v>
      </c>
      <c r="L1069" s="24">
        <f t="shared" si="32"/>
        <v>0.47471163720655513</v>
      </c>
    </row>
    <row r="1070" spans="1:12" x14ac:dyDescent="0.25">
      <c r="A1070" s="15">
        <f t="shared" si="33"/>
        <v>1065</v>
      </c>
      <c r="B1070" s="17">
        <v>88227</v>
      </c>
      <c r="C1070" s="18" t="s">
        <v>1328</v>
      </c>
      <c r="D1070" s="20" t="s">
        <v>1556</v>
      </c>
      <c r="E1070" s="19">
        <v>0</v>
      </c>
      <c r="F1070" s="20" t="s">
        <v>1556</v>
      </c>
      <c r="G1070" s="21">
        <v>0</v>
      </c>
      <c r="H1070" s="21">
        <v>0</v>
      </c>
      <c r="I1070" s="14" t="s">
        <v>1561</v>
      </c>
      <c r="J1070" s="21">
        <v>0</v>
      </c>
      <c r="K1070" s="21">
        <v>0</v>
      </c>
      <c r="L1070" s="24">
        <f t="shared" si="32"/>
        <v>0</v>
      </c>
    </row>
    <row r="1071" spans="1:12" x14ac:dyDescent="0.25">
      <c r="A1071" s="15">
        <f t="shared" si="33"/>
        <v>1066</v>
      </c>
      <c r="B1071" s="17">
        <v>88390</v>
      </c>
      <c r="C1071" s="18" t="s">
        <v>1329</v>
      </c>
      <c r="D1071" s="20">
        <v>1.0309664000000001</v>
      </c>
      <c r="E1071" s="19">
        <v>0</v>
      </c>
      <c r="F1071" s="20">
        <v>1.0309664000000001</v>
      </c>
      <c r="G1071" s="21">
        <v>123.7072141</v>
      </c>
      <c r="H1071" s="21">
        <v>114.8686151</v>
      </c>
      <c r="I1071" s="14" t="s">
        <v>1561</v>
      </c>
      <c r="J1071" s="21">
        <v>49.795673013558343</v>
      </c>
      <c r="K1071" s="21">
        <v>123.72275689999999</v>
      </c>
      <c r="L1071" s="24">
        <f t="shared" si="32"/>
        <v>1.0001256418238262</v>
      </c>
    </row>
    <row r="1072" spans="1:12" x14ac:dyDescent="0.25">
      <c r="A1072" s="15">
        <f t="shared" si="33"/>
        <v>1067</v>
      </c>
      <c r="B1072" s="17">
        <v>88450</v>
      </c>
      <c r="C1072" s="18" t="s">
        <v>322</v>
      </c>
      <c r="D1072" s="20" t="s">
        <v>1556</v>
      </c>
      <c r="E1072" s="19">
        <v>0</v>
      </c>
      <c r="F1072" s="20" t="s">
        <v>1556</v>
      </c>
      <c r="G1072" s="21">
        <v>0</v>
      </c>
      <c r="H1072" s="21">
        <v>0</v>
      </c>
      <c r="I1072" s="14" t="s">
        <v>1561</v>
      </c>
      <c r="J1072" s="21">
        <v>0</v>
      </c>
      <c r="K1072" s="21">
        <v>0</v>
      </c>
      <c r="L1072" s="24">
        <f t="shared" si="32"/>
        <v>0</v>
      </c>
    </row>
    <row r="1073" spans="1:12" x14ac:dyDescent="0.25">
      <c r="A1073" s="15">
        <f t="shared" si="33"/>
        <v>1068</v>
      </c>
      <c r="B1073" s="17">
        <v>88704</v>
      </c>
      <c r="C1073" s="18" t="s">
        <v>323</v>
      </c>
      <c r="D1073" s="20" t="s">
        <v>1556</v>
      </c>
      <c r="E1073" s="19">
        <v>0</v>
      </c>
      <c r="F1073" s="20" t="s">
        <v>1556</v>
      </c>
      <c r="G1073" s="21">
        <v>0</v>
      </c>
      <c r="H1073" s="21">
        <v>0</v>
      </c>
      <c r="I1073" s="14" t="s">
        <v>1561</v>
      </c>
      <c r="J1073" s="21">
        <v>0</v>
      </c>
      <c r="K1073" s="21">
        <v>0</v>
      </c>
      <c r="L1073" s="24">
        <f t="shared" si="32"/>
        <v>0</v>
      </c>
    </row>
    <row r="1074" spans="1:12" x14ac:dyDescent="0.25">
      <c r="A1074" s="15">
        <f t="shared" si="33"/>
        <v>1069</v>
      </c>
      <c r="B1074" s="17">
        <v>88737</v>
      </c>
      <c r="C1074" s="18" t="s">
        <v>832</v>
      </c>
      <c r="D1074" s="20" t="s">
        <v>1556</v>
      </c>
      <c r="E1074" s="19">
        <v>0</v>
      </c>
      <c r="F1074" s="20" t="s">
        <v>1556</v>
      </c>
      <c r="G1074" s="21">
        <v>0</v>
      </c>
      <c r="H1074" s="21">
        <v>0</v>
      </c>
      <c r="I1074" s="14" t="s">
        <v>1561</v>
      </c>
      <c r="J1074" s="21">
        <v>0</v>
      </c>
      <c r="K1074" s="21">
        <v>0</v>
      </c>
      <c r="L1074" s="24">
        <f t="shared" si="32"/>
        <v>0</v>
      </c>
    </row>
    <row r="1075" spans="1:12" x14ac:dyDescent="0.25">
      <c r="A1075" s="15">
        <f t="shared" si="33"/>
        <v>1070</v>
      </c>
      <c r="B1075" s="17">
        <v>89264</v>
      </c>
      <c r="C1075" s="18" t="s">
        <v>1330</v>
      </c>
      <c r="D1075" s="20" t="s">
        <v>1556</v>
      </c>
      <c r="E1075" s="19">
        <v>0</v>
      </c>
      <c r="F1075" s="20" t="s">
        <v>1556</v>
      </c>
      <c r="G1075" s="21">
        <v>0</v>
      </c>
      <c r="H1075" s="21">
        <v>0</v>
      </c>
      <c r="I1075" s="14" t="s">
        <v>1561</v>
      </c>
      <c r="J1075" s="21">
        <v>0</v>
      </c>
      <c r="K1075" s="21">
        <v>0</v>
      </c>
      <c r="L1075" s="24">
        <f t="shared" si="32"/>
        <v>0</v>
      </c>
    </row>
    <row r="1076" spans="1:12" x14ac:dyDescent="0.25">
      <c r="A1076" s="15">
        <f t="shared" si="33"/>
        <v>1071</v>
      </c>
      <c r="B1076" s="17">
        <v>89299</v>
      </c>
      <c r="C1076" s="18" t="s">
        <v>190</v>
      </c>
      <c r="D1076" s="20" t="s">
        <v>1556</v>
      </c>
      <c r="E1076" s="19">
        <v>0</v>
      </c>
      <c r="F1076" s="20" t="s">
        <v>1556</v>
      </c>
      <c r="G1076" s="21">
        <v>0</v>
      </c>
      <c r="H1076" s="21">
        <v>0</v>
      </c>
      <c r="I1076" s="14" t="s">
        <v>1561</v>
      </c>
      <c r="J1076" s="21">
        <v>0</v>
      </c>
      <c r="K1076" s="21">
        <v>0</v>
      </c>
      <c r="L1076" s="24">
        <f t="shared" si="32"/>
        <v>0</v>
      </c>
    </row>
    <row r="1077" spans="1:12" x14ac:dyDescent="0.25">
      <c r="A1077" s="15">
        <f t="shared" si="33"/>
        <v>1072</v>
      </c>
      <c r="B1077" s="17">
        <v>89368</v>
      </c>
      <c r="C1077" s="18" t="s">
        <v>148</v>
      </c>
      <c r="D1077" s="20" t="s">
        <v>1556</v>
      </c>
      <c r="E1077" s="19">
        <v>0</v>
      </c>
      <c r="F1077" s="20" t="s">
        <v>1556</v>
      </c>
      <c r="G1077" s="21">
        <v>0</v>
      </c>
      <c r="H1077" s="21">
        <v>0</v>
      </c>
      <c r="I1077" s="14" t="s">
        <v>1561</v>
      </c>
      <c r="J1077" s="21">
        <v>0</v>
      </c>
      <c r="K1077" s="21">
        <v>0</v>
      </c>
      <c r="L1077" s="24">
        <f t="shared" si="32"/>
        <v>0</v>
      </c>
    </row>
    <row r="1078" spans="1:12" x14ac:dyDescent="0.25">
      <c r="A1078" s="15">
        <f t="shared" si="33"/>
        <v>1073</v>
      </c>
      <c r="B1078" s="17">
        <v>89485</v>
      </c>
      <c r="C1078" s="18" t="s">
        <v>412</v>
      </c>
      <c r="D1078" s="20" t="s">
        <v>1556</v>
      </c>
      <c r="E1078" s="19">
        <v>0</v>
      </c>
      <c r="F1078" s="20" t="s">
        <v>1556</v>
      </c>
      <c r="G1078" s="21">
        <v>0</v>
      </c>
      <c r="H1078" s="21">
        <v>0</v>
      </c>
      <c r="I1078" s="14" t="s">
        <v>1561</v>
      </c>
      <c r="J1078" s="21">
        <v>0</v>
      </c>
      <c r="K1078" s="21">
        <v>0</v>
      </c>
      <c r="L1078" s="24">
        <f t="shared" si="32"/>
        <v>0</v>
      </c>
    </row>
    <row r="1079" spans="1:12" x14ac:dyDescent="0.25">
      <c r="A1079" s="15">
        <f t="shared" si="33"/>
        <v>1074</v>
      </c>
      <c r="B1079" s="17">
        <v>89611</v>
      </c>
      <c r="C1079" s="18" t="s">
        <v>468</v>
      </c>
      <c r="D1079" s="20" t="s">
        <v>1556</v>
      </c>
      <c r="E1079" s="19">
        <v>0</v>
      </c>
      <c r="F1079" s="20" t="s">
        <v>1556</v>
      </c>
      <c r="G1079" s="21">
        <v>0</v>
      </c>
      <c r="H1079" s="21">
        <v>0</v>
      </c>
      <c r="I1079" s="14" t="s">
        <v>1561</v>
      </c>
      <c r="J1079" s="21">
        <v>0</v>
      </c>
      <c r="K1079" s="21">
        <v>0</v>
      </c>
      <c r="L1079" s="24">
        <f t="shared" si="32"/>
        <v>0</v>
      </c>
    </row>
    <row r="1080" spans="1:12" x14ac:dyDescent="0.25">
      <c r="A1080" s="15">
        <f t="shared" si="33"/>
        <v>1075</v>
      </c>
      <c r="B1080" s="17">
        <v>89738</v>
      </c>
      <c r="C1080" s="18" t="s">
        <v>149</v>
      </c>
      <c r="D1080" s="20">
        <v>0.41021960000000002</v>
      </c>
      <c r="E1080" s="19">
        <v>0</v>
      </c>
      <c r="F1080" s="20">
        <v>0.41021960000000002</v>
      </c>
      <c r="G1080" s="21">
        <v>148.58080330000001</v>
      </c>
      <c r="H1080" s="21">
        <v>111.37998789999999</v>
      </c>
      <c r="I1080" s="14" t="s">
        <v>1561</v>
      </c>
      <c r="J1080" s="21">
        <v>93.31754392770884</v>
      </c>
      <c r="K1080" s="21">
        <v>121.1440133</v>
      </c>
      <c r="L1080" s="24">
        <f t="shared" si="32"/>
        <v>0.81534094990318295</v>
      </c>
    </row>
    <row r="1081" spans="1:12" x14ac:dyDescent="0.25">
      <c r="A1081" s="15">
        <f t="shared" si="33"/>
        <v>1076</v>
      </c>
      <c r="B1081" s="17">
        <v>90061</v>
      </c>
      <c r="C1081" s="18" t="s">
        <v>1331</v>
      </c>
      <c r="D1081" s="20" t="s">
        <v>1556</v>
      </c>
      <c r="E1081" s="19">
        <v>0</v>
      </c>
      <c r="F1081" s="20" t="s">
        <v>1556</v>
      </c>
      <c r="G1081" s="21">
        <v>0</v>
      </c>
      <c r="H1081" s="21">
        <v>0</v>
      </c>
      <c r="I1081" s="14" t="s">
        <v>1561</v>
      </c>
      <c r="J1081" s="21">
        <v>0</v>
      </c>
      <c r="K1081" s="21">
        <v>0</v>
      </c>
      <c r="L1081" s="24">
        <f t="shared" si="32"/>
        <v>0</v>
      </c>
    </row>
    <row r="1082" spans="1:12" x14ac:dyDescent="0.25">
      <c r="A1082" s="15">
        <f t="shared" si="33"/>
        <v>1077</v>
      </c>
      <c r="B1082" s="17">
        <v>90538</v>
      </c>
      <c r="C1082" s="18" t="s">
        <v>413</v>
      </c>
      <c r="D1082" s="20" t="s">
        <v>1556</v>
      </c>
      <c r="E1082" s="19">
        <v>0</v>
      </c>
      <c r="F1082" s="20" t="s">
        <v>1556</v>
      </c>
      <c r="G1082" s="21">
        <v>0.2499875</v>
      </c>
      <c r="H1082" s="21">
        <v>0.2499875</v>
      </c>
      <c r="I1082" s="14" t="s">
        <v>1561</v>
      </c>
      <c r="J1082" s="21">
        <v>0.19632939198593191</v>
      </c>
      <c r="K1082" s="21">
        <v>0.30774849999999998</v>
      </c>
      <c r="L1082" s="24">
        <f t="shared" si="32"/>
        <v>1.2310555527776388</v>
      </c>
    </row>
    <row r="1083" spans="1:12" x14ac:dyDescent="0.25">
      <c r="A1083" s="15">
        <f t="shared" si="33"/>
        <v>1078</v>
      </c>
      <c r="B1083" s="17">
        <v>90577</v>
      </c>
      <c r="C1083" s="18" t="s">
        <v>833</v>
      </c>
      <c r="D1083" s="20" t="s">
        <v>1556</v>
      </c>
      <c r="E1083" s="19">
        <v>0</v>
      </c>
      <c r="F1083" s="20" t="s">
        <v>1556</v>
      </c>
      <c r="G1083" s="21">
        <v>0</v>
      </c>
      <c r="H1083" s="21">
        <v>0</v>
      </c>
      <c r="I1083" s="14" t="s">
        <v>1561</v>
      </c>
      <c r="J1083" s="21">
        <v>0</v>
      </c>
      <c r="K1083" s="21">
        <v>0</v>
      </c>
      <c r="L1083" s="24">
        <f t="shared" si="32"/>
        <v>0</v>
      </c>
    </row>
    <row r="1084" spans="1:12" x14ac:dyDescent="0.25">
      <c r="A1084" s="15">
        <f t="shared" si="33"/>
        <v>1079</v>
      </c>
      <c r="B1084" s="17">
        <v>90746</v>
      </c>
      <c r="C1084" s="18" t="s">
        <v>834</v>
      </c>
      <c r="D1084" s="20" t="s">
        <v>1556</v>
      </c>
      <c r="E1084" s="19">
        <v>0</v>
      </c>
      <c r="F1084" s="20" t="s">
        <v>1556</v>
      </c>
      <c r="G1084" s="21">
        <v>5.9996999999999995E-2</v>
      </c>
      <c r="H1084" s="21">
        <v>5.9996999999999995E-2</v>
      </c>
      <c r="I1084" s="14" t="s">
        <v>1561</v>
      </c>
      <c r="J1084" s="21">
        <v>8.0578632333333337E-3</v>
      </c>
      <c r="K1084" s="21">
        <v>6.2570200000000006E-2</v>
      </c>
      <c r="L1084" s="24">
        <f t="shared" si="32"/>
        <v>1.0428888111072223</v>
      </c>
    </row>
    <row r="1085" spans="1:12" x14ac:dyDescent="0.25">
      <c r="A1085" s="15">
        <f t="shared" si="33"/>
        <v>1080</v>
      </c>
      <c r="B1085" s="17">
        <v>90748</v>
      </c>
      <c r="C1085" s="18" t="s">
        <v>835</v>
      </c>
      <c r="D1085" s="20">
        <v>0.27238689999999999</v>
      </c>
      <c r="E1085" s="19">
        <v>0</v>
      </c>
      <c r="F1085" s="20">
        <v>0.27238689999999999</v>
      </c>
      <c r="G1085" s="21">
        <v>96.375622399999997</v>
      </c>
      <c r="H1085" s="21">
        <v>93.365136300000003</v>
      </c>
      <c r="I1085" s="14" t="s">
        <v>1561</v>
      </c>
      <c r="J1085" s="21">
        <v>24.431241943019721</v>
      </c>
      <c r="K1085" s="21">
        <v>95.937641099999993</v>
      </c>
      <c r="L1085" s="24">
        <f t="shared" si="32"/>
        <v>0.99545547630102771</v>
      </c>
    </row>
    <row r="1086" spans="1:12" x14ac:dyDescent="0.25">
      <c r="A1086" s="15">
        <f t="shared" si="33"/>
        <v>1081</v>
      </c>
      <c r="B1086" s="17">
        <v>90793</v>
      </c>
      <c r="C1086" s="18" t="s">
        <v>324</v>
      </c>
      <c r="D1086" s="20" t="s">
        <v>1556</v>
      </c>
      <c r="E1086" s="19">
        <v>0</v>
      </c>
      <c r="F1086" s="20" t="s">
        <v>1556</v>
      </c>
      <c r="G1086" s="21">
        <v>0</v>
      </c>
      <c r="H1086" s="21">
        <v>0</v>
      </c>
      <c r="I1086" s="14" t="s">
        <v>1561</v>
      </c>
      <c r="J1086" s="21">
        <v>0</v>
      </c>
      <c r="K1086" s="21">
        <v>0</v>
      </c>
      <c r="L1086" s="24">
        <f t="shared" si="32"/>
        <v>0</v>
      </c>
    </row>
    <row r="1087" spans="1:12" x14ac:dyDescent="0.25">
      <c r="A1087" s="15">
        <f t="shared" si="33"/>
        <v>1082</v>
      </c>
      <c r="B1087" s="17">
        <v>90796</v>
      </c>
      <c r="C1087" s="18" t="s">
        <v>1332</v>
      </c>
      <c r="D1087" s="20">
        <v>5.1017399999999997E-2</v>
      </c>
      <c r="E1087" s="19">
        <v>0</v>
      </c>
      <c r="F1087" s="20">
        <v>5.1017399999999997E-2</v>
      </c>
      <c r="G1087" s="21">
        <v>12.199389999999999</v>
      </c>
      <c r="H1087" s="21">
        <v>12.199389999999999</v>
      </c>
      <c r="I1087" s="14" t="s">
        <v>1561</v>
      </c>
      <c r="J1087" s="21">
        <v>5.9652505835674727</v>
      </c>
      <c r="K1087" s="21">
        <v>12.691911699999999</v>
      </c>
      <c r="L1087" s="24">
        <f t="shared" si="32"/>
        <v>1.0403726497800299</v>
      </c>
    </row>
    <row r="1088" spans="1:12" x14ac:dyDescent="0.25">
      <c r="A1088" s="15">
        <f t="shared" si="33"/>
        <v>1083</v>
      </c>
      <c r="B1088" s="17">
        <v>90825</v>
      </c>
      <c r="C1088" s="18" t="s">
        <v>1333</v>
      </c>
      <c r="D1088" s="20" t="s">
        <v>1556</v>
      </c>
      <c r="E1088" s="19">
        <v>0</v>
      </c>
      <c r="F1088" s="20" t="s">
        <v>1556</v>
      </c>
      <c r="G1088" s="21">
        <v>0</v>
      </c>
      <c r="H1088" s="21">
        <v>0</v>
      </c>
      <c r="I1088" s="14" t="s">
        <v>1561</v>
      </c>
      <c r="J1088" s="21">
        <v>0</v>
      </c>
      <c r="K1088" s="21">
        <v>0</v>
      </c>
      <c r="L1088" s="24">
        <f t="shared" si="32"/>
        <v>0</v>
      </c>
    </row>
    <row r="1089" spans="1:12" x14ac:dyDescent="0.25">
      <c r="A1089" s="15">
        <f t="shared" si="33"/>
        <v>1084</v>
      </c>
      <c r="B1089" s="17">
        <v>90876</v>
      </c>
      <c r="C1089" s="18" t="s">
        <v>836</v>
      </c>
      <c r="D1089" s="20" t="s">
        <v>1556</v>
      </c>
      <c r="E1089" s="19">
        <v>0</v>
      </c>
      <c r="F1089" s="20" t="s">
        <v>1556</v>
      </c>
      <c r="G1089" s="21">
        <v>0</v>
      </c>
      <c r="H1089" s="21">
        <v>0</v>
      </c>
      <c r="I1089" s="14" t="s">
        <v>1561</v>
      </c>
      <c r="J1089" s="21">
        <v>0</v>
      </c>
      <c r="K1089" s="21">
        <v>0</v>
      </c>
      <c r="L1089" s="24">
        <f t="shared" si="32"/>
        <v>0</v>
      </c>
    </row>
    <row r="1090" spans="1:12" x14ac:dyDescent="0.25">
      <c r="A1090" s="15">
        <f t="shared" si="33"/>
        <v>1085</v>
      </c>
      <c r="B1090" s="17">
        <v>91019</v>
      </c>
      <c r="C1090" s="18" t="s">
        <v>325</v>
      </c>
      <c r="D1090" s="20" t="s">
        <v>1556</v>
      </c>
      <c r="E1090" s="19">
        <v>0</v>
      </c>
      <c r="F1090" s="20" t="s">
        <v>1556</v>
      </c>
      <c r="G1090" s="21">
        <v>0</v>
      </c>
      <c r="H1090" s="21">
        <v>0</v>
      </c>
      <c r="I1090" s="14" t="s">
        <v>1561</v>
      </c>
      <c r="J1090" s="21">
        <v>0</v>
      </c>
      <c r="K1090" s="21">
        <v>0</v>
      </c>
      <c r="L1090" s="24">
        <f t="shared" si="32"/>
        <v>0</v>
      </c>
    </row>
    <row r="1091" spans="1:12" x14ac:dyDescent="0.25">
      <c r="A1091" s="15">
        <f t="shared" si="33"/>
        <v>1086</v>
      </c>
      <c r="B1091" s="17">
        <v>91034</v>
      </c>
      <c r="C1091" s="18" t="s">
        <v>1334</v>
      </c>
      <c r="D1091" s="20">
        <v>2.6122008999999999</v>
      </c>
      <c r="E1091" s="19">
        <v>0</v>
      </c>
      <c r="F1091" s="20">
        <v>2.6122008999999999</v>
      </c>
      <c r="G1091" s="21">
        <v>418.23810140000001</v>
      </c>
      <c r="H1091" s="21">
        <v>302.61694729999999</v>
      </c>
      <c r="I1091" s="14" t="s">
        <v>1561</v>
      </c>
      <c r="J1091" s="21">
        <v>123.07197508454512</v>
      </c>
      <c r="K1091" s="21">
        <v>320.28771739999996</v>
      </c>
      <c r="L1091" s="24">
        <f t="shared" si="32"/>
        <v>0.76580234160368621</v>
      </c>
    </row>
    <row r="1092" spans="1:12" x14ac:dyDescent="0.25">
      <c r="A1092" s="15">
        <f t="shared" si="33"/>
        <v>1087</v>
      </c>
      <c r="B1092" s="17">
        <v>91074</v>
      </c>
      <c r="C1092" s="18" t="s">
        <v>1335</v>
      </c>
      <c r="D1092" s="20" t="s">
        <v>1556</v>
      </c>
      <c r="E1092" s="19">
        <v>0</v>
      </c>
      <c r="F1092" s="20" t="s">
        <v>1556</v>
      </c>
      <c r="G1092" s="21">
        <v>0</v>
      </c>
      <c r="H1092" s="21">
        <v>0</v>
      </c>
      <c r="I1092" s="14" t="s">
        <v>1561</v>
      </c>
      <c r="J1092" s="21">
        <v>0</v>
      </c>
      <c r="K1092" s="21">
        <v>0</v>
      </c>
      <c r="L1092" s="24">
        <f t="shared" si="32"/>
        <v>0</v>
      </c>
    </row>
    <row r="1093" spans="1:12" x14ac:dyDescent="0.25">
      <c r="A1093" s="15">
        <f t="shared" si="33"/>
        <v>1088</v>
      </c>
      <c r="B1093" s="17">
        <v>91703</v>
      </c>
      <c r="C1093" s="18" t="s">
        <v>837</v>
      </c>
      <c r="D1093" s="20" t="s">
        <v>1556</v>
      </c>
      <c r="E1093" s="19">
        <v>0</v>
      </c>
      <c r="F1093" s="20" t="s">
        <v>1556</v>
      </c>
      <c r="G1093" s="21">
        <v>0</v>
      </c>
      <c r="H1093" s="21">
        <v>0</v>
      </c>
      <c r="I1093" s="14" t="s">
        <v>1561</v>
      </c>
      <c r="J1093" s="21">
        <v>0</v>
      </c>
      <c r="K1093" s="21">
        <v>0</v>
      </c>
      <c r="L1093" s="24">
        <f t="shared" si="32"/>
        <v>0</v>
      </c>
    </row>
    <row r="1094" spans="1:12" x14ac:dyDescent="0.25">
      <c r="A1094" s="15">
        <f t="shared" si="33"/>
        <v>1089</v>
      </c>
      <c r="B1094" s="17">
        <v>91899</v>
      </c>
      <c r="C1094" s="18" t="s">
        <v>1336</v>
      </c>
      <c r="D1094" s="20" t="s">
        <v>1556</v>
      </c>
      <c r="E1094" s="19">
        <v>0</v>
      </c>
      <c r="F1094" s="20" t="s">
        <v>1556</v>
      </c>
      <c r="G1094" s="21">
        <v>0</v>
      </c>
      <c r="H1094" s="21">
        <v>0</v>
      </c>
      <c r="I1094" s="14" t="s">
        <v>1561</v>
      </c>
      <c r="J1094" s="21">
        <v>0</v>
      </c>
      <c r="K1094" s="21">
        <v>0</v>
      </c>
      <c r="L1094" s="24">
        <f t="shared" si="32"/>
        <v>0</v>
      </c>
    </row>
    <row r="1095" spans="1:12" x14ac:dyDescent="0.25">
      <c r="A1095" s="15">
        <f t="shared" si="33"/>
        <v>1090</v>
      </c>
      <c r="B1095" s="17">
        <v>92004</v>
      </c>
      <c r="C1095" s="18" t="s">
        <v>1337</v>
      </c>
      <c r="D1095" s="20" t="s">
        <v>1556</v>
      </c>
      <c r="E1095" s="19">
        <v>0</v>
      </c>
      <c r="F1095" s="20" t="s">
        <v>1556</v>
      </c>
      <c r="G1095" s="21">
        <v>0</v>
      </c>
      <c r="H1095" s="21">
        <v>0</v>
      </c>
      <c r="I1095" s="14" t="s">
        <v>1561</v>
      </c>
      <c r="J1095" s="21">
        <v>0</v>
      </c>
      <c r="K1095" s="21">
        <v>0</v>
      </c>
      <c r="L1095" s="24">
        <f t="shared" ref="L1095:L1158" si="34">+IFERROR(K1095/G1095,0)</f>
        <v>0</v>
      </c>
    </row>
    <row r="1096" spans="1:12" x14ac:dyDescent="0.25">
      <c r="A1096" s="15">
        <f t="shared" ref="A1096:A1159" si="35">A1095+1</f>
        <v>1091</v>
      </c>
      <c r="B1096" s="17">
        <v>92017</v>
      </c>
      <c r="C1096" s="18" t="s">
        <v>326</v>
      </c>
      <c r="D1096" s="20" t="s">
        <v>1556</v>
      </c>
      <c r="E1096" s="19">
        <v>0</v>
      </c>
      <c r="F1096" s="20" t="s">
        <v>1556</v>
      </c>
      <c r="G1096" s="21">
        <v>0</v>
      </c>
      <c r="H1096" s="21">
        <v>0</v>
      </c>
      <c r="I1096" s="14" t="s">
        <v>1561</v>
      </c>
      <c r="J1096" s="21">
        <v>0</v>
      </c>
      <c r="K1096" s="21">
        <v>0</v>
      </c>
      <c r="L1096" s="24">
        <f t="shared" si="34"/>
        <v>0</v>
      </c>
    </row>
    <row r="1097" spans="1:12" x14ac:dyDescent="0.25">
      <c r="A1097" s="15">
        <f t="shared" si="35"/>
        <v>1092</v>
      </c>
      <c r="B1097" s="17">
        <v>92021</v>
      </c>
      <c r="C1097" s="18" t="s">
        <v>838</v>
      </c>
      <c r="D1097" s="20">
        <v>0.10882610000000001</v>
      </c>
      <c r="E1097" s="19">
        <v>0</v>
      </c>
      <c r="F1097" s="20">
        <v>0.10882610000000001</v>
      </c>
      <c r="G1097" s="21">
        <v>73.229224800000011</v>
      </c>
      <c r="H1097" s="21">
        <v>56.529061000000006</v>
      </c>
      <c r="I1097" s="14" t="s">
        <v>1561</v>
      </c>
      <c r="J1097" s="21">
        <v>22.266226614181534</v>
      </c>
      <c r="K1097" s="21">
        <v>57.903523099999994</v>
      </c>
      <c r="L1097" s="24">
        <f t="shared" si="34"/>
        <v>0.79071604619799263</v>
      </c>
    </row>
    <row r="1098" spans="1:12" x14ac:dyDescent="0.25">
      <c r="A1098" s="15">
        <f t="shared" si="35"/>
        <v>1093</v>
      </c>
      <c r="B1098" s="17">
        <v>92091</v>
      </c>
      <c r="C1098" s="18" t="s">
        <v>839</v>
      </c>
      <c r="D1098" s="20" t="s">
        <v>1556</v>
      </c>
      <c r="E1098" s="19">
        <v>0</v>
      </c>
      <c r="F1098" s="20" t="s">
        <v>1556</v>
      </c>
      <c r="G1098" s="21">
        <v>0</v>
      </c>
      <c r="H1098" s="21">
        <v>0</v>
      </c>
      <c r="I1098" s="14" t="s">
        <v>1561</v>
      </c>
      <c r="J1098" s="21">
        <v>0</v>
      </c>
      <c r="K1098" s="21">
        <v>0</v>
      </c>
      <c r="L1098" s="24">
        <f t="shared" si="34"/>
        <v>0</v>
      </c>
    </row>
    <row r="1099" spans="1:12" x14ac:dyDescent="0.25">
      <c r="A1099" s="15">
        <f t="shared" si="35"/>
        <v>1094</v>
      </c>
      <c r="B1099" s="17">
        <v>92387</v>
      </c>
      <c r="C1099" s="18" t="s">
        <v>840</v>
      </c>
      <c r="D1099" s="20" t="s">
        <v>1556</v>
      </c>
      <c r="E1099" s="19">
        <v>0</v>
      </c>
      <c r="F1099" s="20" t="s">
        <v>1556</v>
      </c>
      <c r="G1099" s="21">
        <v>7.9995999999999998E-2</v>
      </c>
      <c r="H1099" s="21">
        <v>-1.8742000000000008E-3</v>
      </c>
      <c r="I1099" s="14" t="s">
        <v>1561</v>
      </c>
      <c r="J1099" s="21">
        <v>8.5493247311827971E-3</v>
      </c>
      <c r="K1099" s="21">
        <v>0</v>
      </c>
      <c r="L1099" s="24">
        <f t="shared" si="34"/>
        <v>0</v>
      </c>
    </row>
    <row r="1100" spans="1:12" x14ac:dyDescent="0.25">
      <c r="A1100" s="15">
        <f t="shared" si="35"/>
        <v>1095</v>
      </c>
      <c r="B1100" s="17">
        <v>92525</v>
      </c>
      <c r="C1100" s="18" t="s">
        <v>841</v>
      </c>
      <c r="D1100" s="20">
        <v>2.6664298</v>
      </c>
      <c r="E1100" s="19">
        <v>0</v>
      </c>
      <c r="F1100" s="20">
        <v>2.6664298</v>
      </c>
      <c r="G1100" s="21">
        <v>417.38647299999997</v>
      </c>
      <c r="H1100" s="21">
        <v>212.68366019999996</v>
      </c>
      <c r="I1100" s="14" t="s">
        <v>1561</v>
      </c>
      <c r="J1100" s="21">
        <v>167.76191561575124</v>
      </c>
      <c r="K1100" s="21">
        <v>281.65932829999997</v>
      </c>
      <c r="L1100" s="24">
        <f t="shared" si="34"/>
        <v>0.67481661845806873</v>
      </c>
    </row>
    <row r="1101" spans="1:12" x14ac:dyDescent="0.25">
      <c r="A1101" s="15">
        <f t="shared" si="35"/>
        <v>1096</v>
      </c>
      <c r="B1101" s="17">
        <v>92528</v>
      </c>
      <c r="C1101" s="18" t="s">
        <v>1338</v>
      </c>
      <c r="D1101" s="20" t="s">
        <v>1556</v>
      </c>
      <c r="E1101" s="19">
        <v>0</v>
      </c>
      <c r="F1101" s="20" t="s">
        <v>1556</v>
      </c>
      <c r="G1101" s="21">
        <v>0</v>
      </c>
      <c r="H1101" s="21">
        <v>0</v>
      </c>
      <c r="I1101" s="14" t="s">
        <v>1561</v>
      </c>
      <c r="J1101" s="21">
        <v>0</v>
      </c>
      <c r="K1101" s="21">
        <v>0</v>
      </c>
      <c r="L1101" s="24">
        <f t="shared" si="34"/>
        <v>0</v>
      </c>
    </row>
    <row r="1102" spans="1:12" x14ac:dyDescent="0.25">
      <c r="A1102" s="15">
        <f t="shared" si="35"/>
        <v>1097</v>
      </c>
      <c r="B1102" s="17">
        <v>92594</v>
      </c>
      <c r="C1102" s="18" t="s">
        <v>1339</v>
      </c>
      <c r="D1102" s="20" t="s">
        <v>1556</v>
      </c>
      <c r="E1102" s="19">
        <v>0</v>
      </c>
      <c r="F1102" s="20" t="s">
        <v>1556</v>
      </c>
      <c r="G1102" s="21">
        <v>0</v>
      </c>
      <c r="H1102" s="21">
        <v>0</v>
      </c>
      <c r="I1102" s="14" t="s">
        <v>1561</v>
      </c>
      <c r="J1102" s="21">
        <v>0</v>
      </c>
      <c r="K1102" s="21">
        <v>0</v>
      </c>
      <c r="L1102" s="24">
        <f t="shared" si="34"/>
        <v>0</v>
      </c>
    </row>
    <row r="1103" spans="1:12" x14ac:dyDescent="0.25">
      <c r="A1103" s="15">
        <f t="shared" si="35"/>
        <v>1098</v>
      </c>
      <c r="B1103" s="17">
        <v>92699</v>
      </c>
      <c r="C1103" s="18" t="s">
        <v>1340</v>
      </c>
      <c r="D1103" s="20" t="s">
        <v>1556</v>
      </c>
      <c r="E1103" s="19">
        <v>0</v>
      </c>
      <c r="F1103" s="20" t="s">
        <v>1556</v>
      </c>
      <c r="G1103" s="21">
        <v>0</v>
      </c>
      <c r="H1103" s="21">
        <v>0</v>
      </c>
      <c r="I1103" s="14" t="s">
        <v>1561</v>
      </c>
      <c r="J1103" s="21">
        <v>0</v>
      </c>
      <c r="K1103" s="21">
        <v>0</v>
      </c>
      <c r="L1103" s="24">
        <f t="shared" si="34"/>
        <v>0</v>
      </c>
    </row>
    <row r="1104" spans="1:12" x14ac:dyDescent="0.25">
      <c r="A1104" s="15">
        <f t="shared" si="35"/>
        <v>1099</v>
      </c>
      <c r="B1104" s="17">
        <v>92709</v>
      </c>
      <c r="C1104" s="18" t="s">
        <v>1341</v>
      </c>
      <c r="D1104" s="20" t="s">
        <v>1556</v>
      </c>
      <c r="E1104" s="19">
        <v>0</v>
      </c>
      <c r="F1104" s="20" t="s">
        <v>1556</v>
      </c>
      <c r="G1104" s="21">
        <v>0</v>
      </c>
      <c r="H1104" s="21">
        <v>0</v>
      </c>
      <c r="I1104" s="14" t="s">
        <v>1561</v>
      </c>
      <c r="J1104" s="21">
        <v>0</v>
      </c>
      <c r="K1104" s="21">
        <v>0</v>
      </c>
      <c r="L1104" s="24">
        <f t="shared" si="34"/>
        <v>0</v>
      </c>
    </row>
    <row r="1105" spans="1:12" x14ac:dyDescent="0.25">
      <c r="A1105" s="15">
        <f t="shared" si="35"/>
        <v>1100</v>
      </c>
      <c r="B1105" s="17">
        <v>93359</v>
      </c>
      <c r="C1105" s="18" t="s">
        <v>414</v>
      </c>
      <c r="D1105" s="20" t="s">
        <v>1556</v>
      </c>
      <c r="E1105" s="19">
        <v>0</v>
      </c>
      <c r="F1105" s="20" t="s">
        <v>1556</v>
      </c>
      <c r="G1105" s="21">
        <v>0</v>
      </c>
      <c r="H1105" s="21">
        <v>0</v>
      </c>
      <c r="I1105" s="14" t="s">
        <v>1561</v>
      </c>
      <c r="J1105" s="21">
        <v>0</v>
      </c>
      <c r="K1105" s="21">
        <v>0</v>
      </c>
      <c r="L1105" s="24">
        <f t="shared" si="34"/>
        <v>0</v>
      </c>
    </row>
    <row r="1106" spans="1:12" x14ac:dyDescent="0.25">
      <c r="A1106" s="15">
        <f t="shared" si="35"/>
        <v>1101</v>
      </c>
      <c r="B1106" s="17">
        <v>93442</v>
      </c>
      <c r="C1106" s="18" t="s">
        <v>1342</v>
      </c>
      <c r="D1106" s="20">
        <v>5.7883299999999999E-2</v>
      </c>
      <c r="E1106" s="19">
        <v>0</v>
      </c>
      <c r="F1106" s="20">
        <v>5.7883299999999999E-2</v>
      </c>
      <c r="G1106" s="21">
        <v>1.3999299999999999</v>
      </c>
      <c r="H1106" s="21">
        <v>1.2999295</v>
      </c>
      <c r="I1106" s="14" t="s">
        <v>1561</v>
      </c>
      <c r="J1106" s="21">
        <v>2.6691956111224013</v>
      </c>
      <c r="K1106" s="21">
        <v>3.2694091999999997</v>
      </c>
      <c r="L1106" s="24">
        <f t="shared" si="34"/>
        <v>2.3354090561670939</v>
      </c>
    </row>
    <row r="1107" spans="1:12" x14ac:dyDescent="0.25">
      <c r="A1107" s="15">
        <f t="shared" si="35"/>
        <v>1102</v>
      </c>
      <c r="B1107" s="17">
        <v>93500</v>
      </c>
      <c r="C1107" s="18" t="s">
        <v>842</v>
      </c>
      <c r="D1107" s="20" t="s">
        <v>1556</v>
      </c>
      <c r="E1107" s="19">
        <v>0</v>
      </c>
      <c r="F1107" s="20" t="s">
        <v>1556</v>
      </c>
      <c r="G1107" s="21">
        <v>0</v>
      </c>
      <c r="H1107" s="21">
        <v>0</v>
      </c>
      <c r="I1107" s="14" t="s">
        <v>1561</v>
      </c>
      <c r="J1107" s="21">
        <v>0</v>
      </c>
      <c r="K1107" s="21">
        <v>0</v>
      </c>
      <c r="L1107" s="24">
        <f t="shared" si="34"/>
        <v>0</v>
      </c>
    </row>
    <row r="1108" spans="1:12" x14ac:dyDescent="0.25">
      <c r="A1108" s="15">
        <f t="shared" si="35"/>
        <v>1103</v>
      </c>
      <c r="B1108" s="17">
        <v>93674</v>
      </c>
      <c r="C1108" s="18" t="s">
        <v>843</v>
      </c>
      <c r="D1108" s="20">
        <v>0.23194090000000001</v>
      </c>
      <c r="E1108" s="19">
        <v>0</v>
      </c>
      <c r="F1108" s="20">
        <v>0.23194090000000001</v>
      </c>
      <c r="G1108" s="21">
        <v>74.804642900000005</v>
      </c>
      <c r="H1108" s="21">
        <v>52.957318000000001</v>
      </c>
      <c r="I1108" s="14" t="s">
        <v>1561</v>
      </c>
      <c r="J1108" s="21">
        <v>23.023407451751432</v>
      </c>
      <c r="K1108" s="21">
        <v>57.060917400000001</v>
      </c>
      <c r="L1108" s="24">
        <f t="shared" si="34"/>
        <v>0.76279914170942453</v>
      </c>
    </row>
    <row r="1109" spans="1:12" x14ac:dyDescent="0.25">
      <c r="A1109" s="15">
        <f t="shared" si="35"/>
        <v>1104</v>
      </c>
      <c r="B1109" s="17">
        <v>93828</v>
      </c>
      <c r="C1109" s="18" t="s">
        <v>517</v>
      </c>
      <c r="D1109" s="20" t="s">
        <v>1556</v>
      </c>
      <c r="E1109" s="19">
        <v>0</v>
      </c>
      <c r="F1109" s="20" t="s">
        <v>1556</v>
      </c>
      <c r="G1109" s="21">
        <v>0</v>
      </c>
      <c r="H1109" s="21">
        <v>0</v>
      </c>
      <c r="I1109" s="14" t="s">
        <v>1561</v>
      </c>
      <c r="J1109" s="21">
        <v>0</v>
      </c>
      <c r="K1109" s="21">
        <v>0</v>
      </c>
      <c r="L1109" s="24">
        <f t="shared" si="34"/>
        <v>0</v>
      </c>
    </row>
    <row r="1110" spans="1:12" x14ac:dyDescent="0.25">
      <c r="A1110" s="15">
        <f t="shared" si="35"/>
        <v>1105</v>
      </c>
      <c r="B1110" s="17">
        <v>93961</v>
      </c>
      <c r="C1110" s="18" t="s">
        <v>193</v>
      </c>
      <c r="D1110" s="20" t="s">
        <v>1556</v>
      </c>
      <c r="E1110" s="19">
        <v>0</v>
      </c>
      <c r="F1110" s="20" t="s">
        <v>1556</v>
      </c>
      <c r="G1110" s="21">
        <v>0</v>
      </c>
      <c r="H1110" s="21">
        <v>0</v>
      </c>
      <c r="I1110" s="14" t="s">
        <v>1561</v>
      </c>
      <c r="J1110" s="21">
        <v>0</v>
      </c>
      <c r="K1110" s="21">
        <v>0</v>
      </c>
      <c r="L1110" s="24">
        <f t="shared" si="34"/>
        <v>0</v>
      </c>
    </row>
    <row r="1111" spans="1:12" x14ac:dyDescent="0.25">
      <c r="A1111" s="15">
        <f t="shared" si="35"/>
        <v>1106</v>
      </c>
      <c r="B1111" s="17">
        <v>94012</v>
      </c>
      <c r="C1111" s="18" t="s">
        <v>844</v>
      </c>
      <c r="D1111" s="20" t="s">
        <v>1556</v>
      </c>
      <c r="E1111" s="19">
        <v>0</v>
      </c>
      <c r="F1111" s="20" t="s">
        <v>1556</v>
      </c>
      <c r="G1111" s="21">
        <v>0</v>
      </c>
      <c r="H1111" s="21">
        <v>0</v>
      </c>
      <c r="I1111" s="14" t="s">
        <v>1561</v>
      </c>
      <c r="J1111" s="21">
        <v>0</v>
      </c>
      <c r="K1111" s="21">
        <v>0</v>
      </c>
      <c r="L1111" s="24">
        <f t="shared" si="34"/>
        <v>0</v>
      </c>
    </row>
    <row r="1112" spans="1:12" x14ac:dyDescent="0.25">
      <c r="A1112" s="15">
        <f t="shared" si="35"/>
        <v>1107</v>
      </c>
      <c r="B1112" s="17">
        <v>94014</v>
      </c>
      <c r="C1112" s="18" t="s">
        <v>232</v>
      </c>
      <c r="D1112" s="20">
        <v>7.1633593000000007</v>
      </c>
      <c r="E1112" s="19">
        <v>0</v>
      </c>
      <c r="F1112" s="20">
        <v>7.1633593000000007</v>
      </c>
      <c r="G1112" s="21">
        <v>2072.2322331</v>
      </c>
      <c r="H1112" s="21">
        <v>614.29033360000017</v>
      </c>
      <c r="I1112" s="14" t="s">
        <v>1561</v>
      </c>
      <c r="J1112" s="21">
        <v>574.85251472865161</v>
      </c>
      <c r="K1112" s="21">
        <v>830.79615760000002</v>
      </c>
      <c r="L1112" s="24">
        <f t="shared" si="34"/>
        <v>0.40091846093772643</v>
      </c>
    </row>
    <row r="1113" spans="1:12" x14ac:dyDescent="0.25">
      <c r="A1113" s="15">
        <f t="shared" si="35"/>
        <v>1108</v>
      </c>
      <c r="B1113" s="17">
        <v>94133</v>
      </c>
      <c r="C1113" s="18" t="s">
        <v>1343</v>
      </c>
      <c r="D1113" s="20" t="s">
        <v>1556</v>
      </c>
      <c r="E1113" s="19">
        <v>0</v>
      </c>
      <c r="F1113" s="20" t="s">
        <v>1556</v>
      </c>
      <c r="G1113" s="21">
        <v>0</v>
      </c>
      <c r="H1113" s="21">
        <v>0</v>
      </c>
      <c r="I1113" s="14" t="s">
        <v>1561</v>
      </c>
      <c r="J1113" s="21">
        <v>0</v>
      </c>
      <c r="K1113" s="21">
        <v>0</v>
      </c>
      <c r="L1113" s="24">
        <f t="shared" si="34"/>
        <v>0</v>
      </c>
    </row>
    <row r="1114" spans="1:12" x14ac:dyDescent="0.25">
      <c r="A1114" s="15">
        <f t="shared" si="35"/>
        <v>1109</v>
      </c>
      <c r="B1114" s="17">
        <v>94348</v>
      </c>
      <c r="C1114" s="18" t="s">
        <v>233</v>
      </c>
      <c r="D1114" s="20">
        <v>0.63499099999999997</v>
      </c>
      <c r="E1114" s="19">
        <v>0</v>
      </c>
      <c r="F1114" s="20">
        <v>0.63499099999999997</v>
      </c>
      <c r="G1114" s="21">
        <v>146.71566539999998</v>
      </c>
      <c r="H1114" s="21">
        <v>132.72278079999998</v>
      </c>
      <c r="I1114" s="14" t="s">
        <v>1561</v>
      </c>
      <c r="J1114" s="21">
        <v>48.353299723481435</v>
      </c>
      <c r="K1114" s="21">
        <v>142.73853060000002</v>
      </c>
      <c r="L1114" s="24">
        <f t="shared" si="34"/>
        <v>0.97289222804424569</v>
      </c>
    </row>
    <row r="1115" spans="1:12" x14ac:dyDescent="0.25">
      <c r="A1115" s="15">
        <f t="shared" si="35"/>
        <v>1110</v>
      </c>
      <c r="B1115" s="17">
        <v>94355</v>
      </c>
      <c r="C1115" s="18" t="s">
        <v>469</v>
      </c>
      <c r="D1115" s="20" t="s">
        <v>1556</v>
      </c>
      <c r="E1115" s="19">
        <v>0</v>
      </c>
      <c r="F1115" s="20" t="s">
        <v>1556</v>
      </c>
      <c r="G1115" s="21">
        <v>0</v>
      </c>
      <c r="H1115" s="21">
        <v>0</v>
      </c>
      <c r="I1115" s="14" t="s">
        <v>1561</v>
      </c>
      <c r="J1115" s="21">
        <v>0</v>
      </c>
      <c r="K1115" s="21">
        <v>0</v>
      </c>
      <c r="L1115" s="24">
        <f t="shared" si="34"/>
        <v>0</v>
      </c>
    </row>
    <row r="1116" spans="1:12" x14ac:dyDescent="0.25">
      <c r="A1116" s="15">
        <f t="shared" si="35"/>
        <v>1111</v>
      </c>
      <c r="B1116" s="17">
        <v>94634</v>
      </c>
      <c r="C1116" s="18" t="s">
        <v>845</v>
      </c>
      <c r="D1116" s="20">
        <v>1.9133299999999999E-2</v>
      </c>
      <c r="E1116" s="19">
        <v>0</v>
      </c>
      <c r="F1116" s="20">
        <v>1.9133299999999999E-2</v>
      </c>
      <c r="G1116" s="21">
        <v>6.7296636000000003</v>
      </c>
      <c r="H1116" s="21">
        <v>6.7296636000000003</v>
      </c>
      <c r="I1116" s="14" t="s">
        <v>1561</v>
      </c>
      <c r="J1116" s="21">
        <v>2.2007939965531369</v>
      </c>
      <c r="K1116" s="21">
        <v>7.1936032999999995</v>
      </c>
      <c r="L1116" s="24">
        <f t="shared" si="34"/>
        <v>1.0689395083581887</v>
      </c>
    </row>
    <row r="1117" spans="1:12" x14ac:dyDescent="0.25">
      <c r="A1117" s="15">
        <f t="shared" si="35"/>
        <v>1112</v>
      </c>
      <c r="B1117" s="17">
        <v>94638</v>
      </c>
      <c r="C1117" s="18" t="s">
        <v>1344</v>
      </c>
      <c r="D1117" s="20" t="s">
        <v>1556</v>
      </c>
      <c r="E1117" s="19">
        <v>0</v>
      </c>
      <c r="F1117" s="20" t="s">
        <v>1556</v>
      </c>
      <c r="G1117" s="21">
        <v>0</v>
      </c>
      <c r="H1117" s="21">
        <v>0</v>
      </c>
      <c r="I1117" s="14" t="s">
        <v>1561</v>
      </c>
      <c r="J1117" s="21">
        <v>0</v>
      </c>
      <c r="K1117" s="21">
        <v>0</v>
      </c>
      <c r="L1117" s="24">
        <f t="shared" si="34"/>
        <v>0</v>
      </c>
    </row>
    <row r="1118" spans="1:12" x14ac:dyDescent="0.25">
      <c r="A1118" s="15">
        <f t="shared" si="35"/>
        <v>1113</v>
      </c>
      <c r="B1118" s="17">
        <v>94798</v>
      </c>
      <c r="C1118" s="18" t="s">
        <v>1345</v>
      </c>
      <c r="D1118" s="20" t="s">
        <v>1556</v>
      </c>
      <c r="E1118" s="19">
        <v>0</v>
      </c>
      <c r="F1118" s="20" t="s">
        <v>1556</v>
      </c>
      <c r="G1118" s="21">
        <v>0</v>
      </c>
      <c r="H1118" s="21">
        <v>0</v>
      </c>
      <c r="I1118" s="14" t="s">
        <v>1561</v>
      </c>
      <c r="J1118" s="21">
        <v>0</v>
      </c>
      <c r="K1118" s="21">
        <v>0</v>
      </c>
      <c r="L1118" s="24">
        <f t="shared" si="34"/>
        <v>0</v>
      </c>
    </row>
    <row r="1119" spans="1:12" x14ac:dyDescent="0.25">
      <c r="A1119" s="15">
        <f t="shared" si="35"/>
        <v>1114</v>
      </c>
      <c r="B1119" s="17">
        <v>94822</v>
      </c>
      <c r="C1119" s="18" t="s">
        <v>1346</v>
      </c>
      <c r="D1119" s="20">
        <v>0.27965590000000001</v>
      </c>
      <c r="E1119" s="19">
        <v>0</v>
      </c>
      <c r="F1119" s="20">
        <v>0.27965590000000001</v>
      </c>
      <c r="G1119" s="21">
        <v>25.336807999999998</v>
      </c>
      <c r="H1119" s="21">
        <v>22.232604599999998</v>
      </c>
      <c r="I1119" s="14" t="s">
        <v>1561</v>
      </c>
      <c r="J1119" s="21">
        <v>12.369307178845871</v>
      </c>
      <c r="K1119" s="21">
        <v>24.966907299999999</v>
      </c>
      <c r="L1119" s="24">
        <f t="shared" si="34"/>
        <v>0.98540065899382434</v>
      </c>
    </row>
    <row r="1120" spans="1:12" x14ac:dyDescent="0.25">
      <c r="A1120" s="15">
        <f t="shared" si="35"/>
        <v>1115</v>
      </c>
      <c r="B1120" s="17">
        <v>94862</v>
      </c>
      <c r="C1120" s="18" t="s">
        <v>415</v>
      </c>
      <c r="D1120" s="20">
        <v>2.3429719000000002</v>
      </c>
      <c r="E1120" s="19">
        <v>0</v>
      </c>
      <c r="F1120" s="20">
        <v>2.3429719000000002</v>
      </c>
      <c r="G1120" s="21">
        <v>976.0602116</v>
      </c>
      <c r="H1120" s="21">
        <v>754.62178759999995</v>
      </c>
      <c r="I1120" s="14" t="s">
        <v>1561</v>
      </c>
      <c r="J1120" s="21">
        <v>242.46275013094709</v>
      </c>
      <c r="K1120" s="21">
        <v>781.38689450000004</v>
      </c>
      <c r="L1120" s="24">
        <f t="shared" si="34"/>
        <v>0.80055193851116724</v>
      </c>
    </row>
    <row r="1121" spans="1:12" x14ac:dyDescent="0.25">
      <c r="A1121" s="15">
        <f t="shared" si="35"/>
        <v>1116</v>
      </c>
      <c r="B1121" s="17">
        <v>95024</v>
      </c>
      <c r="C1121" s="18" t="s">
        <v>846</v>
      </c>
      <c r="D1121" s="20" t="s">
        <v>1556</v>
      </c>
      <c r="E1121" s="19">
        <v>0</v>
      </c>
      <c r="F1121" s="20" t="s">
        <v>1556</v>
      </c>
      <c r="G1121" s="21">
        <v>0</v>
      </c>
      <c r="H1121" s="21">
        <v>0</v>
      </c>
      <c r="I1121" s="14" t="s">
        <v>1561</v>
      </c>
      <c r="J1121" s="21">
        <v>0</v>
      </c>
      <c r="K1121" s="21">
        <v>0</v>
      </c>
      <c r="L1121" s="24">
        <f t="shared" si="34"/>
        <v>0</v>
      </c>
    </row>
    <row r="1122" spans="1:12" x14ac:dyDescent="0.25">
      <c r="A1122" s="15">
        <f t="shared" si="35"/>
        <v>1117</v>
      </c>
      <c r="B1122" s="17">
        <v>95025</v>
      </c>
      <c r="C1122" s="18" t="s">
        <v>1347</v>
      </c>
      <c r="D1122" s="20" t="s">
        <v>1556</v>
      </c>
      <c r="E1122" s="19">
        <v>0</v>
      </c>
      <c r="F1122" s="20" t="s">
        <v>1556</v>
      </c>
      <c r="G1122" s="21">
        <v>0</v>
      </c>
      <c r="H1122" s="21">
        <v>0</v>
      </c>
      <c r="I1122" s="14" t="s">
        <v>1561</v>
      </c>
      <c r="J1122" s="21">
        <v>0</v>
      </c>
      <c r="K1122" s="21">
        <v>0</v>
      </c>
      <c r="L1122" s="24">
        <f t="shared" si="34"/>
        <v>0</v>
      </c>
    </row>
    <row r="1123" spans="1:12" x14ac:dyDescent="0.25">
      <c r="A1123" s="15">
        <f t="shared" si="35"/>
        <v>1118</v>
      </c>
      <c r="B1123" s="17">
        <v>95073</v>
      </c>
      <c r="C1123" s="18" t="s">
        <v>1348</v>
      </c>
      <c r="D1123" s="20" t="s">
        <v>1556</v>
      </c>
      <c r="E1123" s="19">
        <v>0</v>
      </c>
      <c r="F1123" s="20" t="s">
        <v>1556</v>
      </c>
      <c r="G1123" s="21">
        <v>0</v>
      </c>
      <c r="H1123" s="21">
        <v>0</v>
      </c>
      <c r="I1123" s="14" t="s">
        <v>1561</v>
      </c>
      <c r="J1123" s="21">
        <v>0</v>
      </c>
      <c r="K1123" s="21">
        <v>0</v>
      </c>
      <c r="L1123" s="24">
        <f t="shared" si="34"/>
        <v>0</v>
      </c>
    </row>
    <row r="1124" spans="1:12" x14ac:dyDescent="0.25">
      <c r="A1124" s="15">
        <f t="shared" si="35"/>
        <v>1119</v>
      </c>
      <c r="B1124" s="17">
        <v>95104</v>
      </c>
      <c r="C1124" s="18" t="s">
        <v>1349</v>
      </c>
      <c r="D1124" s="20" t="s">
        <v>1556</v>
      </c>
      <c r="E1124" s="19">
        <v>0</v>
      </c>
      <c r="F1124" s="20" t="s">
        <v>1556</v>
      </c>
      <c r="G1124" s="21">
        <v>0</v>
      </c>
      <c r="H1124" s="21">
        <v>0</v>
      </c>
      <c r="I1124" s="14" t="s">
        <v>1561</v>
      </c>
      <c r="J1124" s="21">
        <v>0</v>
      </c>
      <c r="K1124" s="21">
        <v>0</v>
      </c>
      <c r="L1124" s="24">
        <f t="shared" si="34"/>
        <v>0</v>
      </c>
    </row>
    <row r="1125" spans="1:12" x14ac:dyDescent="0.25">
      <c r="A1125" s="15">
        <f t="shared" si="35"/>
        <v>1120</v>
      </c>
      <c r="B1125" s="17">
        <v>95221</v>
      </c>
      <c r="C1125" s="18" t="s">
        <v>416</v>
      </c>
      <c r="D1125" s="20" t="s">
        <v>1556</v>
      </c>
      <c r="E1125" s="19">
        <v>0</v>
      </c>
      <c r="F1125" s="20" t="s">
        <v>1556</v>
      </c>
      <c r="G1125" s="21">
        <v>0.86995649999999991</v>
      </c>
      <c r="H1125" s="21">
        <v>0.86995649999999991</v>
      </c>
      <c r="I1125" s="14" t="s">
        <v>1561</v>
      </c>
      <c r="J1125" s="21">
        <v>0.39041818420071678</v>
      </c>
      <c r="K1125" s="21">
        <v>0.99249589999999999</v>
      </c>
      <c r="L1125" s="24">
        <f t="shared" si="34"/>
        <v>1.1408569279038665</v>
      </c>
    </row>
    <row r="1126" spans="1:12" x14ac:dyDescent="0.25">
      <c r="A1126" s="15">
        <f t="shared" si="35"/>
        <v>1121</v>
      </c>
      <c r="B1126" s="17">
        <v>95407</v>
      </c>
      <c r="C1126" s="18" t="s">
        <v>194</v>
      </c>
      <c r="D1126" s="20" t="s">
        <v>1556</v>
      </c>
      <c r="E1126" s="19">
        <v>0</v>
      </c>
      <c r="F1126" s="20" t="s">
        <v>1556</v>
      </c>
      <c r="G1126" s="21">
        <v>0</v>
      </c>
      <c r="H1126" s="21">
        <v>0</v>
      </c>
      <c r="I1126" s="14" t="s">
        <v>1561</v>
      </c>
      <c r="J1126" s="21">
        <v>0</v>
      </c>
      <c r="K1126" s="21">
        <v>0</v>
      </c>
      <c r="L1126" s="24">
        <f t="shared" si="34"/>
        <v>0</v>
      </c>
    </row>
    <row r="1127" spans="1:12" x14ac:dyDescent="0.25">
      <c r="A1127" s="15">
        <f t="shared" si="35"/>
        <v>1122</v>
      </c>
      <c r="B1127" s="17">
        <v>95599</v>
      </c>
      <c r="C1127" s="18" t="s">
        <v>151</v>
      </c>
      <c r="D1127" s="20" t="s">
        <v>1556</v>
      </c>
      <c r="E1127" s="19">
        <v>0</v>
      </c>
      <c r="F1127" s="20" t="s">
        <v>1556</v>
      </c>
      <c r="G1127" s="21">
        <v>0</v>
      </c>
      <c r="H1127" s="21">
        <v>0</v>
      </c>
      <c r="I1127" s="14" t="s">
        <v>1561</v>
      </c>
      <c r="J1127" s="21">
        <v>0</v>
      </c>
      <c r="K1127" s="21">
        <v>0</v>
      </c>
      <c r="L1127" s="24">
        <f t="shared" si="34"/>
        <v>0</v>
      </c>
    </row>
    <row r="1128" spans="1:12" x14ac:dyDescent="0.25">
      <c r="A1128" s="15">
        <f t="shared" si="35"/>
        <v>1123</v>
      </c>
      <c r="B1128" s="17">
        <v>95731</v>
      </c>
      <c r="C1128" s="18" t="s">
        <v>847</v>
      </c>
      <c r="D1128" s="20">
        <v>3.5583999999999998E-3</v>
      </c>
      <c r="E1128" s="19">
        <v>0</v>
      </c>
      <c r="F1128" s="20">
        <v>3.5583999999999998E-3</v>
      </c>
      <c r="G1128" s="21">
        <v>0.97495199999999993</v>
      </c>
      <c r="H1128" s="21">
        <v>0.97495199999999993</v>
      </c>
      <c r="I1128" s="14" t="s">
        <v>1561</v>
      </c>
      <c r="J1128" s="21">
        <v>0.36571548670152326</v>
      </c>
      <c r="K1128" s="21">
        <v>1.053833</v>
      </c>
      <c r="L1128" s="24">
        <f t="shared" si="34"/>
        <v>1.0809075728856397</v>
      </c>
    </row>
    <row r="1129" spans="1:12" x14ac:dyDescent="0.25">
      <c r="A1129" s="15">
        <f t="shared" si="35"/>
        <v>1124</v>
      </c>
      <c r="B1129" s="17">
        <v>95748</v>
      </c>
      <c r="C1129" s="18" t="s">
        <v>234</v>
      </c>
      <c r="D1129" s="20" t="s">
        <v>1556</v>
      </c>
      <c r="E1129" s="19">
        <v>0</v>
      </c>
      <c r="F1129" s="20" t="s">
        <v>1556</v>
      </c>
      <c r="G1129" s="21">
        <v>0</v>
      </c>
      <c r="H1129" s="21">
        <v>0</v>
      </c>
      <c r="I1129" s="14" t="s">
        <v>1561</v>
      </c>
      <c r="J1129" s="21">
        <v>0</v>
      </c>
      <c r="K1129" s="21">
        <v>0</v>
      </c>
      <c r="L1129" s="24">
        <f t="shared" si="34"/>
        <v>0</v>
      </c>
    </row>
    <row r="1130" spans="1:12" x14ac:dyDescent="0.25">
      <c r="A1130" s="15">
        <f t="shared" si="35"/>
        <v>1125</v>
      </c>
      <c r="B1130" s="17">
        <v>95768</v>
      </c>
      <c r="C1130" s="18" t="s">
        <v>1350</v>
      </c>
      <c r="D1130" s="20" t="s">
        <v>1556</v>
      </c>
      <c r="E1130" s="19">
        <v>0</v>
      </c>
      <c r="F1130" s="20" t="s">
        <v>1556</v>
      </c>
      <c r="G1130" s="21">
        <v>0</v>
      </c>
      <c r="H1130" s="21">
        <v>0</v>
      </c>
      <c r="I1130" s="14" t="s">
        <v>1561</v>
      </c>
      <c r="J1130" s="21">
        <v>0</v>
      </c>
      <c r="K1130" s="21">
        <v>0</v>
      </c>
      <c r="L1130" s="24">
        <f t="shared" si="34"/>
        <v>0</v>
      </c>
    </row>
    <row r="1131" spans="1:12" x14ac:dyDescent="0.25">
      <c r="A1131" s="15">
        <f t="shared" si="35"/>
        <v>1126</v>
      </c>
      <c r="B1131" s="17">
        <v>95786</v>
      </c>
      <c r="C1131" s="18" t="s">
        <v>1351</v>
      </c>
      <c r="D1131" s="20" t="s">
        <v>1556</v>
      </c>
      <c r="E1131" s="19">
        <v>0</v>
      </c>
      <c r="F1131" s="20" t="s">
        <v>1556</v>
      </c>
      <c r="G1131" s="21">
        <v>0</v>
      </c>
      <c r="H1131" s="21">
        <v>0</v>
      </c>
      <c r="I1131" s="14" t="s">
        <v>1561</v>
      </c>
      <c r="J1131" s="21">
        <v>0</v>
      </c>
      <c r="K1131" s="21">
        <v>0</v>
      </c>
      <c r="L1131" s="24">
        <f t="shared" si="34"/>
        <v>0</v>
      </c>
    </row>
    <row r="1132" spans="1:12" x14ac:dyDescent="0.25">
      <c r="A1132" s="15">
        <f t="shared" si="35"/>
        <v>1127</v>
      </c>
      <c r="B1132" s="17">
        <v>96025</v>
      </c>
      <c r="C1132" s="18" t="s">
        <v>1352</v>
      </c>
      <c r="D1132" s="20">
        <v>1.2003786999999999</v>
      </c>
      <c r="E1132" s="19">
        <v>0</v>
      </c>
      <c r="F1132" s="20">
        <v>1.2003786999999999</v>
      </c>
      <c r="G1132" s="21">
        <v>235.80643030000002</v>
      </c>
      <c r="H1132" s="21">
        <v>187.38924499999999</v>
      </c>
      <c r="I1132" s="14" t="s">
        <v>1561</v>
      </c>
      <c r="J1132" s="21">
        <v>95.876471616181902</v>
      </c>
      <c r="K1132" s="21">
        <v>203.29333629999999</v>
      </c>
      <c r="L1132" s="24">
        <f t="shared" si="34"/>
        <v>0.8621195615461551</v>
      </c>
    </row>
    <row r="1133" spans="1:12" x14ac:dyDescent="0.25">
      <c r="A1133" s="15">
        <f t="shared" si="35"/>
        <v>1128</v>
      </c>
      <c r="B1133" s="17">
        <v>96039</v>
      </c>
      <c r="C1133" s="18" t="s">
        <v>235</v>
      </c>
      <c r="D1133" s="20">
        <v>4.5752799999999996E-2</v>
      </c>
      <c r="E1133" s="19">
        <v>0</v>
      </c>
      <c r="F1133" s="20">
        <v>4.5752799999999996E-2</v>
      </c>
      <c r="G1133" s="21">
        <v>120.32998380000001</v>
      </c>
      <c r="H1133" s="21">
        <v>111.8912057</v>
      </c>
      <c r="I1133" s="14" t="s">
        <v>1561</v>
      </c>
      <c r="J1133" s="21">
        <v>22.676537955971057</v>
      </c>
      <c r="K1133" s="21">
        <v>113.15421670000001</v>
      </c>
      <c r="L1133" s="24">
        <f t="shared" si="34"/>
        <v>0.94036592648489992</v>
      </c>
    </row>
    <row r="1134" spans="1:12" x14ac:dyDescent="0.25">
      <c r="A1134" s="15">
        <f t="shared" si="35"/>
        <v>1129</v>
      </c>
      <c r="B1134" s="17">
        <v>96040</v>
      </c>
      <c r="C1134" s="18" t="s">
        <v>848</v>
      </c>
      <c r="D1134" s="20" t="s">
        <v>1556</v>
      </c>
      <c r="E1134" s="19">
        <v>0</v>
      </c>
      <c r="F1134" s="20" t="s">
        <v>1556</v>
      </c>
      <c r="G1134" s="21">
        <v>0</v>
      </c>
      <c r="H1134" s="21">
        <v>0</v>
      </c>
      <c r="I1134" s="14" t="s">
        <v>1561</v>
      </c>
      <c r="J1134" s="21">
        <v>0</v>
      </c>
      <c r="K1134" s="21">
        <v>0</v>
      </c>
      <c r="L1134" s="24">
        <f t="shared" si="34"/>
        <v>0</v>
      </c>
    </row>
    <row r="1135" spans="1:12" x14ac:dyDescent="0.25">
      <c r="A1135" s="15">
        <f t="shared" si="35"/>
        <v>1130</v>
      </c>
      <c r="B1135" s="17">
        <v>96137</v>
      </c>
      <c r="C1135" s="18" t="s">
        <v>1353</v>
      </c>
      <c r="D1135" s="20" t="s">
        <v>1556</v>
      </c>
      <c r="E1135" s="19">
        <v>0</v>
      </c>
      <c r="F1135" s="20" t="s">
        <v>1556</v>
      </c>
      <c r="G1135" s="21">
        <v>0</v>
      </c>
      <c r="H1135" s="21">
        <v>0</v>
      </c>
      <c r="I1135" s="14" t="s">
        <v>1561</v>
      </c>
      <c r="J1135" s="21">
        <v>0</v>
      </c>
      <c r="K1135" s="21">
        <v>0</v>
      </c>
      <c r="L1135" s="24">
        <f t="shared" si="34"/>
        <v>0</v>
      </c>
    </row>
    <row r="1136" spans="1:12" x14ac:dyDescent="0.25">
      <c r="A1136" s="15">
        <f t="shared" si="35"/>
        <v>1131</v>
      </c>
      <c r="B1136" s="17">
        <v>96139</v>
      </c>
      <c r="C1136" s="18" t="s">
        <v>849</v>
      </c>
      <c r="D1136" s="20">
        <v>2.9458999999999996E-3</v>
      </c>
      <c r="E1136" s="19">
        <v>0</v>
      </c>
      <c r="F1136" s="20">
        <v>2.9458999999999996E-3</v>
      </c>
      <c r="G1136" s="21">
        <v>7.5996199999999998</v>
      </c>
      <c r="H1136" s="21">
        <v>7.5996199999999998</v>
      </c>
      <c r="I1136" s="14" t="s">
        <v>1561</v>
      </c>
      <c r="J1136" s="21">
        <v>0.76580590871666665</v>
      </c>
      <c r="K1136" s="21">
        <v>7.7922377000000003</v>
      </c>
      <c r="L1136" s="24">
        <f t="shared" si="34"/>
        <v>1.0253457014956011</v>
      </c>
    </row>
    <row r="1137" spans="1:12" x14ac:dyDescent="0.25">
      <c r="A1137" s="15">
        <f t="shared" si="35"/>
        <v>1132</v>
      </c>
      <c r="B1137" s="17">
        <v>96178</v>
      </c>
      <c r="C1137" s="18" t="s">
        <v>850</v>
      </c>
      <c r="D1137" s="20">
        <v>1.9294E-3</v>
      </c>
      <c r="E1137" s="19">
        <v>0</v>
      </c>
      <c r="F1137" s="20">
        <v>1.9294E-3</v>
      </c>
      <c r="G1137" s="21">
        <v>0.62496910000000006</v>
      </c>
      <c r="H1137" s="21">
        <v>0.62496910000000006</v>
      </c>
      <c r="I1137" s="14" t="s">
        <v>1561</v>
      </c>
      <c r="J1137" s="21">
        <v>0.22827534921872761</v>
      </c>
      <c r="K1137" s="21">
        <v>0.65530620000000006</v>
      </c>
      <c r="L1137" s="24">
        <f t="shared" si="34"/>
        <v>1.0485417599046096</v>
      </c>
    </row>
    <row r="1138" spans="1:12" x14ac:dyDescent="0.25">
      <c r="A1138" s="15">
        <f t="shared" si="35"/>
        <v>1133</v>
      </c>
      <c r="B1138" s="17">
        <v>96366</v>
      </c>
      <c r="C1138" s="18" t="s">
        <v>1354</v>
      </c>
      <c r="D1138" s="20" t="s">
        <v>1556</v>
      </c>
      <c r="E1138" s="19">
        <v>0</v>
      </c>
      <c r="F1138" s="20" t="s">
        <v>1556</v>
      </c>
      <c r="G1138" s="21">
        <v>0</v>
      </c>
      <c r="H1138" s="21">
        <v>0</v>
      </c>
      <c r="I1138" s="14" t="s">
        <v>1561</v>
      </c>
      <c r="J1138" s="21">
        <v>0</v>
      </c>
      <c r="K1138" s="21">
        <v>0</v>
      </c>
      <c r="L1138" s="24">
        <f t="shared" si="34"/>
        <v>0</v>
      </c>
    </row>
    <row r="1139" spans="1:12" x14ac:dyDescent="0.25">
      <c r="A1139" s="15">
        <f t="shared" si="35"/>
        <v>1134</v>
      </c>
      <c r="B1139" s="17">
        <v>96373</v>
      </c>
      <c r="C1139" s="18" t="s">
        <v>1355</v>
      </c>
      <c r="D1139" s="20" t="s">
        <v>1556</v>
      </c>
      <c r="E1139" s="19">
        <v>0</v>
      </c>
      <c r="F1139" s="20" t="s">
        <v>1556</v>
      </c>
      <c r="G1139" s="21">
        <v>0</v>
      </c>
      <c r="H1139" s="21">
        <v>0</v>
      </c>
      <c r="I1139" s="14" t="s">
        <v>1561</v>
      </c>
      <c r="J1139" s="21">
        <v>0</v>
      </c>
      <c r="K1139" s="21">
        <v>0</v>
      </c>
      <c r="L1139" s="24">
        <f t="shared" si="34"/>
        <v>0</v>
      </c>
    </row>
    <row r="1140" spans="1:12" x14ac:dyDescent="0.25">
      <c r="A1140" s="15">
        <f t="shared" si="35"/>
        <v>1135</v>
      </c>
      <c r="B1140" s="17">
        <v>96404</v>
      </c>
      <c r="C1140" s="18" t="s">
        <v>1356</v>
      </c>
      <c r="D1140" s="20" t="s">
        <v>1556</v>
      </c>
      <c r="E1140" s="19">
        <v>0</v>
      </c>
      <c r="F1140" s="20" t="s">
        <v>1556</v>
      </c>
      <c r="G1140" s="21">
        <v>0</v>
      </c>
      <c r="H1140" s="21">
        <v>0</v>
      </c>
      <c r="I1140" s="14" t="s">
        <v>1561</v>
      </c>
      <c r="J1140" s="21">
        <v>0</v>
      </c>
      <c r="K1140" s="21">
        <v>0</v>
      </c>
      <c r="L1140" s="24">
        <f t="shared" si="34"/>
        <v>0</v>
      </c>
    </row>
    <row r="1141" spans="1:12" x14ac:dyDescent="0.25">
      <c r="A1141" s="15">
        <f t="shared" si="35"/>
        <v>1136</v>
      </c>
      <c r="B1141" s="17">
        <v>96447</v>
      </c>
      <c r="C1141" s="18" t="s">
        <v>327</v>
      </c>
      <c r="D1141" s="20">
        <v>6.7672999999999997E-2</v>
      </c>
      <c r="E1141" s="19">
        <v>0</v>
      </c>
      <c r="F1141" s="20">
        <v>6.7672999999999997E-2</v>
      </c>
      <c r="G1141" s="21">
        <v>38.613415499999995</v>
      </c>
      <c r="H1141" s="21">
        <v>2.7153046999999972</v>
      </c>
      <c r="I1141" s="14" t="s">
        <v>1561</v>
      </c>
      <c r="J1141" s="21">
        <v>6.7676504488813611</v>
      </c>
      <c r="K1141" s="21">
        <v>4.8327708000000005</v>
      </c>
      <c r="L1141" s="24">
        <f t="shared" si="34"/>
        <v>0.12515781723582575</v>
      </c>
    </row>
    <row r="1142" spans="1:12" x14ac:dyDescent="0.25">
      <c r="A1142" s="15">
        <f t="shared" si="35"/>
        <v>1137</v>
      </c>
      <c r="B1142" s="17">
        <v>96545</v>
      </c>
      <c r="C1142" s="18" t="s">
        <v>1357</v>
      </c>
      <c r="D1142" s="20" t="s">
        <v>1556</v>
      </c>
      <c r="E1142" s="19">
        <v>0</v>
      </c>
      <c r="F1142" s="20" t="s">
        <v>1556</v>
      </c>
      <c r="G1142" s="21">
        <v>0.99995000000000001</v>
      </c>
      <c r="H1142" s="21">
        <v>0.99995000000000001</v>
      </c>
      <c r="I1142" s="14" t="s">
        <v>1561</v>
      </c>
      <c r="J1142" s="21">
        <v>0.41487831326550184</v>
      </c>
      <c r="K1142" s="21">
        <v>1.0461313999999999</v>
      </c>
      <c r="L1142" s="24">
        <f t="shared" si="34"/>
        <v>1.0461837091854591</v>
      </c>
    </row>
    <row r="1143" spans="1:12" x14ac:dyDescent="0.25">
      <c r="A1143" s="15">
        <f t="shared" si="35"/>
        <v>1138</v>
      </c>
      <c r="B1143" s="17">
        <v>96578</v>
      </c>
      <c r="C1143" s="18" t="s">
        <v>851</v>
      </c>
      <c r="D1143" s="20" t="s">
        <v>1556</v>
      </c>
      <c r="E1143" s="19">
        <v>0</v>
      </c>
      <c r="F1143" s="20" t="s">
        <v>1556</v>
      </c>
      <c r="G1143" s="21">
        <v>0</v>
      </c>
      <c r="H1143" s="21">
        <v>0</v>
      </c>
      <c r="I1143" s="14" t="s">
        <v>1561</v>
      </c>
      <c r="J1143" s="21">
        <v>0</v>
      </c>
      <c r="K1143" s="21">
        <v>0</v>
      </c>
      <c r="L1143" s="24">
        <f t="shared" si="34"/>
        <v>0</v>
      </c>
    </row>
    <row r="1144" spans="1:12" x14ac:dyDescent="0.25">
      <c r="A1144" s="15">
        <f t="shared" si="35"/>
        <v>1139</v>
      </c>
      <c r="B1144" s="17">
        <v>96623</v>
      </c>
      <c r="C1144" s="18" t="s">
        <v>852</v>
      </c>
      <c r="D1144" s="20">
        <v>1.7900343999999999</v>
      </c>
      <c r="E1144" s="19">
        <v>0</v>
      </c>
      <c r="F1144" s="20">
        <v>1.7900343999999999</v>
      </c>
      <c r="G1144" s="21">
        <v>445.67321560000005</v>
      </c>
      <c r="H1144" s="21">
        <v>445.67321560000005</v>
      </c>
      <c r="I1144" s="14" t="s">
        <v>1561</v>
      </c>
      <c r="J1144" s="21">
        <v>154.05652678118082</v>
      </c>
      <c r="K1144" s="21">
        <v>465.14311709999998</v>
      </c>
      <c r="L1144" s="24">
        <f t="shared" si="34"/>
        <v>1.0436864967839452</v>
      </c>
    </row>
    <row r="1145" spans="1:12" x14ac:dyDescent="0.25">
      <c r="A1145" s="15">
        <f t="shared" si="35"/>
        <v>1140</v>
      </c>
      <c r="B1145" s="17">
        <v>96672</v>
      </c>
      <c r="C1145" s="18" t="s">
        <v>1358</v>
      </c>
      <c r="D1145" s="20" t="s">
        <v>1556</v>
      </c>
      <c r="E1145" s="19">
        <v>0</v>
      </c>
      <c r="F1145" s="20" t="s">
        <v>1556</v>
      </c>
      <c r="G1145" s="21">
        <v>6.4181419999999996</v>
      </c>
      <c r="H1145" s="21">
        <v>5.6872137</v>
      </c>
      <c r="I1145" s="14" t="s">
        <v>1561</v>
      </c>
      <c r="J1145" s="21">
        <v>3.7861661589397855</v>
      </c>
      <c r="K1145" s="21">
        <v>7.1701368999999993</v>
      </c>
      <c r="L1145" s="24">
        <f t="shared" si="34"/>
        <v>1.1171670710931605</v>
      </c>
    </row>
    <row r="1146" spans="1:12" x14ac:dyDescent="0.25">
      <c r="A1146" s="15">
        <f t="shared" si="35"/>
        <v>1141</v>
      </c>
      <c r="B1146" s="17">
        <v>96933</v>
      </c>
      <c r="C1146" s="18" t="s">
        <v>853</v>
      </c>
      <c r="D1146" s="20" t="s">
        <v>1556</v>
      </c>
      <c r="E1146" s="19">
        <v>0</v>
      </c>
      <c r="F1146" s="20" t="s">
        <v>1556</v>
      </c>
      <c r="G1146" s="21">
        <v>0</v>
      </c>
      <c r="H1146" s="21">
        <v>0</v>
      </c>
      <c r="I1146" s="14" t="s">
        <v>1561</v>
      </c>
      <c r="J1146" s="21">
        <v>0</v>
      </c>
      <c r="K1146" s="21">
        <v>0</v>
      </c>
      <c r="L1146" s="24">
        <f t="shared" si="34"/>
        <v>0</v>
      </c>
    </row>
    <row r="1147" spans="1:12" x14ac:dyDescent="0.25">
      <c r="A1147" s="15">
        <f t="shared" si="35"/>
        <v>1142</v>
      </c>
      <c r="B1147" s="17">
        <v>96974</v>
      </c>
      <c r="C1147" s="18" t="s">
        <v>1359</v>
      </c>
      <c r="D1147" s="20" t="s">
        <v>1556</v>
      </c>
      <c r="E1147" s="19">
        <v>0</v>
      </c>
      <c r="F1147" s="20" t="s">
        <v>1556</v>
      </c>
      <c r="G1147" s="21">
        <v>0</v>
      </c>
      <c r="H1147" s="21">
        <v>0</v>
      </c>
      <c r="I1147" s="14" t="s">
        <v>1561</v>
      </c>
      <c r="J1147" s="21">
        <v>0</v>
      </c>
      <c r="K1147" s="21">
        <v>0</v>
      </c>
      <c r="L1147" s="24">
        <f t="shared" si="34"/>
        <v>0</v>
      </c>
    </row>
    <row r="1148" spans="1:12" x14ac:dyDescent="0.25">
      <c r="A1148" s="15">
        <f t="shared" si="35"/>
        <v>1143</v>
      </c>
      <c r="B1148" s="17">
        <v>96994</v>
      </c>
      <c r="C1148" s="18" t="s">
        <v>236</v>
      </c>
      <c r="D1148" s="20" t="s">
        <v>1556</v>
      </c>
      <c r="E1148" s="19">
        <v>0</v>
      </c>
      <c r="F1148" s="20" t="s">
        <v>1556</v>
      </c>
      <c r="G1148" s="21">
        <v>0</v>
      </c>
      <c r="H1148" s="21">
        <v>0</v>
      </c>
      <c r="I1148" s="14" t="s">
        <v>1561</v>
      </c>
      <c r="J1148" s="21">
        <v>0</v>
      </c>
      <c r="K1148" s="21">
        <v>0</v>
      </c>
      <c r="L1148" s="24">
        <f t="shared" si="34"/>
        <v>0</v>
      </c>
    </row>
    <row r="1149" spans="1:12" x14ac:dyDescent="0.25">
      <c r="A1149" s="15">
        <f t="shared" si="35"/>
        <v>1144</v>
      </c>
      <c r="B1149" s="17">
        <v>97198</v>
      </c>
      <c r="C1149" s="18" t="s">
        <v>854</v>
      </c>
      <c r="D1149" s="20" t="s">
        <v>1556</v>
      </c>
      <c r="E1149" s="19">
        <v>0</v>
      </c>
      <c r="F1149" s="20" t="s">
        <v>1556</v>
      </c>
      <c r="G1149" s="21">
        <v>0</v>
      </c>
      <c r="H1149" s="21">
        <v>0</v>
      </c>
      <c r="I1149" s="14" t="s">
        <v>1561</v>
      </c>
      <c r="J1149" s="21">
        <v>0</v>
      </c>
      <c r="K1149" s="21">
        <v>0</v>
      </c>
      <c r="L1149" s="24">
        <f t="shared" si="34"/>
        <v>0</v>
      </c>
    </row>
    <row r="1150" spans="1:12" x14ac:dyDescent="0.25">
      <c r="A1150" s="15">
        <f t="shared" si="35"/>
        <v>1145</v>
      </c>
      <c r="B1150" s="17">
        <v>97237</v>
      </c>
      <c r="C1150" s="18" t="s">
        <v>152</v>
      </c>
      <c r="D1150" s="20">
        <v>0.68535389999999996</v>
      </c>
      <c r="E1150" s="19">
        <v>0</v>
      </c>
      <c r="F1150" s="20">
        <v>0.68535389999999996</v>
      </c>
      <c r="G1150" s="21">
        <v>120.9045866</v>
      </c>
      <c r="H1150" s="21">
        <v>115.56045859999999</v>
      </c>
      <c r="I1150" s="14" t="s">
        <v>1561</v>
      </c>
      <c r="J1150" s="21">
        <v>56.5517121931776</v>
      </c>
      <c r="K1150" s="21">
        <v>130.90930109999999</v>
      </c>
      <c r="L1150" s="24">
        <f t="shared" si="34"/>
        <v>1.0827488417217745</v>
      </c>
    </row>
    <row r="1151" spans="1:12" x14ac:dyDescent="0.25">
      <c r="A1151" s="15">
        <f t="shared" si="35"/>
        <v>1146</v>
      </c>
      <c r="B1151" s="17">
        <v>97251</v>
      </c>
      <c r="C1151" s="18" t="s">
        <v>1360</v>
      </c>
      <c r="D1151" s="20" t="s">
        <v>1556</v>
      </c>
      <c r="E1151" s="19">
        <v>0</v>
      </c>
      <c r="F1151" s="20" t="s">
        <v>1556</v>
      </c>
      <c r="G1151" s="21">
        <v>0</v>
      </c>
      <c r="H1151" s="21">
        <v>0</v>
      </c>
      <c r="I1151" s="14" t="s">
        <v>1561</v>
      </c>
      <c r="J1151" s="21">
        <v>0</v>
      </c>
      <c r="K1151" s="21">
        <v>0</v>
      </c>
      <c r="L1151" s="24">
        <f t="shared" si="34"/>
        <v>0</v>
      </c>
    </row>
    <row r="1152" spans="1:12" x14ac:dyDescent="0.25">
      <c r="A1152" s="15">
        <f t="shared" si="35"/>
        <v>1147</v>
      </c>
      <c r="B1152" s="17">
        <v>97272</v>
      </c>
      <c r="C1152" s="18" t="s">
        <v>855</v>
      </c>
      <c r="D1152" s="20" t="s">
        <v>1556</v>
      </c>
      <c r="E1152" s="19">
        <v>0</v>
      </c>
      <c r="F1152" s="20" t="s">
        <v>1556</v>
      </c>
      <c r="G1152" s="21">
        <v>8.6045698000000002</v>
      </c>
      <c r="H1152" s="21">
        <v>8.3045697999999994</v>
      </c>
      <c r="I1152" s="14" t="s">
        <v>1561</v>
      </c>
      <c r="J1152" s="21">
        <v>0.56495435944166672</v>
      </c>
      <c r="K1152" s="21">
        <v>8.4518467000000008</v>
      </c>
      <c r="L1152" s="24">
        <f t="shared" si="34"/>
        <v>0.98225093135975261</v>
      </c>
    </row>
    <row r="1153" spans="1:12" x14ac:dyDescent="0.25">
      <c r="A1153" s="15">
        <f t="shared" si="35"/>
        <v>1148</v>
      </c>
      <c r="B1153" s="17">
        <v>97274</v>
      </c>
      <c r="C1153" s="18" t="s">
        <v>1361</v>
      </c>
      <c r="D1153" s="20" t="s">
        <v>1556</v>
      </c>
      <c r="E1153" s="19">
        <v>0</v>
      </c>
      <c r="F1153" s="20" t="s">
        <v>1556</v>
      </c>
      <c r="G1153" s="21">
        <v>0</v>
      </c>
      <c r="H1153" s="21">
        <v>0</v>
      </c>
      <c r="I1153" s="14" t="s">
        <v>1561</v>
      </c>
      <c r="J1153" s="21">
        <v>0</v>
      </c>
      <c r="K1153" s="21">
        <v>0</v>
      </c>
      <c r="L1153" s="24">
        <f t="shared" si="34"/>
        <v>0</v>
      </c>
    </row>
    <row r="1154" spans="1:12" x14ac:dyDescent="0.25">
      <c r="A1154" s="15">
        <f t="shared" si="35"/>
        <v>1149</v>
      </c>
      <c r="B1154" s="17">
        <v>97534</v>
      </c>
      <c r="C1154" s="18" t="s">
        <v>1362</v>
      </c>
      <c r="D1154" s="20">
        <v>5.1619000000000005E-3</v>
      </c>
      <c r="E1154" s="19">
        <v>0</v>
      </c>
      <c r="F1154" s="20">
        <v>5.1619000000000005E-3</v>
      </c>
      <c r="G1154" s="21">
        <v>0.74996249999999998</v>
      </c>
      <c r="H1154" s="21">
        <v>0.74996249999999998</v>
      </c>
      <c r="I1154" s="14" t="s">
        <v>1561</v>
      </c>
      <c r="J1154" s="21">
        <v>0.58381968586406807</v>
      </c>
      <c r="K1154" s="21">
        <v>0.82746710000000001</v>
      </c>
      <c r="L1154" s="24">
        <f t="shared" si="34"/>
        <v>1.1033446338983617</v>
      </c>
    </row>
    <row r="1155" spans="1:12" x14ac:dyDescent="0.25">
      <c r="A1155" s="15">
        <f t="shared" si="35"/>
        <v>1150</v>
      </c>
      <c r="B1155" s="17">
        <v>97776</v>
      </c>
      <c r="C1155" s="18" t="s">
        <v>518</v>
      </c>
      <c r="D1155" s="20" t="s">
        <v>1556</v>
      </c>
      <c r="E1155" s="19">
        <v>0</v>
      </c>
      <c r="F1155" s="20" t="s">
        <v>1556</v>
      </c>
      <c r="G1155" s="21">
        <v>0</v>
      </c>
      <c r="H1155" s="21">
        <v>0</v>
      </c>
      <c r="I1155" s="14" t="s">
        <v>1561</v>
      </c>
      <c r="J1155" s="21">
        <v>0</v>
      </c>
      <c r="K1155" s="21">
        <v>0</v>
      </c>
      <c r="L1155" s="24">
        <f t="shared" si="34"/>
        <v>0</v>
      </c>
    </row>
    <row r="1156" spans="1:12" x14ac:dyDescent="0.25">
      <c r="A1156" s="15">
        <f t="shared" si="35"/>
        <v>1151</v>
      </c>
      <c r="B1156" s="17">
        <v>97797</v>
      </c>
      <c r="C1156" s="18" t="s">
        <v>1363</v>
      </c>
      <c r="D1156" s="20" t="s">
        <v>1556</v>
      </c>
      <c r="E1156" s="19">
        <v>0</v>
      </c>
      <c r="F1156" s="20" t="s">
        <v>1556</v>
      </c>
      <c r="G1156" s="21">
        <v>0</v>
      </c>
      <c r="H1156" s="21">
        <v>0</v>
      </c>
      <c r="I1156" s="14" t="s">
        <v>1561</v>
      </c>
      <c r="J1156" s="21">
        <v>0</v>
      </c>
      <c r="K1156" s="21">
        <v>0</v>
      </c>
      <c r="L1156" s="24">
        <f t="shared" si="34"/>
        <v>0</v>
      </c>
    </row>
    <row r="1157" spans="1:12" x14ac:dyDescent="0.25">
      <c r="A1157" s="15">
        <f t="shared" si="35"/>
        <v>1152</v>
      </c>
      <c r="B1157" s="17">
        <v>97835</v>
      </c>
      <c r="C1157" s="18" t="s">
        <v>237</v>
      </c>
      <c r="D1157" s="20" t="s">
        <v>1556</v>
      </c>
      <c r="E1157" s="19">
        <v>0</v>
      </c>
      <c r="F1157" s="20" t="s">
        <v>1556</v>
      </c>
      <c r="G1157" s="21">
        <v>0</v>
      </c>
      <c r="H1157" s="21">
        <v>0</v>
      </c>
      <c r="I1157" s="14" t="s">
        <v>1561</v>
      </c>
      <c r="J1157" s="21">
        <v>0</v>
      </c>
      <c r="K1157" s="21">
        <v>0</v>
      </c>
      <c r="L1157" s="24">
        <f t="shared" si="34"/>
        <v>0</v>
      </c>
    </row>
    <row r="1158" spans="1:12" x14ac:dyDescent="0.25">
      <c r="A1158" s="15">
        <f t="shared" si="35"/>
        <v>1153</v>
      </c>
      <c r="B1158" s="17">
        <v>97927</v>
      </c>
      <c r="C1158" s="18" t="s">
        <v>856</v>
      </c>
      <c r="D1158" s="20">
        <v>1.23334E-2</v>
      </c>
      <c r="E1158" s="19">
        <v>0</v>
      </c>
      <c r="F1158" s="20">
        <v>1.23334E-2</v>
      </c>
      <c r="G1158" s="21">
        <v>9.5145248999999996</v>
      </c>
      <c r="H1158" s="21">
        <v>9.5145248999999996</v>
      </c>
      <c r="I1158" s="14" t="s">
        <v>1561</v>
      </c>
      <c r="J1158" s="21">
        <v>1.8853916249367386</v>
      </c>
      <c r="K1158" s="21">
        <v>10.182046</v>
      </c>
      <c r="L1158" s="24">
        <f t="shared" si="34"/>
        <v>1.0701581116257313</v>
      </c>
    </row>
    <row r="1159" spans="1:12" x14ac:dyDescent="0.25">
      <c r="A1159" s="15">
        <f t="shared" si="35"/>
        <v>1154</v>
      </c>
      <c r="B1159" s="17">
        <v>98012</v>
      </c>
      <c r="C1159" s="18" t="s">
        <v>857</v>
      </c>
      <c r="D1159" s="20">
        <v>2.0752192000000003</v>
      </c>
      <c r="E1159" s="19">
        <v>0</v>
      </c>
      <c r="F1159" s="20">
        <v>2.0752192000000003</v>
      </c>
      <c r="G1159" s="21">
        <v>609.2235786</v>
      </c>
      <c r="H1159" s="21">
        <v>412.19790820000003</v>
      </c>
      <c r="I1159" s="14" t="s">
        <v>1561</v>
      </c>
      <c r="J1159" s="21">
        <v>226.74519629181233</v>
      </c>
      <c r="K1159" s="21">
        <v>470.13077450000003</v>
      </c>
      <c r="L1159" s="24">
        <f t="shared" ref="L1159:L1222" si="36">+IFERROR(K1159/G1159,0)</f>
        <v>0.77168840966458296</v>
      </c>
    </row>
    <row r="1160" spans="1:12" x14ac:dyDescent="0.25">
      <c r="A1160" s="15">
        <f t="shared" ref="A1160:A1223" si="37">A1159+1</f>
        <v>1155</v>
      </c>
      <c r="B1160" s="17">
        <v>98133</v>
      </c>
      <c r="C1160" s="18" t="s">
        <v>470</v>
      </c>
      <c r="D1160" s="20" t="s">
        <v>1556</v>
      </c>
      <c r="E1160" s="19">
        <v>0</v>
      </c>
      <c r="F1160" s="20" t="s">
        <v>1556</v>
      </c>
      <c r="G1160" s="21">
        <v>0</v>
      </c>
      <c r="H1160" s="21">
        <v>0</v>
      </c>
      <c r="I1160" s="14" t="s">
        <v>1561</v>
      </c>
      <c r="J1160" s="21">
        <v>0</v>
      </c>
      <c r="K1160" s="21">
        <v>0</v>
      </c>
      <c r="L1160" s="24">
        <f t="shared" si="36"/>
        <v>0</v>
      </c>
    </row>
    <row r="1161" spans="1:12" x14ac:dyDescent="0.25">
      <c r="A1161" s="15">
        <f t="shared" si="37"/>
        <v>1156</v>
      </c>
      <c r="B1161" s="17">
        <v>98335</v>
      </c>
      <c r="C1161" s="18" t="s">
        <v>858</v>
      </c>
      <c r="D1161" s="20" t="s">
        <v>1556</v>
      </c>
      <c r="E1161" s="19">
        <v>0</v>
      </c>
      <c r="F1161" s="20" t="s">
        <v>1556</v>
      </c>
      <c r="G1161" s="21">
        <v>0</v>
      </c>
      <c r="H1161" s="21">
        <v>0</v>
      </c>
      <c r="I1161" s="14" t="s">
        <v>1561</v>
      </c>
      <c r="J1161" s="21">
        <v>0</v>
      </c>
      <c r="K1161" s="21">
        <v>0</v>
      </c>
      <c r="L1161" s="24">
        <f t="shared" si="36"/>
        <v>0</v>
      </c>
    </row>
    <row r="1162" spans="1:12" x14ac:dyDescent="0.25">
      <c r="A1162" s="15">
        <f t="shared" si="37"/>
        <v>1157</v>
      </c>
      <c r="B1162" s="17">
        <v>98654</v>
      </c>
      <c r="C1162" s="18" t="s">
        <v>859</v>
      </c>
      <c r="D1162" s="20">
        <v>6.8133000000000004E-3</v>
      </c>
      <c r="E1162" s="19">
        <v>0</v>
      </c>
      <c r="F1162" s="20">
        <v>6.8133000000000004E-3</v>
      </c>
      <c r="G1162" s="21">
        <v>4.4706915999999994</v>
      </c>
      <c r="H1162" s="21">
        <v>2.2597622999999998</v>
      </c>
      <c r="I1162" s="14" t="s">
        <v>1561</v>
      </c>
      <c r="J1162" s="21">
        <v>1.6302963094007168</v>
      </c>
      <c r="K1162" s="21">
        <v>4.5804248999999997</v>
      </c>
      <c r="L1162" s="24">
        <f t="shared" si="36"/>
        <v>1.0245450390718072</v>
      </c>
    </row>
    <row r="1163" spans="1:12" x14ac:dyDescent="0.25">
      <c r="A1163" s="15">
        <f t="shared" si="37"/>
        <v>1158</v>
      </c>
      <c r="B1163" s="17">
        <v>98661</v>
      </c>
      <c r="C1163" s="18" t="s">
        <v>1364</v>
      </c>
      <c r="D1163" s="20" t="s">
        <v>1556</v>
      </c>
      <c r="E1163" s="19">
        <v>0</v>
      </c>
      <c r="F1163" s="20" t="s">
        <v>1556</v>
      </c>
      <c r="G1163" s="21">
        <v>0.52997349999999999</v>
      </c>
      <c r="H1163" s="21">
        <v>0.52997349999999999</v>
      </c>
      <c r="I1163" s="14" t="s">
        <v>1561</v>
      </c>
      <c r="J1163" s="21">
        <v>0.27538400000878133</v>
      </c>
      <c r="K1163" s="21">
        <v>0.56657629999999992</v>
      </c>
      <c r="L1163" s="24">
        <f t="shared" si="36"/>
        <v>1.0690653400594556</v>
      </c>
    </row>
    <row r="1164" spans="1:12" x14ac:dyDescent="0.25">
      <c r="A1164" s="15">
        <f t="shared" si="37"/>
        <v>1159</v>
      </c>
      <c r="B1164" s="17">
        <v>98691</v>
      </c>
      <c r="C1164" s="18" t="s">
        <v>1365</v>
      </c>
      <c r="D1164" s="20">
        <v>0.9194909</v>
      </c>
      <c r="E1164" s="19">
        <v>0</v>
      </c>
      <c r="F1164" s="20">
        <v>0.9194909</v>
      </c>
      <c r="G1164" s="21">
        <v>195.54560140000001</v>
      </c>
      <c r="H1164" s="21">
        <v>118.2145854</v>
      </c>
      <c r="I1164" s="14" t="s">
        <v>1561</v>
      </c>
      <c r="J1164" s="21">
        <v>92.482348232170722</v>
      </c>
      <c r="K1164" s="21">
        <v>142.43018169999999</v>
      </c>
      <c r="L1164" s="24">
        <f t="shared" si="36"/>
        <v>0.72837323202504922</v>
      </c>
    </row>
    <row r="1165" spans="1:12" x14ac:dyDescent="0.25">
      <c r="A1165" s="15">
        <f t="shared" si="37"/>
        <v>1160</v>
      </c>
      <c r="B1165" s="17">
        <v>98730</v>
      </c>
      <c r="C1165" s="18" t="s">
        <v>860</v>
      </c>
      <c r="D1165" s="20" t="s">
        <v>1556</v>
      </c>
      <c r="E1165" s="19">
        <v>0</v>
      </c>
      <c r="F1165" s="20" t="s">
        <v>1556</v>
      </c>
      <c r="G1165" s="21">
        <v>0</v>
      </c>
      <c r="H1165" s="21">
        <v>0</v>
      </c>
      <c r="I1165" s="14" t="s">
        <v>1561</v>
      </c>
      <c r="J1165" s="21">
        <v>0</v>
      </c>
      <c r="K1165" s="21">
        <v>0</v>
      </c>
      <c r="L1165" s="24">
        <f t="shared" si="36"/>
        <v>0</v>
      </c>
    </row>
    <row r="1166" spans="1:12" x14ac:dyDescent="0.25">
      <c r="A1166" s="15">
        <f t="shared" si="37"/>
        <v>1161</v>
      </c>
      <c r="B1166" s="17">
        <v>98788</v>
      </c>
      <c r="C1166" s="18" t="s">
        <v>1366</v>
      </c>
      <c r="D1166" s="20">
        <v>1.7750000000000001E-3</v>
      </c>
      <c r="E1166" s="19">
        <v>0</v>
      </c>
      <c r="F1166" s="20">
        <v>1.7750000000000001E-3</v>
      </c>
      <c r="G1166" s="21">
        <v>0.499975</v>
      </c>
      <c r="H1166" s="21">
        <v>0.499975</v>
      </c>
      <c r="I1166" s="14" t="s">
        <v>1561</v>
      </c>
      <c r="J1166" s="21">
        <v>0.18340427941702511</v>
      </c>
      <c r="K1166" s="21">
        <v>0.49912960000000001</v>
      </c>
      <c r="L1166" s="24">
        <f t="shared" si="36"/>
        <v>0.99830911545577283</v>
      </c>
    </row>
    <row r="1167" spans="1:12" x14ac:dyDescent="0.25">
      <c r="A1167" s="15">
        <f t="shared" si="37"/>
        <v>1162</v>
      </c>
      <c r="B1167" s="17">
        <v>99071</v>
      </c>
      <c r="C1167" s="18" t="s">
        <v>1367</v>
      </c>
      <c r="D1167" s="20">
        <v>7.3445499999999997E-2</v>
      </c>
      <c r="E1167" s="19">
        <v>0</v>
      </c>
      <c r="F1167" s="20">
        <v>7.3445499999999997E-2</v>
      </c>
      <c r="G1167" s="21">
        <v>67.396252400000009</v>
      </c>
      <c r="H1167" s="21">
        <v>47.141114800000004</v>
      </c>
      <c r="I1167" s="14" t="s">
        <v>1561</v>
      </c>
      <c r="J1167" s="21">
        <v>16.759764866582799</v>
      </c>
      <c r="K1167" s="21">
        <v>48.017049000000007</v>
      </c>
      <c r="L1167" s="24">
        <f t="shared" si="36"/>
        <v>0.71245873902626666</v>
      </c>
    </row>
    <row r="1168" spans="1:12" x14ac:dyDescent="0.25">
      <c r="A1168" s="15">
        <f t="shared" si="37"/>
        <v>1163</v>
      </c>
      <c r="B1168" s="17">
        <v>99075</v>
      </c>
      <c r="C1168" s="18" t="s">
        <v>861</v>
      </c>
      <c r="D1168" s="20" t="s">
        <v>1556</v>
      </c>
      <c r="E1168" s="19">
        <v>0</v>
      </c>
      <c r="F1168" s="20" t="s">
        <v>1556</v>
      </c>
      <c r="G1168" s="21">
        <v>0</v>
      </c>
      <c r="H1168" s="21">
        <v>0</v>
      </c>
      <c r="I1168" s="14" t="s">
        <v>1561</v>
      </c>
      <c r="J1168" s="21">
        <v>0</v>
      </c>
      <c r="K1168" s="21">
        <v>0</v>
      </c>
      <c r="L1168" s="24">
        <f t="shared" si="36"/>
        <v>0</v>
      </c>
    </row>
    <row r="1169" spans="1:12" x14ac:dyDescent="0.25">
      <c r="A1169" s="15">
        <f t="shared" si="37"/>
        <v>1164</v>
      </c>
      <c r="B1169" s="17">
        <v>99625</v>
      </c>
      <c r="C1169" s="18" t="s">
        <v>1368</v>
      </c>
      <c r="D1169" s="20">
        <v>0.67588090000000001</v>
      </c>
      <c r="E1169" s="19">
        <v>0</v>
      </c>
      <c r="F1169" s="20">
        <v>0.67588090000000001</v>
      </c>
      <c r="G1169" s="21">
        <v>0.77996100000000002</v>
      </c>
      <c r="H1169" s="21">
        <v>-0.44497369999999997</v>
      </c>
      <c r="I1169" s="14" t="s">
        <v>1561</v>
      </c>
      <c r="J1169" s="21">
        <v>313.00780977330612</v>
      </c>
      <c r="K1169" s="21">
        <v>319.0632493</v>
      </c>
      <c r="L1169" s="24">
        <f t="shared" si="36"/>
        <v>409.07590161559358</v>
      </c>
    </row>
    <row r="1170" spans="1:12" x14ac:dyDescent="0.25">
      <c r="A1170" s="15">
        <f t="shared" si="37"/>
        <v>1165</v>
      </c>
      <c r="B1170" s="17">
        <v>99653</v>
      </c>
      <c r="C1170" s="18" t="s">
        <v>1369</v>
      </c>
      <c r="D1170" s="20" t="s">
        <v>1556</v>
      </c>
      <c r="E1170" s="19">
        <v>0</v>
      </c>
      <c r="F1170" s="20" t="s">
        <v>1556</v>
      </c>
      <c r="G1170" s="21">
        <v>0</v>
      </c>
      <c r="H1170" s="21">
        <v>0</v>
      </c>
      <c r="I1170" s="14" t="s">
        <v>1561</v>
      </c>
      <c r="J1170" s="21">
        <v>0</v>
      </c>
      <c r="K1170" s="21">
        <v>0</v>
      </c>
      <c r="L1170" s="24">
        <f t="shared" si="36"/>
        <v>0</v>
      </c>
    </row>
    <row r="1171" spans="1:12" x14ac:dyDescent="0.25">
      <c r="A1171" s="15">
        <f t="shared" si="37"/>
        <v>1166</v>
      </c>
      <c r="B1171" s="17">
        <v>99699</v>
      </c>
      <c r="C1171" s="18" t="s">
        <v>238</v>
      </c>
      <c r="D1171" s="20" t="s">
        <v>1556</v>
      </c>
      <c r="E1171" s="19">
        <v>0</v>
      </c>
      <c r="F1171" s="20" t="s">
        <v>1556</v>
      </c>
      <c r="G1171" s="21">
        <v>0</v>
      </c>
      <c r="H1171" s="21">
        <v>0</v>
      </c>
      <c r="I1171" s="14" t="s">
        <v>1561</v>
      </c>
      <c r="J1171" s="21">
        <v>0</v>
      </c>
      <c r="K1171" s="21">
        <v>0</v>
      </c>
      <c r="L1171" s="24">
        <f t="shared" si="36"/>
        <v>0</v>
      </c>
    </row>
    <row r="1172" spans="1:12" x14ac:dyDescent="0.25">
      <c r="A1172" s="15">
        <f t="shared" si="37"/>
        <v>1167</v>
      </c>
      <c r="B1172" s="17">
        <v>99930</v>
      </c>
      <c r="C1172" s="18" t="s">
        <v>1370</v>
      </c>
      <c r="D1172" s="20" t="s">
        <v>1556</v>
      </c>
      <c r="E1172" s="19">
        <v>0</v>
      </c>
      <c r="F1172" s="20" t="s">
        <v>1556</v>
      </c>
      <c r="G1172" s="21">
        <v>0</v>
      </c>
      <c r="H1172" s="21">
        <v>0</v>
      </c>
      <c r="I1172" s="14" t="s">
        <v>1561</v>
      </c>
      <c r="J1172" s="21">
        <v>0</v>
      </c>
      <c r="K1172" s="21">
        <v>0</v>
      </c>
      <c r="L1172" s="24">
        <f t="shared" si="36"/>
        <v>0</v>
      </c>
    </row>
    <row r="1173" spans="1:12" x14ac:dyDescent="0.25">
      <c r="A1173" s="15">
        <f t="shared" si="37"/>
        <v>1168</v>
      </c>
      <c r="B1173" s="17">
        <v>99968</v>
      </c>
      <c r="C1173" s="18" t="s">
        <v>1371</v>
      </c>
      <c r="D1173" s="20" t="s">
        <v>1556</v>
      </c>
      <c r="E1173" s="19">
        <v>0</v>
      </c>
      <c r="F1173" s="20" t="s">
        <v>1556</v>
      </c>
      <c r="G1173" s="21">
        <v>0</v>
      </c>
      <c r="H1173" s="21">
        <v>0</v>
      </c>
      <c r="I1173" s="14" t="s">
        <v>1561</v>
      </c>
      <c r="J1173" s="21">
        <v>0</v>
      </c>
      <c r="K1173" s="21">
        <v>0</v>
      </c>
      <c r="L1173" s="24">
        <f t="shared" si="36"/>
        <v>0</v>
      </c>
    </row>
    <row r="1174" spans="1:12" x14ac:dyDescent="0.25">
      <c r="A1174" s="15">
        <f t="shared" si="37"/>
        <v>1169</v>
      </c>
      <c r="B1174" s="17">
        <v>100283</v>
      </c>
      <c r="C1174" s="18" t="s">
        <v>862</v>
      </c>
      <c r="D1174" s="20" t="s">
        <v>1556</v>
      </c>
      <c r="E1174" s="19">
        <v>0</v>
      </c>
      <c r="F1174" s="20" t="s">
        <v>1556</v>
      </c>
      <c r="G1174" s="21">
        <v>0</v>
      </c>
      <c r="H1174" s="21">
        <v>0</v>
      </c>
      <c r="I1174" s="14" t="s">
        <v>1561</v>
      </c>
      <c r="J1174" s="21">
        <v>0</v>
      </c>
      <c r="K1174" s="21">
        <v>0</v>
      </c>
      <c r="L1174" s="24">
        <f t="shared" si="36"/>
        <v>0</v>
      </c>
    </row>
    <row r="1175" spans="1:12" x14ac:dyDescent="0.25">
      <c r="A1175" s="15">
        <f t="shared" si="37"/>
        <v>1170</v>
      </c>
      <c r="B1175" s="17">
        <v>100284</v>
      </c>
      <c r="C1175" s="18" t="s">
        <v>863</v>
      </c>
      <c r="D1175" s="20" t="s">
        <v>1556</v>
      </c>
      <c r="E1175" s="19">
        <v>0</v>
      </c>
      <c r="F1175" s="20" t="s">
        <v>1556</v>
      </c>
      <c r="G1175" s="21">
        <v>0.62496879999999999</v>
      </c>
      <c r="H1175" s="21">
        <v>0.62496879999999999</v>
      </c>
      <c r="I1175" s="14" t="s">
        <v>1561</v>
      </c>
      <c r="J1175" s="21">
        <v>1.660574355E-2</v>
      </c>
      <c r="K1175" s="21">
        <v>0.65410580000000007</v>
      </c>
      <c r="L1175" s="24">
        <f t="shared" si="36"/>
        <v>1.0466215273466453</v>
      </c>
    </row>
    <row r="1176" spans="1:12" x14ac:dyDescent="0.25">
      <c r="A1176" s="15">
        <f t="shared" si="37"/>
        <v>1171</v>
      </c>
      <c r="B1176" s="17">
        <v>100417</v>
      </c>
      <c r="C1176" s="18" t="s">
        <v>1372</v>
      </c>
      <c r="D1176" s="20" t="s">
        <v>1556</v>
      </c>
      <c r="E1176" s="19">
        <v>0</v>
      </c>
      <c r="F1176" s="20" t="s">
        <v>1556</v>
      </c>
      <c r="G1176" s="21">
        <v>0</v>
      </c>
      <c r="H1176" s="21">
        <v>0</v>
      </c>
      <c r="I1176" s="14" t="s">
        <v>1561</v>
      </c>
      <c r="J1176" s="21">
        <v>0</v>
      </c>
      <c r="K1176" s="21">
        <v>0</v>
      </c>
      <c r="L1176" s="24">
        <f t="shared" si="36"/>
        <v>0</v>
      </c>
    </row>
    <row r="1177" spans="1:12" x14ac:dyDescent="0.25">
      <c r="A1177" s="15">
        <f t="shared" si="37"/>
        <v>1172</v>
      </c>
      <c r="B1177" s="17">
        <v>100424</v>
      </c>
      <c r="C1177" s="18" t="s">
        <v>864</v>
      </c>
      <c r="D1177" s="20" t="s">
        <v>1556</v>
      </c>
      <c r="E1177" s="19">
        <v>0</v>
      </c>
      <c r="F1177" s="20" t="s">
        <v>1556</v>
      </c>
      <c r="G1177" s="21">
        <v>0</v>
      </c>
      <c r="H1177" s="21">
        <v>0</v>
      </c>
      <c r="I1177" s="14" t="s">
        <v>1561</v>
      </c>
      <c r="J1177" s="21">
        <v>0</v>
      </c>
      <c r="K1177" s="21">
        <v>0</v>
      </c>
      <c r="L1177" s="24">
        <f t="shared" si="36"/>
        <v>0</v>
      </c>
    </row>
    <row r="1178" spans="1:12" x14ac:dyDescent="0.25">
      <c r="A1178" s="15">
        <f t="shared" si="37"/>
        <v>1173</v>
      </c>
      <c r="B1178" s="17">
        <v>100481</v>
      </c>
      <c r="C1178" s="18" t="s">
        <v>865</v>
      </c>
      <c r="D1178" s="20">
        <v>2.2777199999999997E-2</v>
      </c>
      <c r="E1178" s="19">
        <v>0</v>
      </c>
      <c r="F1178" s="20">
        <v>2.2777199999999997E-2</v>
      </c>
      <c r="G1178" s="21">
        <v>7.7946103000000004</v>
      </c>
      <c r="H1178" s="21">
        <v>7.7946103000000004</v>
      </c>
      <c r="I1178" s="14" t="s">
        <v>1561</v>
      </c>
      <c r="J1178" s="21">
        <v>3.265719084643369</v>
      </c>
      <c r="K1178" s="21">
        <v>8.3862659999999991</v>
      </c>
      <c r="L1178" s="24">
        <f t="shared" si="36"/>
        <v>1.0759057447682789</v>
      </c>
    </row>
    <row r="1179" spans="1:12" x14ac:dyDescent="0.25">
      <c r="A1179" s="15">
        <f t="shared" si="37"/>
        <v>1174</v>
      </c>
      <c r="B1179" s="17">
        <v>100604</v>
      </c>
      <c r="C1179" s="18" t="s">
        <v>471</v>
      </c>
      <c r="D1179" s="20" t="s">
        <v>1556</v>
      </c>
      <c r="E1179" s="19">
        <v>0</v>
      </c>
      <c r="F1179" s="20" t="s">
        <v>1556</v>
      </c>
      <c r="G1179" s="21">
        <v>0</v>
      </c>
      <c r="H1179" s="21">
        <v>0</v>
      </c>
      <c r="I1179" s="14" t="s">
        <v>1561</v>
      </c>
      <c r="J1179" s="21">
        <v>0</v>
      </c>
      <c r="K1179" s="21">
        <v>0</v>
      </c>
      <c r="L1179" s="24">
        <f t="shared" si="36"/>
        <v>0</v>
      </c>
    </row>
    <row r="1180" spans="1:12" x14ac:dyDescent="0.25">
      <c r="A1180" s="15">
        <f t="shared" si="37"/>
        <v>1175</v>
      </c>
      <c r="B1180" s="17">
        <v>100762</v>
      </c>
      <c r="C1180" s="18" t="s">
        <v>1373</v>
      </c>
      <c r="D1180" s="20">
        <v>2.5498699999999999E-2</v>
      </c>
      <c r="E1180" s="19">
        <v>0</v>
      </c>
      <c r="F1180" s="20">
        <v>2.5498699999999999E-2</v>
      </c>
      <c r="G1180" s="21">
        <v>1.159942</v>
      </c>
      <c r="H1180" s="21">
        <v>1.159942</v>
      </c>
      <c r="I1180" s="14" t="s">
        <v>1561</v>
      </c>
      <c r="J1180" s="21">
        <v>1.6309274327324375</v>
      </c>
      <c r="K1180" s="21">
        <v>2.4705235999999999</v>
      </c>
      <c r="L1180" s="24">
        <f t="shared" si="36"/>
        <v>2.1298682175488084</v>
      </c>
    </row>
    <row r="1181" spans="1:12" x14ac:dyDescent="0.25">
      <c r="A1181" s="15">
        <f t="shared" si="37"/>
        <v>1176</v>
      </c>
      <c r="B1181" s="17">
        <v>100924</v>
      </c>
      <c r="C1181" s="18" t="s">
        <v>1374</v>
      </c>
      <c r="D1181" s="20">
        <v>0.22460470000000002</v>
      </c>
      <c r="E1181" s="19">
        <v>0</v>
      </c>
      <c r="F1181" s="20">
        <v>0.22460470000000002</v>
      </c>
      <c r="G1181" s="21">
        <v>251.5798446</v>
      </c>
      <c r="H1181" s="21">
        <v>203.56188440000003</v>
      </c>
      <c r="I1181" s="14" t="s">
        <v>1561</v>
      </c>
      <c r="J1181" s="21">
        <v>46.707557888481439</v>
      </c>
      <c r="K1181" s="21">
        <v>208.54501020000001</v>
      </c>
      <c r="L1181" s="24">
        <f t="shared" si="36"/>
        <v>0.82894164487451949</v>
      </c>
    </row>
    <row r="1182" spans="1:12" x14ac:dyDescent="0.25">
      <c r="A1182" s="15">
        <f t="shared" si="37"/>
        <v>1177</v>
      </c>
      <c r="B1182" s="17">
        <v>101186</v>
      </c>
      <c r="C1182" s="18" t="s">
        <v>866</v>
      </c>
      <c r="D1182" s="20" t="s">
        <v>1556</v>
      </c>
      <c r="E1182" s="19">
        <v>0</v>
      </c>
      <c r="F1182" s="20" t="s">
        <v>1556</v>
      </c>
      <c r="G1182" s="21">
        <v>0</v>
      </c>
      <c r="H1182" s="21">
        <v>0</v>
      </c>
      <c r="I1182" s="14" t="s">
        <v>1561</v>
      </c>
      <c r="J1182" s="21">
        <v>0</v>
      </c>
      <c r="K1182" s="21">
        <v>0</v>
      </c>
      <c r="L1182" s="24">
        <f t="shared" si="36"/>
        <v>0</v>
      </c>
    </row>
    <row r="1183" spans="1:12" x14ac:dyDescent="0.25">
      <c r="A1183" s="15">
        <f t="shared" si="37"/>
        <v>1178</v>
      </c>
      <c r="B1183" s="17">
        <v>101259</v>
      </c>
      <c r="C1183" s="18" t="s">
        <v>867</v>
      </c>
      <c r="D1183" s="20">
        <v>4.4989414999999999</v>
      </c>
      <c r="E1183" s="19">
        <v>0</v>
      </c>
      <c r="F1183" s="20">
        <v>4.4989414999999999</v>
      </c>
      <c r="G1183" s="21">
        <v>797.79364939999994</v>
      </c>
      <c r="H1183" s="21">
        <v>543.65060080000001</v>
      </c>
      <c r="I1183" s="14" t="s">
        <v>1561</v>
      </c>
      <c r="J1183" s="21">
        <v>222.60196386528992</v>
      </c>
      <c r="K1183" s="21">
        <v>577.51928840000005</v>
      </c>
      <c r="L1183" s="24">
        <f t="shared" si="36"/>
        <v>0.72389556978090441</v>
      </c>
    </row>
    <row r="1184" spans="1:12" x14ac:dyDescent="0.25">
      <c r="A1184" s="15">
        <f t="shared" si="37"/>
        <v>1179</v>
      </c>
      <c r="B1184" s="17">
        <v>101460</v>
      </c>
      <c r="C1184" s="18" t="s">
        <v>1375</v>
      </c>
      <c r="D1184" s="20" t="s">
        <v>1556</v>
      </c>
      <c r="E1184" s="19">
        <v>0</v>
      </c>
      <c r="F1184" s="20" t="s">
        <v>1556</v>
      </c>
      <c r="G1184" s="21">
        <v>0</v>
      </c>
      <c r="H1184" s="21">
        <v>0</v>
      </c>
      <c r="I1184" s="14" t="s">
        <v>1561</v>
      </c>
      <c r="J1184" s="21">
        <v>0</v>
      </c>
      <c r="K1184" s="21">
        <v>0</v>
      </c>
      <c r="L1184" s="24">
        <f t="shared" si="36"/>
        <v>0</v>
      </c>
    </row>
    <row r="1185" spans="1:12" x14ac:dyDescent="0.25">
      <c r="A1185" s="15">
        <f t="shared" si="37"/>
        <v>1180</v>
      </c>
      <c r="B1185" s="17">
        <v>101883</v>
      </c>
      <c r="C1185" s="18" t="s">
        <v>1376</v>
      </c>
      <c r="D1185" s="20" t="s">
        <v>1556</v>
      </c>
      <c r="E1185" s="19">
        <v>0</v>
      </c>
      <c r="F1185" s="20" t="s">
        <v>1556</v>
      </c>
      <c r="G1185" s="21">
        <v>14.329283500000001</v>
      </c>
      <c r="H1185" s="21">
        <v>14.329283500000001</v>
      </c>
      <c r="I1185" s="14" t="s">
        <v>1561</v>
      </c>
      <c r="J1185" s="21">
        <v>3.7494820452956095</v>
      </c>
      <c r="K1185" s="21">
        <v>14.653993100000001</v>
      </c>
      <c r="L1185" s="24">
        <f t="shared" si="36"/>
        <v>1.022660560801941</v>
      </c>
    </row>
    <row r="1186" spans="1:12" x14ac:dyDescent="0.25">
      <c r="A1186" s="15">
        <f t="shared" si="37"/>
        <v>1181</v>
      </c>
      <c r="B1186" s="17">
        <v>102054</v>
      </c>
      <c r="C1186" s="18" t="s">
        <v>868</v>
      </c>
      <c r="D1186" s="20">
        <v>2.0878999999999997E-3</v>
      </c>
      <c r="E1186" s="19">
        <v>0</v>
      </c>
      <c r="F1186" s="20">
        <v>2.0878999999999997E-3</v>
      </c>
      <c r="G1186" s="21">
        <v>1.6499177999999999</v>
      </c>
      <c r="H1186" s="21">
        <v>1.6499177999999999</v>
      </c>
      <c r="I1186" s="14" t="s">
        <v>1561</v>
      </c>
      <c r="J1186" s="21">
        <v>0.27894653526478497</v>
      </c>
      <c r="K1186" s="21">
        <v>1.7177165999999999</v>
      </c>
      <c r="L1186" s="24">
        <f t="shared" si="36"/>
        <v>1.0410922289583153</v>
      </c>
    </row>
    <row r="1187" spans="1:12" x14ac:dyDescent="0.25">
      <c r="A1187" s="15">
        <f t="shared" si="37"/>
        <v>1182</v>
      </c>
      <c r="B1187" s="17">
        <v>102292</v>
      </c>
      <c r="C1187" s="18" t="s">
        <v>1377</v>
      </c>
      <c r="D1187" s="20" t="s">
        <v>1556</v>
      </c>
      <c r="E1187" s="19">
        <v>0</v>
      </c>
      <c r="F1187" s="20" t="s">
        <v>1556</v>
      </c>
      <c r="G1187" s="21">
        <v>0</v>
      </c>
      <c r="H1187" s="21">
        <v>0</v>
      </c>
      <c r="I1187" s="14" t="s">
        <v>1561</v>
      </c>
      <c r="J1187" s="21">
        <v>0</v>
      </c>
      <c r="K1187" s="21">
        <v>0</v>
      </c>
      <c r="L1187" s="24">
        <f t="shared" si="36"/>
        <v>0</v>
      </c>
    </row>
    <row r="1188" spans="1:12" x14ac:dyDescent="0.25">
      <c r="A1188" s="15">
        <f t="shared" si="37"/>
        <v>1183</v>
      </c>
      <c r="B1188" s="17">
        <v>102338</v>
      </c>
      <c r="C1188" s="18" t="s">
        <v>1378</v>
      </c>
      <c r="D1188" s="20" t="s">
        <v>1556</v>
      </c>
      <c r="E1188" s="19">
        <v>0</v>
      </c>
      <c r="F1188" s="20" t="s">
        <v>1556</v>
      </c>
      <c r="G1188" s="21">
        <v>0</v>
      </c>
      <c r="H1188" s="21">
        <v>0</v>
      </c>
      <c r="I1188" s="14" t="s">
        <v>1561</v>
      </c>
      <c r="J1188" s="21">
        <v>0</v>
      </c>
      <c r="K1188" s="21">
        <v>0</v>
      </c>
      <c r="L1188" s="24">
        <f t="shared" si="36"/>
        <v>0</v>
      </c>
    </row>
    <row r="1189" spans="1:12" x14ac:dyDescent="0.25">
      <c r="A1189" s="15">
        <f t="shared" si="37"/>
        <v>1184</v>
      </c>
      <c r="B1189" s="17">
        <v>102345</v>
      </c>
      <c r="C1189" s="18" t="s">
        <v>869</v>
      </c>
      <c r="D1189" s="20" t="s">
        <v>1556</v>
      </c>
      <c r="E1189" s="19">
        <v>0</v>
      </c>
      <c r="F1189" s="20" t="s">
        <v>1556</v>
      </c>
      <c r="G1189" s="21">
        <v>19.7940699</v>
      </c>
      <c r="H1189" s="21">
        <v>15.4569875</v>
      </c>
      <c r="I1189" s="14" t="s">
        <v>1561</v>
      </c>
      <c r="J1189" s="21">
        <v>9.2862935836532241</v>
      </c>
      <c r="K1189" s="21">
        <v>17.447432899999999</v>
      </c>
      <c r="L1189" s="24">
        <f t="shared" si="36"/>
        <v>0.88144747331623796</v>
      </c>
    </row>
    <row r="1190" spans="1:12" x14ac:dyDescent="0.25">
      <c r="A1190" s="15">
        <f t="shared" si="37"/>
        <v>1185</v>
      </c>
      <c r="B1190" s="17">
        <v>102486</v>
      </c>
      <c r="C1190" s="18" t="s">
        <v>472</v>
      </c>
      <c r="D1190" s="20">
        <v>3.9973240000000003</v>
      </c>
      <c r="E1190" s="19">
        <v>0</v>
      </c>
      <c r="F1190" s="20">
        <v>3.9973240000000003</v>
      </c>
      <c r="G1190" s="21">
        <v>1070.5004730000001</v>
      </c>
      <c r="H1190" s="21">
        <v>860.91502179999998</v>
      </c>
      <c r="I1190" s="14" t="s">
        <v>1561</v>
      </c>
      <c r="J1190" s="21">
        <v>389.57131111103877</v>
      </c>
      <c r="K1190" s="21">
        <v>909.18943819999993</v>
      </c>
      <c r="L1190" s="24">
        <f t="shared" si="36"/>
        <v>0.84931250488106969</v>
      </c>
    </row>
    <row r="1191" spans="1:12" x14ac:dyDescent="0.25">
      <c r="A1191" s="15">
        <f t="shared" si="37"/>
        <v>1186</v>
      </c>
      <c r="B1191" s="17">
        <v>102489</v>
      </c>
      <c r="C1191" s="18" t="s">
        <v>870</v>
      </c>
      <c r="D1191" s="20">
        <v>0.57840250000000004</v>
      </c>
      <c r="E1191" s="19">
        <v>0</v>
      </c>
      <c r="F1191" s="20">
        <v>0.57840250000000004</v>
      </c>
      <c r="G1191" s="21">
        <v>192.84870519999998</v>
      </c>
      <c r="H1191" s="21">
        <v>119.84035739999999</v>
      </c>
      <c r="I1191" s="14" t="s">
        <v>1561</v>
      </c>
      <c r="J1191" s="21">
        <v>61.356255439800371</v>
      </c>
      <c r="K1191" s="21">
        <v>125.54180199999999</v>
      </c>
      <c r="L1191" s="24">
        <f t="shared" si="36"/>
        <v>0.65098597301860439</v>
      </c>
    </row>
    <row r="1192" spans="1:12" x14ac:dyDescent="0.25">
      <c r="A1192" s="15">
        <f t="shared" si="37"/>
        <v>1187</v>
      </c>
      <c r="B1192" s="17">
        <v>102495</v>
      </c>
      <c r="C1192" s="18" t="s">
        <v>1379</v>
      </c>
      <c r="D1192" s="20">
        <v>0.22169740000000002</v>
      </c>
      <c r="E1192" s="19">
        <v>0</v>
      </c>
      <c r="F1192" s="20">
        <v>0.22169740000000002</v>
      </c>
      <c r="G1192" s="21">
        <v>217.46511659999999</v>
      </c>
      <c r="H1192" s="21">
        <v>203.0401166</v>
      </c>
      <c r="I1192" s="14" t="s">
        <v>1561</v>
      </c>
      <c r="J1192" s="21">
        <v>34.404816481313986</v>
      </c>
      <c r="K1192" s="21">
        <v>209.95818410000001</v>
      </c>
      <c r="L1192" s="24">
        <f t="shared" si="36"/>
        <v>0.96547983135240933</v>
      </c>
    </row>
    <row r="1193" spans="1:12" x14ac:dyDescent="0.25">
      <c r="A1193" s="15">
        <f t="shared" si="37"/>
        <v>1188</v>
      </c>
      <c r="B1193" s="17">
        <v>102602</v>
      </c>
      <c r="C1193" s="18" t="s">
        <v>1380</v>
      </c>
      <c r="D1193" s="20" t="s">
        <v>1556</v>
      </c>
      <c r="E1193" s="19">
        <v>0</v>
      </c>
      <c r="F1193" s="20" t="s">
        <v>1556</v>
      </c>
      <c r="G1193" s="21">
        <v>0</v>
      </c>
      <c r="H1193" s="21">
        <v>0</v>
      </c>
      <c r="I1193" s="14" t="s">
        <v>1561</v>
      </c>
      <c r="J1193" s="21">
        <v>0</v>
      </c>
      <c r="K1193" s="21">
        <v>0</v>
      </c>
      <c r="L1193" s="24">
        <f t="shared" si="36"/>
        <v>0</v>
      </c>
    </row>
    <row r="1194" spans="1:12" x14ac:dyDescent="0.25">
      <c r="A1194" s="15">
        <f t="shared" si="37"/>
        <v>1189</v>
      </c>
      <c r="B1194" s="17">
        <v>102669</v>
      </c>
      <c r="C1194" s="18" t="s">
        <v>871</v>
      </c>
      <c r="D1194" s="20">
        <v>0.17105959999999998</v>
      </c>
      <c r="E1194" s="19">
        <v>0</v>
      </c>
      <c r="F1194" s="20">
        <v>0.17105959999999998</v>
      </c>
      <c r="G1194" s="21">
        <v>11.539423000000001</v>
      </c>
      <c r="H1194" s="21">
        <v>10.488952599999999</v>
      </c>
      <c r="I1194" s="14" t="s">
        <v>1561</v>
      </c>
      <c r="J1194" s="21">
        <v>11.551143819189964</v>
      </c>
      <c r="K1194" s="21">
        <v>16.336618999999999</v>
      </c>
      <c r="L1194" s="24">
        <f t="shared" si="36"/>
        <v>1.4157223459093229</v>
      </c>
    </row>
    <row r="1195" spans="1:12" x14ac:dyDescent="0.25">
      <c r="A1195" s="15">
        <f t="shared" si="37"/>
        <v>1190</v>
      </c>
      <c r="B1195" s="17">
        <v>102793</v>
      </c>
      <c r="C1195" s="18" t="s">
        <v>328</v>
      </c>
      <c r="D1195" s="20">
        <v>8.4434000000000002E-3</v>
      </c>
      <c r="E1195" s="19">
        <v>0</v>
      </c>
      <c r="F1195" s="20">
        <v>8.4434000000000002E-3</v>
      </c>
      <c r="G1195" s="21">
        <v>8.8012592000000005</v>
      </c>
      <c r="H1195" s="21">
        <v>4.7012127000000001</v>
      </c>
      <c r="I1195" s="14" t="s">
        <v>1561</v>
      </c>
      <c r="J1195" s="21">
        <v>1.2856937759135305</v>
      </c>
      <c r="K1195" s="21">
        <v>4.7849010999999999</v>
      </c>
      <c r="L1195" s="24">
        <f t="shared" si="36"/>
        <v>0.54366096842142764</v>
      </c>
    </row>
    <row r="1196" spans="1:12" x14ac:dyDescent="0.25">
      <c r="A1196" s="15">
        <f t="shared" si="37"/>
        <v>1191</v>
      </c>
      <c r="B1196" s="17">
        <v>102841</v>
      </c>
      <c r="C1196" s="18" t="s">
        <v>1381</v>
      </c>
      <c r="D1196" s="20" t="s">
        <v>1556</v>
      </c>
      <c r="E1196" s="19">
        <v>0</v>
      </c>
      <c r="F1196" s="20" t="s">
        <v>1556</v>
      </c>
      <c r="G1196" s="21">
        <v>0</v>
      </c>
      <c r="H1196" s="21">
        <v>0</v>
      </c>
      <c r="I1196" s="14" t="s">
        <v>1561</v>
      </c>
      <c r="J1196" s="21">
        <v>0</v>
      </c>
      <c r="K1196" s="21">
        <v>0</v>
      </c>
      <c r="L1196" s="24">
        <f t="shared" si="36"/>
        <v>0</v>
      </c>
    </row>
    <row r="1197" spans="1:12" x14ac:dyDescent="0.25">
      <c r="A1197" s="15">
        <f t="shared" si="37"/>
        <v>1192</v>
      </c>
      <c r="B1197" s="17">
        <v>103100</v>
      </c>
      <c r="C1197" s="18" t="s">
        <v>1382</v>
      </c>
      <c r="D1197" s="20" t="s">
        <v>1556</v>
      </c>
      <c r="E1197" s="19">
        <v>0</v>
      </c>
      <c r="F1197" s="20" t="s">
        <v>1556</v>
      </c>
      <c r="G1197" s="21">
        <v>0</v>
      </c>
      <c r="H1197" s="21">
        <v>0</v>
      </c>
      <c r="I1197" s="14" t="s">
        <v>1561</v>
      </c>
      <c r="J1197" s="21">
        <v>0</v>
      </c>
      <c r="K1197" s="21">
        <v>0</v>
      </c>
      <c r="L1197" s="24">
        <f t="shared" si="36"/>
        <v>0</v>
      </c>
    </row>
    <row r="1198" spans="1:12" x14ac:dyDescent="0.25">
      <c r="A1198" s="15">
        <f t="shared" si="37"/>
        <v>1193</v>
      </c>
      <c r="B1198" s="17">
        <v>103121</v>
      </c>
      <c r="C1198" s="18" t="s">
        <v>519</v>
      </c>
      <c r="D1198" s="20" t="s">
        <v>1556</v>
      </c>
      <c r="E1198" s="19">
        <v>0</v>
      </c>
      <c r="F1198" s="20" t="s">
        <v>1556</v>
      </c>
      <c r="G1198" s="21">
        <v>0</v>
      </c>
      <c r="H1198" s="21">
        <v>0</v>
      </c>
      <c r="I1198" s="14" t="s">
        <v>1561</v>
      </c>
      <c r="J1198" s="21">
        <v>0</v>
      </c>
      <c r="K1198" s="21">
        <v>0</v>
      </c>
      <c r="L1198" s="24">
        <f t="shared" si="36"/>
        <v>0</v>
      </c>
    </row>
    <row r="1199" spans="1:12" x14ac:dyDescent="0.25">
      <c r="A1199" s="15">
        <f t="shared" si="37"/>
        <v>1194</v>
      </c>
      <c r="B1199" s="17">
        <v>103123</v>
      </c>
      <c r="C1199" s="18" t="s">
        <v>1383</v>
      </c>
      <c r="D1199" s="20" t="s">
        <v>1556</v>
      </c>
      <c r="E1199" s="19">
        <v>0</v>
      </c>
      <c r="F1199" s="20" t="s">
        <v>1556</v>
      </c>
      <c r="G1199" s="21">
        <v>0</v>
      </c>
      <c r="H1199" s="21">
        <v>0</v>
      </c>
      <c r="I1199" s="14" t="s">
        <v>1561</v>
      </c>
      <c r="J1199" s="21">
        <v>0</v>
      </c>
      <c r="K1199" s="21">
        <v>0</v>
      </c>
      <c r="L1199" s="24">
        <f t="shared" si="36"/>
        <v>0</v>
      </c>
    </row>
    <row r="1200" spans="1:12" x14ac:dyDescent="0.25">
      <c r="A1200" s="15">
        <f t="shared" si="37"/>
        <v>1195</v>
      </c>
      <c r="B1200" s="17">
        <v>103168</v>
      </c>
      <c r="C1200" s="18" t="s">
        <v>417</v>
      </c>
      <c r="D1200" s="20">
        <v>13.729373000000001</v>
      </c>
      <c r="E1200" s="19">
        <v>0</v>
      </c>
      <c r="F1200" s="20">
        <v>13.729373000000001</v>
      </c>
      <c r="G1200" s="21">
        <v>2380.4222251000001</v>
      </c>
      <c r="H1200" s="21">
        <v>1772.0920325</v>
      </c>
      <c r="I1200" s="14" t="s">
        <v>1561</v>
      </c>
      <c r="J1200" s="21">
        <v>916.31045267289778</v>
      </c>
      <c r="K1200" s="21">
        <v>1996.3302124000002</v>
      </c>
      <c r="L1200" s="24">
        <f t="shared" si="36"/>
        <v>0.83864542657600816</v>
      </c>
    </row>
    <row r="1201" spans="1:12" x14ac:dyDescent="0.25">
      <c r="A1201" s="15">
        <f t="shared" si="37"/>
        <v>1196</v>
      </c>
      <c r="B1201" s="17">
        <v>103393</v>
      </c>
      <c r="C1201" s="18" t="s">
        <v>1384</v>
      </c>
      <c r="D1201" s="20">
        <v>0.30986020000000003</v>
      </c>
      <c r="E1201" s="19">
        <v>0</v>
      </c>
      <c r="F1201" s="20">
        <v>0.30986020000000003</v>
      </c>
      <c r="G1201" s="21">
        <v>173.88967420000003</v>
      </c>
      <c r="H1201" s="21">
        <v>147.84975580000003</v>
      </c>
      <c r="I1201" s="14" t="s">
        <v>1561</v>
      </c>
      <c r="J1201" s="21">
        <v>42.305136437171853</v>
      </c>
      <c r="K1201" s="21">
        <v>159.5679337</v>
      </c>
      <c r="L1201" s="24">
        <f t="shared" si="36"/>
        <v>0.91763892499144128</v>
      </c>
    </row>
    <row r="1202" spans="1:12" x14ac:dyDescent="0.25">
      <c r="A1202" s="15">
        <f t="shared" si="37"/>
        <v>1197</v>
      </c>
      <c r="B1202" s="17">
        <v>103555</v>
      </c>
      <c r="C1202" s="18" t="s">
        <v>1385</v>
      </c>
      <c r="D1202" s="20" t="s">
        <v>1556</v>
      </c>
      <c r="E1202" s="19">
        <v>0</v>
      </c>
      <c r="F1202" s="20" t="s">
        <v>1556</v>
      </c>
      <c r="G1202" s="21">
        <v>0</v>
      </c>
      <c r="H1202" s="21">
        <v>0</v>
      </c>
      <c r="I1202" s="14" t="s">
        <v>1561</v>
      </c>
      <c r="J1202" s="21">
        <v>0</v>
      </c>
      <c r="K1202" s="21">
        <v>0</v>
      </c>
      <c r="L1202" s="24">
        <f t="shared" si="36"/>
        <v>0</v>
      </c>
    </row>
    <row r="1203" spans="1:12" x14ac:dyDescent="0.25">
      <c r="A1203" s="15">
        <f t="shared" si="37"/>
        <v>1198</v>
      </c>
      <c r="B1203" s="17">
        <v>103562</v>
      </c>
      <c r="C1203" s="18" t="s">
        <v>1386</v>
      </c>
      <c r="D1203" s="20">
        <v>0.93495309999999998</v>
      </c>
      <c r="E1203" s="19">
        <v>0</v>
      </c>
      <c r="F1203" s="20">
        <v>0.93495309999999998</v>
      </c>
      <c r="G1203" s="21">
        <v>98.473290199999994</v>
      </c>
      <c r="H1203" s="21">
        <v>59.105007199999996</v>
      </c>
      <c r="I1203" s="14" t="s">
        <v>1561</v>
      </c>
      <c r="J1203" s="21">
        <v>42.969943324725534</v>
      </c>
      <c r="K1203" s="21">
        <v>69.984683200000006</v>
      </c>
      <c r="L1203" s="24">
        <f t="shared" si="36"/>
        <v>0.71069711449531736</v>
      </c>
    </row>
    <row r="1204" spans="1:12" x14ac:dyDescent="0.25">
      <c r="A1204" s="15">
        <f t="shared" si="37"/>
        <v>1199</v>
      </c>
      <c r="B1204" s="17">
        <v>103956</v>
      </c>
      <c r="C1204" s="18" t="s">
        <v>239</v>
      </c>
      <c r="D1204" s="20" t="s">
        <v>1556</v>
      </c>
      <c r="E1204" s="19">
        <v>0</v>
      </c>
      <c r="F1204" s="20" t="s">
        <v>1556</v>
      </c>
      <c r="G1204" s="21">
        <v>0</v>
      </c>
      <c r="H1204" s="21">
        <v>0</v>
      </c>
      <c r="I1204" s="14" t="s">
        <v>1561</v>
      </c>
      <c r="J1204" s="21">
        <v>0</v>
      </c>
      <c r="K1204" s="21">
        <v>0</v>
      </c>
      <c r="L1204" s="24">
        <f t="shared" si="36"/>
        <v>0</v>
      </c>
    </row>
    <row r="1205" spans="1:12" x14ac:dyDescent="0.25">
      <c r="A1205" s="15">
        <f t="shared" si="37"/>
        <v>1200</v>
      </c>
      <c r="B1205" s="17">
        <v>104096</v>
      </c>
      <c r="C1205" s="18" t="s">
        <v>1387</v>
      </c>
      <c r="D1205" s="20">
        <v>0.33970139999999999</v>
      </c>
      <c r="E1205" s="19">
        <v>0</v>
      </c>
      <c r="F1205" s="20">
        <v>0.33970139999999999</v>
      </c>
      <c r="G1205" s="21">
        <v>825.84576450000009</v>
      </c>
      <c r="H1205" s="21">
        <v>474.64958290000004</v>
      </c>
      <c r="I1205" s="14" t="s">
        <v>1561</v>
      </c>
      <c r="J1205" s="21">
        <v>300.54149037502896</v>
      </c>
      <c r="K1205" s="21">
        <v>513.91455780000001</v>
      </c>
      <c r="L1205" s="24">
        <f t="shared" si="36"/>
        <v>0.62228878549875999</v>
      </c>
    </row>
    <row r="1206" spans="1:12" x14ac:dyDescent="0.25">
      <c r="A1206" s="15">
        <f t="shared" si="37"/>
        <v>1201</v>
      </c>
      <c r="B1206" s="17">
        <v>104178</v>
      </c>
      <c r="C1206" s="18" t="s">
        <v>520</v>
      </c>
      <c r="D1206" s="20" t="s">
        <v>1556</v>
      </c>
      <c r="E1206" s="19">
        <v>0</v>
      </c>
      <c r="F1206" s="20" t="s">
        <v>1556</v>
      </c>
      <c r="G1206" s="21">
        <v>0</v>
      </c>
      <c r="H1206" s="21">
        <v>0</v>
      </c>
      <c r="I1206" s="14" t="s">
        <v>1561</v>
      </c>
      <c r="J1206" s="21">
        <v>0</v>
      </c>
      <c r="K1206" s="21">
        <v>0</v>
      </c>
      <c r="L1206" s="24">
        <f t="shared" si="36"/>
        <v>0</v>
      </c>
    </row>
    <row r="1207" spans="1:12" x14ac:dyDescent="0.25">
      <c r="A1207" s="15">
        <f t="shared" si="37"/>
        <v>1202</v>
      </c>
      <c r="B1207" s="17">
        <v>104196</v>
      </c>
      <c r="C1207" s="18" t="s">
        <v>872</v>
      </c>
      <c r="D1207" s="20" t="s">
        <v>1556</v>
      </c>
      <c r="E1207" s="19">
        <v>0</v>
      </c>
      <c r="F1207" s="20" t="s">
        <v>1556</v>
      </c>
      <c r="G1207" s="21">
        <v>0</v>
      </c>
      <c r="H1207" s="21">
        <v>0</v>
      </c>
      <c r="I1207" s="14" t="s">
        <v>1561</v>
      </c>
      <c r="J1207" s="21">
        <v>0</v>
      </c>
      <c r="K1207" s="21">
        <v>0</v>
      </c>
      <c r="L1207" s="24">
        <f t="shared" si="36"/>
        <v>0</v>
      </c>
    </row>
    <row r="1208" spans="1:12" x14ac:dyDescent="0.25">
      <c r="A1208" s="15">
        <f t="shared" si="37"/>
        <v>1203</v>
      </c>
      <c r="B1208" s="17">
        <v>104410</v>
      </c>
      <c r="C1208" s="18" t="s">
        <v>521</v>
      </c>
      <c r="D1208" s="20" t="s">
        <v>1556</v>
      </c>
      <c r="E1208" s="19">
        <v>0</v>
      </c>
      <c r="F1208" s="20" t="s">
        <v>1556</v>
      </c>
      <c r="G1208" s="21">
        <v>0</v>
      </c>
      <c r="H1208" s="21">
        <v>0</v>
      </c>
      <c r="I1208" s="14" t="s">
        <v>1561</v>
      </c>
      <c r="J1208" s="21">
        <v>0</v>
      </c>
      <c r="K1208" s="21">
        <v>0</v>
      </c>
      <c r="L1208" s="24">
        <f t="shared" si="36"/>
        <v>0</v>
      </c>
    </row>
    <row r="1209" spans="1:12" x14ac:dyDescent="0.25">
      <c r="A1209" s="15">
        <f t="shared" si="37"/>
        <v>1204</v>
      </c>
      <c r="B1209" s="17">
        <v>104453</v>
      </c>
      <c r="C1209" s="18" t="s">
        <v>1388</v>
      </c>
      <c r="D1209" s="20" t="s">
        <v>1556</v>
      </c>
      <c r="E1209" s="19">
        <v>0</v>
      </c>
      <c r="F1209" s="20" t="s">
        <v>1556</v>
      </c>
      <c r="G1209" s="21">
        <v>0</v>
      </c>
      <c r="H1209" s="21">
        <v>0</v>
      </c>
      <c r="I1209" s="14" t="s">
        <v>1561</v>
      </c>
      <c r="J1209" s="21">
        <v>0</v>
      </c>
      <c r="K1209" s="21">
        <v>0</v>
      </c>
      <c r="L1209" s="24">
        <f t="shared" si="36"/>
        <v>0</v>
      </c>
    </row>
    <row r="1210" spans="1:12" x14ac:dyDescent="0.25">
      <c r="A1210" s="15">
        <f t="shared" si="37"/>
        <v>1205</v>
      </c>
      <c r="B1210" s="17">
        <v>104466</v>
      </c>
      <c r="C1210" s="18" t="s">
        <v>873</v>
      </c>
      <c r="D1210" s="20" t="s">
        <v>1556</v>
      </c>
      <c r="E1210" s="19">
        <v>0</v>
      </c>
      <c r="F1210" s="20" t="s">
        <v>1556</v>
      </c>
      <c r="G1210" s="21">
        <v>0</v>
      </c>
      <c r="H1210" s="21">
        <v>0</v>
      </c>
      <c r="I1210" s="14" t="s">
        <v>1561</v>
      </c>
      <c r="J1210" s="21">
        <v>0</v>
      </c>
      <c r="K1210" s="21">
        <v>0</v>
      </c>
      <c r="L1210" s="24">
        <f t="shared" si="36"/>
        <v>0</v>
      </c>
    </row>
    <row r="1211" spans="1:12" x14ac:dyDescent="0.25">
      <c r="A1211" s="15">
        <f t="shared" si="37"/>
        <v>1206</v>
      </c>
      <c r="B1211" s="17">
        <v>104669</v>
      </c>
      <c r="C1211" s="18" t="s">
        <v>874</v>
      </c>
      <c r="D1211" s="20">
        <v>0.77280059999999995</v>
      </c>
      <c r="E1211" s="19">
        <v>0</v>
      </c>
      <c r="F1211" s="20">
        <v>0.77280059999999995</v>
      </c>
      <c r="G1211" s="21">
        <v>244.15571530000003</v>
      </c>
      <c r="H1211" s="21">
        <v>165.68174850000003</v>
      </c>
      <c r="I1211" s="14" t="s">
        <v>1561</v>
      </c>
      <c r="J1211" s="21">
        <v>83.926093645330724</v>
      </c>
      <c r="K1211" s="21">
        <v>175.50528809999997</v>
      </c>
      <c r="L1211" s="24">
        <f t="shared" si="36"/>
        <v>0.71882522956447026</v>
      </c>
    </row>
    <row r="1212" spans="1:12" x14ac:dyDescent="0.25">
      <c r="A1212" s="15">
        <f t="shared" si="37"/>
        <v>1207</v>
      </c>
      <c r="B1212" s="17">
        <v>104917</v>
      </c>
      <c r="C1212" s="18" t="s">
        <v>875</v>
      </c>
      <c r="D1212" s="20" t="s">
        <v>1556</v>
      </c>
      <c r="E1212" s="19">
        <v>0</v>
      </c>
      <c r="F1212" s="20" t="s">
        <v>1556</v>
      </c>
      <c r="G1212" s="21">
        <v>0</v>
      </c>
      <c r="H1212" s="21">
        <v>0</v>
      </c>
      <c r="I1212" s="14" t="s">
        <v>1561</v>
      </c>
      <c r="J1212" s="21">
        <v>0</v>
      </c>
      <c r="K1212" s="21">
        <v>0</v>
      </c>
      <c r="L1212" s="24">
        <f t="shared" si="36"/>
        <v>0</v>
      </c>
    </row>
    <row r="1213" spans="1:12" x14ac:dyDescent="0.25">
      <c r="A1213" s="15">
        <f t="shared" si="37"/>
        <v>1208</v>
      </c>
      <c r="B1213" s="17">
        <v>105437</v>
      </c>
      <c r="C1213" s="18" t="s">
        <v>1389</v>
      </c>
      <c r="D1213" s="20" t="s">
        <v>1556</v>
      </c>
      <c r="E1213" s="19">
        <v>0</v>
      </c>
      <c r="F1213" s="20" t="s">
        <v>1556</v>
      </c>
      <c r="G1213" s="21">
        <v>0</v>
      </c>
      <c r="H1213" s="21">
        <v>0</v>
      </c>
      <c r="I1213" s="14" t="s">
        <v>1561</v>
      </c>
      <c r="J1213" s="21">
        <v>0</v>
      </c>
      <c r="K1213" s="21">
        <v>0</v>
      </c>
      <c r="L1213" s="24">
        <f t="shared" si="36"/>
        <v>0</v>
      </c>
    </row>
    <row r="1214" spans="1:12" x14ac:dyDescent="0.25">
      <c r="A1214" s="15">
        <f t="shared" si="37"/>
        <v>1209</v>
      </c>
      <c r="B1214" s="17">
        <v>105629</v>
      </c>
      <c r="C1214" s="18" t="s">
        <v>1390</v>
      </c>
      <c r="D1214" s="20" t="s">
        <v>1556</v>
      </c>
      <c r="E1214" s="19">
        <v>0</v>
      </c>
      <c r="F1214" s="20" t="s">
        <v>1556</v>
      </c>
      <c r="G1214" s="21">
        <v>0</v>
      </c>
      <c r="H1214" s="21">
        <v>0</v>
      </c>
      <c r="I1214" s="14" t="s">
        <v>1561</v>
      </c>
      <c r="J1214" s="21">
        <v>0</v>
      </c>
      <c r="K1214" s="21">
        <v>0</v>
      </c>
      <c r="L1214" s="24">
        <f t="shared" si="36"/>
        <v>0</v>
      </c>
    </row>
    <row r="1215" spans="1:12" x14ac:dyDescent="0.25">
      <c r="A1215" s="15">
        <f t="shared" si="37"/>
        <v>1210</v>
      </c>
      <c r="B1215" s="17">
        <v>105712</v>
      </c>
      <c r="C1215" s="18" t="s">
        <v>522</v>
      </c>
      <c r="D1215" s="20" t="s">
        <v>1556</v>
      </c>
      <c r="E1215" s="19">
        <v>0</v>
      </c>
      <c r="F1215" s="20" t="s">
        <v>1556</v>
      </c>
      <c r="G1215" s="21">
        <v>0</v>
      </c>
      <c r="H1215" s="21">
        <v>0</v>
      </c>
      <c r="I1215" s="14" t="s">
        <v>1561</v>
      </c>
      <c r="J1215" s="21">
        <v>0</v>
      </c>
      <c r="K1215" s="21">
        <v>0</v>
      </c>
      <c r="L1215" s="24">
        <f t="shared" si="36"/>
        <v>0</v>
      </c>
    </row>
    <row r="1216" spans="1:12" x14ac:dyDescent="0.25">
      <c r="A1216" s="15">
        <f t="shared" si="37"/>
        <v>1211</v>
      </c>
      <c r="B1216" s="17">
        <v>105768</v>
      </c>
      <c r="C1216" s="18" t="s">
        <v>1391</v>
      </c>
      <c r="D1216" s="20">
        <v>0.16050510000000001</v>
      </c>
      <c r="E1216" s="19">
        <v>0</v>
      </c>
      <c r="F1216" s="20">
        <v>0.16050510000000001</v>
      </c>
      <c r="G1216" s="21">
        <v>41.197940000000003</v>
      </c>
      <c r="H1216" s="21">
        <v>28.167603500000002</v>
      </c>
      <c r="I1216" s="14" t="s">
        <v>1561</v>
      </c>
      <c r="J1216" s="21">
        <v>16.492702771926162</v>
      </c>
      <c r="K1216" s="21">
        <v>31.185900099999998</v>
      </c>
      <c r="L1216" s="24">
        <f t="shared" si="36"/>
        <v>0.7569771716741176</v>
      </c>
    </row>
    <row r="1217" spans="1:12" x14ac:dyDescent="0.25">
      <c r="A1217" s="15">
        <f t="shared" si="37"/>
        <v>1212</v>
      </c>
      <c r="B1217" s="17">
        <v>105808</v>
      </c>
      <c r="C1217" s="18" t="s">
        <v>1392</v>
      </c>
      <c r="D1217" s="20" t="s">
        <v>1556</v>
      </c>
      <c r="E1217" s="19">
        <v>0</v>
      </c>
      <c r="F1217" s="20" t="s">
        <v>1556</v>
      </c>
      <c r="G1217" s="21">
        <v>0.76996149999999997</v>
      </c>
      <c r="H1217" s="21">
        <v>0.61996149999999994</v>
      </c>
      <c r="I1217" s="14" t="s">
        <v>1561</v>
      </c>
      <c r="J1217" s="21">
        <v>0.14956689662231185</v>
      </c>
      <c r="K1217" s="21">
        <v>0.63355640000000002</v>
      </c>
      <c r="L1217" s="24">
        <f t="shared" si="36"/>
        <v>0.82284166156359773</v>
      </c>
    </row>
    <row r="1218" spans="1:12" x14ac:dyDescent="0.25">
      <c r="A1218" s="15">
        <f t="shared" si="37"/>
        <v>1213</v>
      </c>
      <c r="B1218" s="17">
        <v>105917</v>
      </c>
      <c r="C1218" s="18" t="s">
        <v>1393</v>
      </c>
      <c r="D1218" s="20" t="s">
        <v>1556</v>
      </c>
      <c r="E1218" s="19">
        <v>0</v>
      </c>
      <c r="F1218" s="20" t="s">
        <v>1556</v>
      </c>
      <c r="G1218" s="21">
        <v>0</v>
      </c>
      <c r="H1218" s="21">
        <v>0</v>
      </c>
      <c r="I1218" s="14" t="s">
        <v>1561</v>
      </c>
      <c r="J1218" s="21">
        <v>0</v>
      </c>
      <c r="K1218" s="21">
        <v>0</v>
      </c>
      <c r="L1218" s="24">
        <f t="shared" si="36"/>
        <v>0</v>
      </c>
    </row>
    <row r="1219" spans="1:12" x14ac:dyDescent="0.25">
      <c r="A1219" s="15">
        <f t="shared" si="37"/>
        <v>1214</v>
      </c>
      <c r="B1219" s="17">
        <v>105920</v>
      </c>
      <c r="C1219" s="18" t="s">
        <v>473</v>
      </c>
      <c r="D1219" s="20">
        <v>1.2228889000000001</v>
      </c>
      <c r="E1219" s="19">
        <v>0</v>
      </c>
      <c r="F1219" s="20">
        <v>1.2228889000000001</v>
      </c>
      <c r="G1219" s="21">
        <v>394.81268259999996</v>
      </c>
      <c r="H1219" s="21">
        <v>247.99769209999997</v>
      </c>
      <c r="I1219" s="14" t="s">
        <v>1561</v>
      </c>
      <c r="J1219" s="21">
        <v>126.46453211297884</v>
      </c>
      <c r="K1219" s="21">
        <v>280.5285088</v>
      </c>
      <c r="L1219" s="24">
        <f t="shared" si="36"/>
        <v>0.71053570759836582</v>
      </c>
    </row>
    <row r="1220" spans="1:12" x14ac:dyDescent="0.25">
      <c r="A1220" s="15">
        <f t="shared" si="37"/>
        <v>1215</v>
      </c>
      <c r="B1220" s="17">
        <v>105921</v>
      </c>
      <c r="C1220" s="18" t="s">
        <v>1394</v>
      </c>
      <c r="D1220" s="20" t="s">
        <v>1556</v>
      </c>
      <c r="E1220" s="19">
        <v>0</v>
      </c>
      <c r="F1220" s="20" t="s">
        <v>1556</v>
      </c>
      <c r="G1220" s="21">
        <v>0.39998</v>
      </c>
      <c r="H1220" s="21">
        <v>0.39998</v>
      </c>
      <c r="I1220" s="14" t="s">
        <v>1561</v>
      </c>
      <c r="J1220" s="21">
        <v>0.1919065143661291</v>
      </c>
      <c r="K1220" s="21">
        <v>0.3975725</v>
      </c>
      <c r="L1220" s="24">
        <f t="shared" si="36"/>
        <v>0.99398094904745238</v>
      </c>
    </row>
    <row r="1221" spans="1:12" x14ac:dyDescent="0.25">
      <c r="A1221" s="15">
        <f t="shared" si="37"/>
        <v>1216</v>
      </c>
      <c r="B1221" s="17">
        <v>105922</v>
      </c>
      <c r="C1221" s="18" t="s">
        <v>1395</v>
      </c>
      <c r="D1221" s="20" t="s">
        <v>1556</v>
      </c>
      <c r="E1221" s="19">
        <v>0</v>
      </c>
      <c r="F1221" s="20" t="s">
        <v>1556</v>
      </c>
      <c r="G1221" s="21">
        <v>1.9799010000000001</v>
      </c>
      <c r="H1221" s="21">
        <v>1.9799010000000001</v>
      </c>
      <c r="I1221" s="14" t="s">
        <v>1561</v>
      </c>
      <c r="J1221" s="21">
        <v>1.2614877224901435</v>
      </c>
      <c r="K1221" s="21">
        <v>1.7318997</v>
      </c>
      <c r="L1221" s="24">
        <f t="shared" si="36"/>
        <v>0.87474055520957861</v>
      </c>
    </row>
    <row r="1222" spans="1:12" x14ac:dyDescent="0.25">
      <c r="A1222" s="15">
        <f t="shared" si="37"/>
        <v>1217</v>
      </c>
      <c r="B1222" s="17">
        <v>105949</v>
      </c>
      <c r="C1222" s="18" t="s">
        <v>876</v>
      </c>
      <c r="D1222" s="20" t="s">
        <v>1556</v>
      </c>
      <c r="E1222" s="19">
        <v>0</v>
      </c>
      <c r="F1222" s="20" t="s">
        <v>1556</v>
      </c>
      <c r="G1222" s="21">
        <v>1.1249438</v>
      </c>
      <c r="H1222" s="21">
        <v>1.1249438</v>
      </c>
      <c r="I1222" s="14" t="s">
        <v>1561</v>
      </c>
      <c r="J1222" s="21">
        <v>2.0760311291666667E-2</v>
      </c>
      <c r="K1222" s="21">
        <v>1.1578355</v>
      </c>
      <c r="L1222" s="24">
        <f t="shared" si="36"/>
        <v>1.0292385272935411</v>
      </c>
    </row>
    <row r="1223" spans="1:12" x14ac:dyDescent="0.25">
      <c r="A1223" s="15">
        <f t="shared" si="37"/>
        <v>1218</v>
      </c>
      <c r="B1223" s="17">
        <v>106058</v>
      </c>
      <c r="C1223" s="18" t="s">
        <v>1396</v>
      </c>
      <c r="D1223" s="20" t="s">
        <v>1556</v>
      </c>
      <c r="E1223" s="19">
        <v>0</v>
      </c>
      <c r="F1223" s="20" t="s">
        <v>1556</v>
      </c>
      <c r="G1223" s="21">
        <v>2.699865</v>
      </c>
      <c r="H1223" s="21">
        <v>2.699865</v>
      </c>
      <c r="I1223" s="14" t="s">
        <v>1561</v>
      </c>
      <c r="J1223" s="21">
        <v>5.1346290058333334E-2</v>
      </c>
      <c r="K1223" s="21">
        <v>2.7759345</v>
      </c>
      <c r="L1223" s="24">
        <f t="shared" ref="L1223:L1286" si="38">+IFERROR(K1223/G1223,0)</f>
        <v>1.0281752976537717</v>
      </c>
    </row>
    <row r="1224" spans="1:12" x14ac:dyDescent="0.25">
      <c r="A1224" s="15">
        <f t="shared" ref="A1224:A1287" si="39">A1223+1</f>
        <v>1219</v>
      </c>
      <c r="B1224" s="17">
        <v>106278</v>
      </c>
      <c r="C1224" s="18" t="s">
        <v>1397</v>
      </c>
      <c r="D1224" s="20" t="s">
        <v>1556</v>
      </c>
      <c r="E1224" s="19">
        <v>0</v>
      </c>
      <c r="F1224" s="20" t="s">
        <v>1556</v>
      </c>
      <c r="G1224" s="21">
        <v>0</v>
      </c>
      <c r="H1224" s="21">
        <v>0</v>
      </c>
      <c r="I1224" s="14" t="s">
        <v>1561</v>
      </c>
      <c r="J1224" s="21">
        <v>0</v>
      </c>
      <c r="K1224" s="21">
        <v>0</v>
      </c>
      <c r="L1224" s="24">
        <f t="shared" si="38"/>
        <v>0</v>
      </c>
    </row>
    <row r="1225" spans="1:12" x14ac:dyDescent="0.25">
      <c r="A1225" s="15">
        <f t="shared" si="39"/>
        <v>1220</v>
      </c>
      <c r="B1225" s="17">
        <v>106562</v>
      </c>
      <c r="C1225" s="18" t="s">
        <v>1398</v>
      </c>
      <c r="D1225" s="20" t="s">
        <v>1556</v>
      </c>
      <c r="E1225" s="19">
        <v>0</v>
      </c>
      <c r="F1225" s="20" t="s">
        <v>1556</v>
      </c>
      <c r="G1225" s="21">
        <v>0</v>
      </c>
      <c r="H1225" s="21">
        <v>0</v>
      </c>
      <c r="I1225" s="14" t="s">
        <v>1561</v>
      </c>
      <c r="J1225" s="21">
        <v>0</v>
      </c>
      <c r="K1225" s="21">
        <v>0</v>
      </c>
      <c r="L1225" s="24">
        <f t="shared" si="38"/>
        <v>0</v>
      </c>
    </row>
    <row r="1226" spans="1:12" x14ac:dyDescent="0.25">
      <c r="A1226" s="15">
        <f t="shared" si="39"/>
        <v>1221</v>
      </c>
      <c r="B1226" s="17">
        <v>106777</v>
      </c>
      <c r="C1226" s="18" t="s">
        <v>1399</v>
      </c>
      <c r="D1226" s="20" t="s">
        <v>1556</v>
      </c>
      <c r="E1226" s="19">
        <v>0</v>
      </c>
      <c r="F1226" s="20" t="s">
        <v>1556</v>
      </c>
      <c r="G1226" s="21">
        <v>0</v>
      </c>
      <c r="H1226" s="21">
        <v>0</v>
      </c>
      <c r="I1226" s="14" t="s">
        <v>1561</v>
      </c>
      <c r="J1226" s="21">
        <v>0</v>
      </c>
      <c r="K1226" s="21">
        <v>0</v>
      </c>
      <c r="L1226" s="24">
        <f t="shared" si="38"/>
        <v>0</v>
      </c>
    </row>
    <row r="1227" spans="1:12" x14ac:dyDescent="0.25">
      <c r="A1227" s="15">
        <f t="shared" si="39"/>
        <v>1222</v>
      </c>
      <c r="B1227" s="17">
        <v>106785</v>
      </c>
      <c r="C1227" s="18" t="s">
        <v>1400</v>
      </c>
      <c r="D1227" s="20" t="s">
        <v>1556</v>
      </c>
      <c r="E1227" s="19">
        <v>0</v>
      </c>
      <c r="F1227" s="20" t="s">
        <v>1556</v>
      </c>
      <c r="G1227" s="21">
        <v>0</v>
      </c>
      <c r="H1227" s="21">
        <v>0</v>
      </c>
      <c r="I1227" s="14" t="s">
        <v>1561</v>
      </c>
      <c r="J1227" s="21">
        <v>0</v>
      </c>
      <c r="K1227" s="21">
        <v>0</v>
      </c>
      <c r="L1227" s="24">
        <f t="shared" si="38"/>
        <v>0</v>
      </c>
    </row>
    <row r="1228" spans="1:12" x14ac:dyDescent="0.25">
      <c r="A1228" s="15">
        <f t="shared" si="39"/>
        <v>1223</v>
      </c>
      <c r="B1228" s="17">
        <v>106846</v>
      </c>
      <c r="C1228" s="18" t="s">
        <v>1401</v>
      </c>
      <c r="D1228" s="20" t="s">
        <v>1556</v>
      </c>
      <c r="E1228" s="19">
        <v>0</v>
      </c>
      <c r="F1228" s="20" t="s">
        <v>1556</v>
      </c>
      <c r="G1228" s="21">
        <v>0</v>
      </c>
      <c r="H1228" s="21">
        <v>0</v>
      </c>
      <c r="I1228" s="14" t="s">
        <v>1561</v>
      </c>
      <c r="J1228" s="21">
        <v>0</v>
      </c>
      <c r="K1228" s="21">
        <v>0</v>
      </c>
      <c r="L1228" s="24">
        <f t="shared" si="38"/>
        <v>0</v>
      </c>
    </row>
    <row r="1229" spans="1:12" x14ac:dyDescent="0.25">
      <c r="A1229" s="15">
        <f t="shared" si="39"/>
        <v>1224</v>
      </c>
      <c r="B1229" s="17">
        <v>106881</v>
      </c>
      <c r="C1229" s="18" t="s">
        <v>1402</v>
      </c>
      <c r="D1229" s="20" t="s">
        <v>1556</v>
      </c>
      <c r="E1229" s="19">
        <v>0</v>
      </c>
      <c r="F1229" s="20" t="s">
        <v>1556</v>
      </c>
      <c r="G1229" s="21">
        <v>0</v>
      </c>
      <c r="H1229" s="21">
        <v>0</v>
      </c>
      <c r="I1229" s="14" t="s">
        <v>1561</v>
      </c>
      <c r="J1229" s="21">
        <v>0</v>
      </c>
      <c r="K1229" s="21">
        <v>0</v>
      </c>
      <c r="L1229" s="24">
        <f t="shared" si="38"/>
        <v>0</v>
      </c>
    </row>
    <row r="1230" spans="1:12" x14ac:dyDescent="0.25">
      <c r="A1230" s="15">
        <f t="shared" si="39"/>
        <v>1225</v>
      </c>
      <c r="B1230" s="17">
        <v>106923</v>
      </c>
      <c r="C1230" s="18" t="s">
        <v>418</v>
      </c>
      <c r="D1230" s="20">
        <v>7.8573582999999996</v>
      </c>
      <c r="E1230" s="19">
        <v>0</v>
      </c>
      <c r="F1230" s="20">
        <v>7.8573582999999996</v>
      </c>
      <c r="G1230" s="21">
        <v>959.3634538</v>
      </c>
      <c r="H1230" s="21">
        <v>863.04441989999998</v>
      </c>
      <c r="I1230" s="14" t="s">
        <v>1561</v>
      </c>
      <c r="J1230" s="21">
        <v>518.37363351812678</v>
      </c>
      <c r="K1230" s="21">
        <v>1182.8508727999999</v>
      </c>
      <c r="L1230" s="24">
        <f t="shared" si="38"/>
        <v>1.2329538592644689</v>
      </c>
    </row>
    <row r="1231" spans="1:12" x14ac:dyDescent="0.25">
      <c r="A1231" s="15">
        <f t="shared" si="39"/>
        <v>1226</v>
      </c>
      <c r="B1231" s="17">
        <v>106947</v>
      </c>
      <c r="C1231" s="18" t="s">
        <v>1403</v>
      </c>
      <c r="D1231" s="20" t="s">
        <v>1556</v>
      </c>
      <c r="E1231" s="19">
        <v>0</v>
      </c>
      <c r="F1231" s="20" t="s">
        <v>1556</v>
      </c>
      <c r="G1231" s="21">
        <v>0</v>
      </c>
      <c r="H1231" s="21">
        <v>0</v>
      </c>
      <c r="I1231" s="14" t="s">
        <v>1561</v>
      </c>
      <c r="J1231" s="21">
        <v>0</v>
      </c>
      <c r="K1231" s="21">
        <v>0</v>
      </c>
      <c r="L1231" s="24">
        <f t="shared" si="38"/>
        <v>0</v>
      </c>
    </row>
    <row r="1232" spans="1:12" x14ac:dyDescent="0.25">
      <c r="A1232" s="15">
        <f t="shared" si="39"/>
        <v>1227</v>
      </c>
      <c r="B1232" s="17">
        <v>107096</v>
      </c>
      <c r="C1232" s="18" t="s">
        <v>1404</v>
      </c>
      <c r="D1232" s="20">
        <v>1.4580999999999999E-3</v>
      </c>
      <c r="E1232" s="19">
        <v>0</v>
      </c>
      <c r="F1232" s="20">
        <v>1.4580999999999999E-3</v>
      </c>
      <c r="G1232" s="21">
        <v>0.11999399999999999</v>
      </c>
      <c r="H1232" s="21">
        <v>-2.0007399999999998E-2</v>
      </c>
      <c r="I1232" s="14" t="s">
        <v>1561</v>
      </c>
      <c r="J1232" s="21">
        <v>6.7572427990770609E-2</v>
      </c>
      <c r="K1232" s="21">
        <v>6.4682000000000003E-2</v>
      </c>
      <c r="L1232" s="24">
        <f t="shared" si="38"/>
        <v>0.5390436188476091</v>
      </c>
    </row>
    <row r="1233" spans="1:12" x14ac:dyDescent="0.25">
      <c r="A1233" s="15">
        <f t="shared" si="39"/>
        <v>1228</v>
      </c>
      <c r="B1233" s="17">
        <v>107175</v>
      </c>
      <c r="C1233" s="18" t="s">
        <v>877</v>
      </c>
      <c r="D1233" s="20" t="s">
        <v>1556</v>
      </c>
      <c r="E1233" s="19">
        <v>0</v>
      </c>
      <c r="F1233" s="20" t="s">
        <v>1556</v>
      </c>
      <c r="G1233" s="21">
        <v>0</v>
      </c>
      <c r="H1233" s="21">
        <v>0</v>
      </c>
      <c r="I1233" s="14" t="s">
        <v>1561</v>
      </c>
      <c r="J1233" s="21">
        <v>0</v>
      </c>
      <c r="K1233" s="21">
        <v>0</v>
      </c>
      <c r="L1233" s="24">
        <f t="shared" si="38"/>
        <v>0</v>
      </c>
    </row>
    <row r="1234" spans="1:12" x14ac:dyDescent="0.25">
      <c r="A1234" s="15">
        <f t="shared" si="39"/>
        <v>1229</v>
      </c>
      <c r="B1234" s="17">
        <v>107188</v>
      </c>
      <c r="C1234" s="18" t="s">
        <v>1405</v>
      </c>
      <c r="D1234" s="20" t="s">
        <v>1556</v>
      </c>
      <c r="E1234" s="19">
        <v>0</v>
      </c>
      <c r="F1234" s="20" t="s">
        <v>1556</v>
      </c>
      <c r="G1234" s="21">
        <v>0</v>
      </c>
      <c r="H1234" s="21">
        <v>0</v>
      </c>
      <c r="I1234" s="14" t="s">
        <v>1561</v>
      </c>
      <c r="J1234" s="21">
        <v>0</v>
      </c>
      <c r="K1234" s="21">
        <v>0</v>
      </c>
      <c r="L1234" s="24">
        <f t="shared" si="38"/>
        <v>0</v>
      </c>
    </row>
    <row r="1235" spans="1:12" x14ac:dyDescent="0.25">
      <c r="A1235" s="15">
        <f t="shared" si="39"/>
        <v>1230</v>
      </c>
      <c r="B1235" s="17">
        <v>107264</v>
      </c>
      <c r="C1235" s="18" t="s">
        <v>878</v>
      </c>
      <c r="D1235" s="20" t="s">
        <v>1556</v>
      </c>
      <c r="E1235" s="19">
        <v>0</v>
      </c>
      <c r="F1235" s="20" t="s">
        <v>1556</v>
      </c>
      <c r="G1235" s="21">
        <v>0</v>
      </c>
      <c r="H1235" s="21">
        <v>0</v>
      </c>
      <c r="I1235" s="14" t="s">
        <v>1561</v>
      </c>
      <c r="J1235" s="21">
        <v>0</v>
      </c>
      <c r="K1235" s="21">
        <v>0</v>
      </c>
      <c r="L1235" s="24">
        <f t="shared" si="38"/>
        <v>0</v>
      </c>
    </row>
    <row r="1236" spans="1:12" x14ac:dyDescent="0.25">
      <c r="A1236" s="15">
        <f t="shared" si="39"/>
        <v>1231</v>
      </c>
      <c r="B1236" s="17">
        <v>107329</v>
      </c>
      <c r="C1236" s="18" t="s">
        <v>1406</v>
      </c>
      <c r="D1236" s="20">
        <v>3.6606E-3</v>
      </c>
      <c r="E1236" s="19">
        <v>0</v>
      </c>
      <c r="F1236" s="20">
        <v>3.6606E-3</v>
      </c>
      <c r="G1236" s="21">
        <v>0.46997650000000002</v>
      </c>
      <c r="H1236" s="21">
        <v>0.46997650000000002</v>
      </c>
      <c r="I1236" s="14" t="s">
        <v>1561</v>
      </c>
      <c r="J1236" s="21">
        <v>0.4008067403400537</v>
      </c>
      <c r="K1236" s="21">
        <v>0.85449220000000004</v>
      </c>
      <c r="L1236" s="24">
        <f t="shared" si="38"/>
        <v>1.8181594186092283</v>
      </c>
    </row>
    <row r="1237" spans="1:12" x14ac:dyDescent="0.25">
      <c r="A1237" s="15">
        <f t="shared" si="39"/>
        <v>1232</v>
      </c>
      <c r="B1237" s="17">
        <v>107330</v>
      </c>
      <c r="C1237" s="18" t="s">
        <v>879</v>
      </c>
      <c r="D1237" s="20">
        <v>1.1803835</v>
      </c>
      <c r="E1237" s="19">
        <v>0</v>
      </c>
      <c r="F1237" s="20">
        <v>1.1803835</v>
      </c>
      <c r="G1237" s="21">
        <v>289.16878480000003</v>
      </c>
      <c r="H1237" s="21">
        <v>235.9985973</v>
      </c>
      <c r="I1237" s="14" t="s">
        <v>1561</v>
      </c>
      <c r="J1237" s="21">
        <v>88.865314230031942</v>
      </c>
      <c r="K1237" s="21">
        <v>249.14493429999999</v>
      </c>
      <c r="L1237" s="24">
        <f t="shared" si="38"/>
        <v>0.86159000347260151</v>
      </c>
    </row>
    <row r="1238" spans="1:12" x14ac:dyDescent="0.25">
      <c r="A1238" s="15">
        <f t="shared" si="39"/>
        <v>1233</v>
      </c>
      <c r="B1238" s="17">
        <v>107515</v>
      </c>
      <c r="C1238" s="18" t="s">
        <v>1407</v>
      </c>
      <c r="D1238" s="20" t="s">
        <v>1556</v>
      </c>
      <c r="E1238" s="19">
        <v>0</v>
      </c>
      <c r="F1238" s="20" t="s">
        <v>1556</v>
      </c>
      <c r="G1238" s="21">
        <v>0.9189541</v>
      </c>
      <c r="H1238" s="21">
        <v>0.9189541</v>
      </c>
      <c r="I1238" s="14" t="s">
        <v>1561</v>
      </c>
      <c r="J1238" s="21">
        <v>1.2234095158333333E-2</v>
      </c>
      <c r="K1238" s="21">
        <v>0.9338166</v>
      </c>
      <c r="L1238" s="24">
        <f t="shared" si="38"/>
        <v>1.0161732778601238</v>
      </c>
    </row>
    <row r="1239" spans="1:12" x14ac:dyDescent="0.25">
      <c r="A1239" s="15">
        <f t="shared" si="39"/>
        <v>1234</v>
      </c>
      <c r="B1239" s="17">
        <v>107656</v>
      </c>
      <c r="C1239" s="18" t="s">
        <v>419</v>
      </c>
      <c r="D1239" s="20">
        <v>3.9981799999999998E-2</v>
      </c>
      <c r="E1239" s="19">
        <v>0</v>
      </c>
      <c r="F1239" s="20">
        <v>3.9981799999999998E-2</v>
      </c>
      <c r="G1239" s="21">
        <v>1.9799010000000001</v>
      </c>
      <c r="H1239" s="21">
        <v>1.9799010000000001</v>
      </c>
      <c r="I1239" s="14" t="s">
        <v>1561</v>
      </c>
      <c r="J1239" s="21">
        <v>1.33453924914319</v>
      </c>
      <c r="K1239" s="21">
        <v>2.3951077999999999</v>
      </c>
      <c r="L1239" s="24">
        <f t="shared" si="38"/>
        <v>1.2097108895848832</v>
      </c>
    </row>
    <row r="1240" spans="1:12" x14ac:dyDescent="0.25">
      <c r="A1240" s="15">
        <f t="shared" si="39"/>
        <v>1235</v>
      </c>
      <c r="B1240" s="17">
        <v>107741</v>
      </c>
      <c r="C1240" s="18" t="s">
        <v>880</v>
      </c>
      <c r="D1240" s="20" t="s">
        <v>1556</v>
      </c>
      <c r="E1240" s="19">
        <v>0</v>
      </c>
      <c r="F1240" s="20" t="s">
        <v>1556</v>
      </c>
      <c r="G1240" s="21">
        <v>7.9996</v>
      </c>
      <c r="H1240" s="21">
        <v>-0.14355979999999982</v>
      </c>
      <c r="I1240" s="14" t="s">
        <v>1561</v>
      </c>
      <c r="J1240" s="21">
        <v>0</v>
      </c>
      <c r="K1240" s="21">
        <v>0</v>
      </c>
      <c r="L1240" s="24">
        <f t="shared" si="38"/>
        <v>0</v>
      </c>
    </row>
    <row r="1241" spans="1:12" x14ac:dyDescent="0.25">
      <c r="A1241" s="15">
        <f t="shared" si="39"/>
        <v>1236</v>
      </c>
      <c r="B1241" s="17">
        <v>107778</v>
      </c>
      <c r="C1241" s="18" t="s">
        <v>881</v>
      </c>
      <c r="D1241" s="20" t="s">
        <v>1556</v>
      </c>
      <c r="E1241" s="19">
        <v>0</v>
      </c>
      <c r="F1241" s="20" t="s">
        <v>1556</v>
      </c>
      <c r="G1241" s="21">
        <v>0</v>
      </c>
      <c r="H1241" s="21">
        <v>0</v>
      </c>
      <c r="I1241" s="14" t="s">
        <v>1561</v>
      </c>
      <c r="J1241" s="21">
        <v>0</v>
      </c>
      <c r="K1241" s="21">
        <v>0</v>
      </c>
      <c r="L1241" s="24">
        <f t="shared" si="38"/>
        <v>0</v>
      </c>
    </row>
    <row r="1242" spans="1:12" x14ac:dyDescent="0.25">
      <c r="A1242" s="15">
        <f t="shared" si="39"/>
        <v>1237</v>
      </c>
      <c r="B1242" s="17">
        <v>107820</v>
      </c>
      <c r="C1242" s="18" t="s">
        <v>882</v>
      </c>
      <c r="D1242" s="20" t="s">
        <v>1556</v>
      </c>
      <c r="E1242" s="19">
        <v>0</v>
      </c>
      <c r="F1242" s="20" t="s">
        <v>1556</v>
      </c>
      <c r="G1242" s="21">
        <v>0</v>
      </c>
      <c r="H1242" s="21">
        <v>0</v>
      </c>
      <c r="I1242" s="14" t="s">
        <v>1561</v>
      </c>
      <c r="J1242" s="21">
        <v>0</v>
      </c>
      <c r="K1242" s="21">
        <v>0</v>
      </c>
      <c r="L1242" s="24">
        <f t="shared" si="38"/>
        <v>0</v>
      </c>
    </row>
    <row r="1243" spans="1:12" x14ac:dyDescent="0.25">
      <c r="A1243" s="15">
        <f t="shared" si="39"/>
        <v>1238</v>
      </c>
      <c r="B1243" s="17">
        <v>107883</v>
      </c>
      <c r="C1243" s="18" t="s">
        <v>1408</v>
      </c>
      <c r="D1243" s="20">
        <v>6.2835722000000001</v>
      </c>
      <c r="E1243" s="19">
        <v>0</v>
      </c>
      <c r="F1243" s="20">
        <v>6.2835722000000001</v>
      </c>
      <c r="G1243" s="21">
        <v>1089.8120434</v>
      </c>
      <c r="H1243" s="21">
        <v>432.0064931</v>
      </c>
      <c r="I1243" s="14" t="s">
        <v>1561</v>
      </c>
      <c r="J1243" s="21">
        <v>600.51340773455479</v>
      </c>
      <c r="K1243" s="21">
        <v>900.7619641</v>
      </c>
      <c r="L1243" s="24">
        <f t="shared" si="38"/>
        <v>0.82652964752508995</v>
      </c>
    </row>
    <row r="1244" spans="1:12" x14ac:dyDescent="0.25">
      <c r="A1244" s="15">
        <f t="shared" si="39"/>
        <v>1239</v>
      </c>
      <c r="B1244" s="17">
        <v>107943</v>
      </c>
      <c r="C1244" s="18" t="s">
        <v>883</v>
      </c>
      <c r="D1244" s="20" t="s">
        <v>1556</v>
      </c>
      <c r="E1244" s="19">
        <v>0</v>
      </c>
      <c r="F1244" s="20" t="s">
        <v>1556</v>
      </c>
      <c r="G1244" s="21">
        <v>7.7496124999999996</v>
      </c>
      <c r="H1244" s="21">
        <v>7.7496124999999996</v>
      </c>
      <c r="I1244" s="14" t="s">
        <v>1561</v>
      </c>
      <c r="J1244" s="21">
        <v>1.9066220758706991</v>
      </c>
      <c r="K1244" s="21">
        <v>7.9151507999999993</v>
      </c>
      <c r="L1244" s="24">
        <f t="shared" si="38"/>
        <v>1.0213608486875956</v>
      </c>
    </row>
    <row r="1245" spans="1:12" x14ac:dyDescent="0.25">
      <c r="A1245" s="15">
        <f t="shared" si="39"/>
        <v>1240</v>
      </c>
      <c r="B1245" s="17">
        <v>108031</v>
      </c>
      <c r="C1245" s="18" t="s">
        <v>1409</v>
      </c>
      <c r="D1245" s="20" t="s">
        <v>1556</v>
      </c>
      <c r="E1245" s="19">
        <v>0</v>
      </c>
      <c r="F1245" s="20" t="s">
        <v>1556</v>
      </c>
      <c r="G1245" s="21">
        <v>0</v>
      </c>
      <c r="H1245" s="21">
        <v>0</v>
      </c>
      <c r="I1245" s="14" t="s">
        <v>1561</v>
      </c>
      <c r="J1245" s="21">
        <v>0</v>
      </c>
      <c r="K1245" s="21">
        <v>0</v>
      </c>
      <c r="L1245" s="24">
        <f t="shared" si="38"/>
        <v>0</v>
      </c>
    </row>
    <row r="1246" spans="1:12" x14ac:dyDescent="0.25">
      <c r="A1246" s="15">
        <f t="shared" si="39"/>
        <v>1241</v>
      </c>
      <c r="B1246" s="17">
        <v>108494</v>
      </c>
      <c r="C1246" s="18" t="s">
        <v>884</v>
      </c>
      <c r="D1246" s="20">
        <v>0.1241905</v>
      </c>
      <c r="E1246" s="19">
        <v>0</v>
      </c>
      <c r="F1246" s="20">
        <v>0.1241905</v>
      </c>
      <c r="G1246" s="21">
        <v>15.179241399999999</v>
      </c>
      <c r="H1246" s="21">
        <v>15.179241399999999</v>
      </c>
      <c r="I1246" s="14" t="s">
        <v>1561</v>
      </c>
      <c r="J1246" s="21">
        <v>9.5170973748242815</v>
      </c>
      <c r="K1246" s="21">
        <v>16.8777349</v>
      </c>
      <c r="L1246" s="24">
        <f t="shared" si="38"/>
        <v>1.11189580923326</v>
      </c>
    </row>
    <row r="1247" spans="1:12" x14ac:dyDescent="0.25">
      <c r="A1247" s="15">
        <f t="shared" si="39"/>
        <v>1242</v>
      </c>
      <c r="B1247" s="17">
        <v>108523</v>
      </c>
      <c r="C1247" s="18" t="s">
        <v>1410</v>
      </c>
      <c r="D1247" s="20">
        <v>2.2167300000000001E-2</v>
      </c>
      <c r="E1247" s="19">
        <v>0</v>
      </c>
      <c r="F1247" s="20">
        <v>2.2167300000000001E-2</v>
      </c>
      <c r="G1247" s="21">
        <v>4.3247846999999995</v>
      </c>
      <c r="H1247" s="21">
        <v>4.3247846999999995</v>
      </c>
      <c r="I1247" s="14" t="s">
        <v>1561</v>
      </c>
      <c r="J1247" s="21">
        <v>2.1912912338250901</v>
      </c>
      <c r="K1247" s="21">
        <v>4.8420011000000001</v>
      </c>
      <c r="L1247" s="24">
        <f t="shared" si="38"/>
        <v>1.1195935603453278</v>
      </c>
    </row>
    <row r="1248" spans="1:12" x14ac:dyDescent="0.25">
      <c r="A1248" s="15">
        <f t="shared" si="39"/>
        <v>1243</v>
      </c>
      <c r="B1248" s="17">
        <v>108734</v>
      </c>
      <c r="C1248" s="18" t="s">
        <v>1411</v>
      </c>
      <c r="D1248" s="20" t="s">
        <v>1556</v>
      </c>
      <c r="E1248" s="19">
        <v>0</v>
      </c>
      <c r="F1248" s="20" t="s">
        <v>1556</v>
      </c>
      <c r="G1248" s="21">
        <v>0</v>
      </c>
      <c r="H1248" s="21">
        <v>0</v>
      </c>
      <c r="I1248" s="14" t="s">
        <v>1561</v>
      </c>
      <c r="J1248" s="21">
        <v>0</v>
      </c>
      <c r="K1248" s="21">
        <v>0</v>
      </c>
      <c r="L1248" s="24">
        <f t="shared" si="38"/>
        <v>0</v>
      </c>
    </row>
    <row r="1249" spans="1:12" x14ac:dyDescent="0.25">
      <c r="A1249" s="15">
        <f t="shared" si="39"/>
        <v>1244</v>
      </c>
      <c r="B1249" s="17">
        <v>108913</v>
      </c>
      <c r="C1249" s="18" t="s">
        <v>885</v>
      </c>
      <c r="D1249" s="20">
        <v>1.6001899999999999E-2</v>
      </c>
      <c r="E1249" s="19">
        <v>0</v>
      </c>
      <c r="F1249" s="20">
        <v>1.6001899999999999E-2</v>
      </c>
      <c r="G1249" s="21">
        <v>56.066591699999996</v>
      </c>
      <c r="H1249" s="21">
        <v>45.796987999999999</v>
      </c>
      <c r="I1249" s="14" t="s">
        <v>1561</v>
      </c>
      <c r="J1249" s="21">
        <v>3.2148312519083331</v>
      </c>
      <c r="K1249" s="21">
        <v>46.897123300000004</v>
      </c>
      <c r="L1249" s="24">
        <f t="shared" si="38"/>
        <v>0.83645397157252221</v>
      </c>
    </row>
    <row r="1250" spans="1:12" x14ac:dyDescent="0.25">
      <c r="A1250" s="15">
        <f t="shared" si="39"/>
        <v>1245</v>
      </c>
      <c r="B1250" s="17">
        <v>109318</v>
      </c>
      <c r="C1250" s="18" t="s">
        <v>1412</v>
      </c>
      <c r="D1250" s="20">
        <v>0.31996289999999999</v>
      </c>
      <c r="E1250" s="19">
        <v>0</v>
      </c>
      <c r="F1250" s="20">
        <v>0.31996289999999999</v>
      </c>
      <c r="G1250" s="21">
        <v>168.63046870000002</v>
      </c>
      <c r="H1250" s="21">
        <v>123.14886100000001</v>
      </c>
      <c r="I1250" s="14" t="s">
        <v>1561</v>
      </c>
      <c r="J1250" s="21">
        <v>36.077386765204501</v>
      </c>
      <c r="K1250" s="21">
        <v>128.6539913</v>
      </c>
      <c r="L1250" s="24">
        <f t="shared" si="38"/>
        <v>0.76293443463577337</v>
      </c>
    </row>
    <row r="1251" spans="1:12" x14ac:dyDescent="0.25">
      <c r="A1251" s="15">
        <f t="shared" si="39"/>
        <v>1246</v>
      </c>
      <c r="B1251" s="17">
        <v>109818</v>
      </c>
      <c r="C1251" s="18" t="s">
        <v>474</v>
      </c>
      <c r="D1251" s="20" t="s">
        <v>1556</v>
      </c>
      <c r="E1251" s="19">
        <v>0</v>
      </c>
      <c r="F1251" s="20" t="s">
        <v>1556</v>
      </c>
      <c r="G1251" s="21">
        <v>0.44997749999999997</v>
      </c>
      <c r="H1251" s="21">
        <v>0.44997749999999997</v>
      </c>
      <c r="I1251" s="14" t="s">
        <v>1561</v>
      </c>
      <c r="J1251" s="21">
        <v>0.18438624552500002</v>
      </c>
      <c r="K1251" s="21">
        <v>0.47694739999999997</v>
      </c>
      <c r="L1251" s="24">
        <f t="shared" si="38"/>
        <v>1.0599361079165068</v>
      </c>
    </row>
    <row r="1252" spans="1:12" x14ac:dyDescent="0.25">
      <c r="A1252" s="15">
        <f t="shared" si="39"/>
        <v>1247</v>
      </c>
      <c r="B1252" s="17">
        <v>109893</v>
      </c>
      <c r="C1252" s="18" t="s">
        <v>886</v>
      </c>
      <c r="D1252" s="20" t="s">
        <v>1556</v>
      </c>
      <c r="E1252" s="19">
        <v>0</v>
      </c>
      <c r="F1252" s="20" t="s">
        <v>1556</v>
      </c>
      <c r="G1252" s="21">
        <v>0</v>
      </c>
      <c r="H1252" s="21">
        <v>0</v>
      </c>
      <c r="I1252" s="14" t="s">
        <v>1561</v>
      </c>
      <c r="J1252" s="21">
        <v>0</v>
      </c>
      <c r="K1252" s="21">
        <v>0</v>
      </c>
      <c r="L1252" s="24">
        <f t="shared" si="38"/>
        <v>0</v>
      </c>
    </row>
    <row r="1253" spans="1:12" x14ac:dyDescent="0.25">
      <c r="A1253" s="15">
        <f t="shared" si="39"/>
        <v>1248</v>
      </c>
      <c r="B1253" s="17">
        <v>109950</v>
      </c>
      <c r="C1253" s="18" t="s">
        <v>887</v>
      </c>
      <c r="D1253" s="20">
        <v>0.1469357</v>
      </c>
      <c r="E1253" s="19">
        <v>0</v>
      </c>
      <c r="F1253" s="20">
        <v>0.1469357</v>
      </c>
      <c r="G1253" s="21">
        <v>44.819090599999996</v>
      </c>
      <c r="H1253" s="21">
        <v>22.497737699999995</v>
      </c>
      <c r="I1253" s="14" t="s">
        <v>1561</v>
      </c>
      <c r="J1253" s="21">
        <v>18.674691625891217</v>
      </c>
      <c r="K1253" s="21">
        <v>24.129574599999998</v>
      </c>
      <c r="L1253" s="24">
        <f t="shared" si="38"/>
        <v>0.53837715752313819</v>
      </c>
    </row>
    <row r="1254" spans="1:12" x14ac:dyDescent="0.25">
      <c r="A1254" s="15">
        <f t="shared" si="39"/>
        <v>1249</v>
      </c>
      <c r="B1254" s="17">
        <v>110015</v>
      </c>
      <c r="C1254" s="18" t="s">
        <v>888</v>
      </c>
      <c r="D1254" s="20">
        <v>44.645939400000003</v>
      </c>
      <c r="E1254" s="19">
        <v>0</v>
      </c>
      <c r="F1254" s="20">
        <v>44.645939400000003</v>
      </c>
      <c r="G1254" s="21">
        <v>9913.6149411999995</v>
      </c>
      <c r="H1254" s="21">
        <v>5804.5911035999998</v>
      </c>
      <c r="I1254" s="14" t="s">
        <v>1561</v>
      </c>
      <c r="J1254" s="21">
        <v>3410.9152508298916</v>
      </c>
      <c r="K1254" s="21">
        <v>6281.7104116999999</v>
      </c>
      <c r="L1254" s="24">
        <f t="shared" si="38"/>
        <v>0.63364478537428714</v>
      </c>
    </row>
    <row r="1255" spans="1:12" x14ac:dyDescent="0.25">
      <c r="A1255" s="15">
        <f t="shared" si="39"/>
        <v>1250</v>
      </c>
      <c r="B1255" s="17">
        <v>110027</v>
      </c>
      <c r="C1255" s="18" t="s">
        <v>475</v>
      </c>
      <c r="D1255" s="20" t="s">
        <v>1556</v>
      </c>
      <c r="E1255" s="19">
        <v>0</v>
      </c>
      <c r="F1255" s="20" t="s">
        <v>1556</v>
      </c>
      <c r="G1255" s="21">
        <v>0</v>
      </c>
      <c r="H1255" s="21">
        <v>0</v>
      </c>
      <c r="I1255" s="14" t="s">
        <v>1561</v>
      </c>
      <c r="J1255" s="21">
        <v>0</v>
      </c>
      <c r="K1255" s="21">
        <v>0</v>
      </c>
      <c r="L1255" s="24">
        <f t="shared" si="38"/>
        <v>0</v>
      </c>
    </row>
    <row r="1256" spans="1:12" x14ac:dyDescent="0.25">
      <c r="A1256" s="15">
        <f t="shared" si="39"/>
        <v>1251</v>
      </c>
      <c r="B1256" s="17">
        <v>110136</v>
      </c>
      <c r="C1256" s="18" t="s">
        <v>476</v>
      </c>
      <c r="D1256" s="20" t="s">
        <v>1556</v>
      </c>
      <c r="E1256" s="19">
        <v>0</v>
      </c>
      <c r="F1256" s="20" t="s">
        <v>1556</v>
      </c>
      <c r="G1256" s="21">
        <v>63.796810099999995</v>
      </c>
      <c r="H1256" s="21">
        <v>63.796810099999995</v>
      </c>
      <c r="I1256" s="14" t="s">
        <v>1561</v>
      </c>
      <c r="J1256" s="21">
        <v>15.003681420431185</v>
      </c>
      <c r="K1256" s="21">
        <v>65.589429800000005</v>
      </c>
      <c r="L1256" s="24">
        <f t="shared" si="38"/>
        <v>1.0280988923613912</v>
      </c>
    </row>
    <row r="1257" spans="1:12" x14ac:dyDescent="0.25">
      <c r="A1257" s="15">
        <f t="shared" si="39"/>
        <v>1252</v>
      </c>
      <c r="B1257" s="17">
        <v>110282</v>
      </c>
      <c r="C1257" s="18" t="s">
        <v>889</v>
      </c>
      <c r="D1257" s="20">
        <v>1.4731500000000002E-2</v>
      </c>
      <c r="E1257" s="19">
        <v>0</v>
      </c>
      <c r="F1257" s="20">
        <v>1.4731500000000002E-2</v>
      </c>
      <c r="G1257" s="21">
        <v>14.145262499999999</v>
      </c>
      <c r="H1257" s="21">
        <v>11.145262499999999</v>
      </c>
      <c r="I1257" s="14" t="s">
        <v>1561</v>
      </c>
      <c r="J1257" s="21">
        <v>2.8321581120974915</v>
      </c>
      <c r="K1257" s="21">
        <v>11.548513700000001</v>
      </c>
      <c r="L1257" s="24">
        <f t="shared" si="38"/>
        <v>0.81642272103469282</v>
      </c>
    </row>
    <row r="1258" spans="1:12" x14ac:dyDescent="0.25">
      <c r="A1258" s="15">
        <f t="shared" si="39"/>
        <v>1253</v>
      </c>
      <c r="B1258" s="17">
        <v>110284</v>
      </c>
      <c r="C1258" s="18" t="s">
        <v>420</v>
      </c>
      <c r="D1258" s="20">
        <v>7.3251000000000002E-3</v>
      </c>
      <c r="E1258" s="19">
        <v>0</v>
      </c>
      <c r="F1258" s="20">
        <v>7.3251000000000002E-3</v>
      </c>
      <c r="G1258" s="21">
        <v>2.9998499999999999</v>
      </c>
      <c r="H1258" s="21">
        <v>2.9998499999999999</v>
      </c>
      <c r="I1258" s="14" t="s">
        <v>1561</v>
      </c>
      <c r="J1258" s="21">
        <v>0.98542181366290327</v>
      </c>
      <c r="K1258" s="21">
        <v>3.0785040000000001</v>
      </c>
      <c r="L1258" s="24">
        <f t="shared" si="38"/>
        <v>1.0262193109655484</v>
      </c>
    </row>
    <row r="1259" spans="1:12" x14ac:dyDescent="0.25">
      <c r="A1259" s="15">
        <f t="shared" si="39"/>
        <v>1254</v>
      </c>
      <c r="B1259" s="17">
        <v>110370</v>
      </c>
      <c r="C1259" s="18" t="s">
        <v>1413</v>
      </c>
      <c r="D1259" s="20" t="s">
        <v>1556</v>
      </c>
      <c r="E1259" s="19">
        <v>0</v>
      </c>
      <c r="F1259" s="20" t="s">
        <v>1556</v>
      </c>
      <c r="G1259" s="21">
        <v>0</v>
      </c>
      <c r="H1259" s="21">
        <v>0</v>
      </c>
      <c r="I1259" s="14" t="s">
        <v>1561</v>
      </c>
      <c r="J1259" s="21">
        <v>0</v>
      </c>
      <c r="K1259" s="21">
        <v>0</v>
      </c>
      <c r="L1259" s="24">
        <f t="shared" si="38"/>
        <v>0</v>
      </c>
    </row>
    <row r="1260" spans="1:12" x14ac:dyDescent="0.25">
      <c r="A1260" s="15">
        <f t="shared" si="39"/>
        <v>1255</v>
      </c>
      <c r="B1260" s="17">
        <v>110384</v>
      </c>
      <c r="C1260" s="18" t="s">
        <v>890</v>
      </c>
      <c r="D1260" s="20">
        <v>7.3702299999999998E-2</v>
      </c>
      <c r="E1260" s="19">
        <v>0</v>
      </c>
      <c r="F1260" s="20">
        <v>7.3702299999999998E-2</v>
      </c>
      <c r="G1260" s="21">
        <v>8.7820745999999996</v>
      </c>
      <c r="H1260" s="21">
        <v>7.8726403000000005</v>
      </c>
      <c r="I1260" s="14" t="s">
        <v>1561</v>
      </c>
      <c r="J1260" s="21">
        <v>3.7476577841470435</v>
      </c>
      <c r="K1260" s="21">
        <v>8.5159898999999992</v>
      </c>
      <c r="L1260" s="24">
        <f t="shared" si="38"/>
        <v>0.96970138468192923</v>
      </c>
    </row>
    <row r="1261" spans="1:12" x14ac:dyDescent="0.25">
      <c r="A1261" s="15">
        <f t="shared" si="39"/>
        <v>1256</v>
      </c>
      <c r="B1261" s="17">
        <v>110561</v>
      </c>
      <c r="C1261" s="18" t="s">
        <v>891</v>
      </c>
      <c r="D1261" s="20" t="s">
        <v>1556</v>
      </c>
      <c r="E1261" s="19">
        <v>0</v>
      </c>
      <c r="F1261" s="20" t="s">
        <v>1556</v>
      </c>
      <c r="G1261" s="21">
        <v>0.31998399999999999</v>
      </c>
      <c r="H1261" s="21">
        <v>0.31998399999999999</v>
      </c>
      <c r="I1261" s="14" t="s">
        <v>1561</v>
      </c>
      <c r="J1261" s="21">
        <v>0.29592973036720427</v>
      </c>
      <c r="K1261" s="21">
        <v>0.40438800000000003</v>
      </c>
      <c r="L1261" s="24">
        <f t="shared" si="38"/>
        <v>1.2637756887844394</v>
      </c>
    </row>
    <row r="1262" spans="1:12" x14ac:dyDescent="0.25">
      <c r="A1262" s="15">
        <f t="shared" si="39"/>
        <v>1257</v>
      </c>
      <c r="B1262" s="17">
        <v>110706</v>
      </c>
      <c r="C1262" s="18" t="s">
        <v>477</v>
      </c>
      <c r="D1262" s="20" t="s">
        <v>1556</v>
      </c>
      <c r="E1262" s="19">
        <v>0</v>
      </c>
      <c r="F1262" s="20" t="s">
        <v>1556</v>
      </c>
      <c r="G1262" s="21">
        <v>0</v>
      </c>
      <c r="H1262" s="21">
        <v>0</v>
      </c>
      <c r="I1262" s="14" t="s">
        <v>1561</v>
      </c>
      <c r="J1262" s="21">
        <v>0</v>
      </c>
      <c r="K1262" s="21">
        <v>0</v>
      </c>
      <c r="L1262" s="24">
        <f t="shared" si="38"/>
        <v>0</v>
      </c>
    </row>
    <row r="1263" spans="1:12" x14ac:dyDescent="0.25">
      <c r="A1263" s="15">
        <f t="shared" si="39"/>
        <v>1258</v>
      </c>
      <c r="B1263" s="17">
        <v>110756</v>
      </c>
      <c r="C1263" s="18" t="s">
        <v>1414</v>
      </c>
      <c r="D1263" s="20" t="s">
        <v>1556</v>
      </c>
      <c r="E1263" s="19">
        <v>0</v>
      </c>
      <c r="F1263" s="20" t="s">
        <v>1556</v>
      </c>
      <c r="G1263" s="21">
        <v>1.9998999999999999E-2</v>
      </c>
      <c r="H1263" s="21">
        <v>1.9998999999999999E-2</v>
      </c>
      <c r="I1263" s="14" t="s">
        <v>1561</v>
      </c>
      <c r="J1263" s="21">
        <v>5.4720914166666668E-4</v>
      </c>
      <c r="K1263" s="21">
        <v>2.0785599999999998E-2</v>
      </c>
      <c r="L1263" s="24">
        <f t="shared" si="38"/>
        <v>1.0393319665983298</v>
      </c>
    </row>
    <row r="1264" spans="1:12" x14ac:dyDescent="0.25">
      <c r="A1264" s="15">
        <f t="shared" si="39"/>
        <v>1259</v>
      </c>
      <c r="B1264" s="17">
        <v>110788</v>
      </c>
      <c r="C1264" s="18" t="s">
        <v>1415</v>
      </c>
      <c r="D1264" s="20">
        <v>7.3853999999999994E-3</v>
      </c>
      <c r="E1264" s="19">
        <v>0</v>
      </c>
      <c r="F1264" s="20">
        <v>7.3853999999999994E-3</v>
      </c>
      <c r="G1264" s="21">
        <v>0.69996520000000007</v>
      </c>
      <c r="H1264" s="21">
        <v>9.9965200000000046E-2</v>
      </c>
      <c r="I1264" s="14" t="s">
        <v>1561</v>
      </c>
      <c r="J1264" s="21">
        <v>0.87599260006003565</v>
      </c>
      <c r="K1264" s="21">
        <v>1.0101244</v>
      </c>
      <c r="L1264" s="24">
        <f t="shared" si="38"/>
        <v>1.4431066001566935</v>
      </c>
    </row>
    <row r="1265" spans="1:12" x14ac:dyDescent="0.25">
      <c r="A1265" s="15">
        <f t="shared" si="39"/>
        <v>1260</v>
      </c>
      <c r="B1265" s="17">
        <v>110828</v>
      </c>
      <c r="C1265" s="18" t="s">
        <v>1416</v>
      </c>
      <c r="D1265" s="20">
        <v>1.4888999999999998E-3</v>
      </c>
      <c r="E1265" s="19">
        <v>0</v>
      </c>
      <c r="F1265" s="20">
        <v>1.4888999999999998E-3</v>
      </c>
      <c r="G1265" s="21">
        <v>10.0244991</v>
      </c>
      <c r="H1265" s="21">
        <v>10.0244991</v>
      </c>
      <c r="I1265" s="14" t="s">
        <v>1561</v>
      </c>
      <c r="J1265" s="21">
        <v>0.36992088757974911</v>
      </c>
      <c r="K1265" s="21">
        <v>10.3912002</v>
      </c>
      <c r="L1265" s="24">
        <f t="shared" si="38"/>
        <v>1.0365804910890759</v>
      </c>
    </row>
    <row r="1266" spans="1:12" x14ac:dyDescent="0.25">
      <c r="A1266" s="15">
        <f t="shared" si="39"/>
        <v>1261</v>
      </c>
      <c r="B1266" s="17">
        <v>110947</v>
      </c>
      <c r="C1266" s="18" t="s">
        <v>892</v>
      </c>
      <c r="D1266" s="20" t="s">
        <v>1556</v>
      </c>
      <c r="E1266" s="19">
        <v>0</v>
      </c>
      <c r="F1266" s="20" t="s">
        <v>1556</v>
      </c>
      <c r="G1266" s="21">
        <v>0</v>
      </c>
      <c r="H1266" s="21">
        <v>0</v>
      </c>
      <c r="I1266" s="14" t="s">
        <v>1561</v>
      </c>
      <c r="J1266" s="21">
        <v>0</v>
      </c>
      <c r="K1266" s="21">
        <v>0</v>
      </c>
      <c r="L1266" s="24">
        <f t="shared" si="38"/>
        <v>0</v>
      </c>
    </row>
    <row r="1267" spans="1:12" x14ac:dyDescent="0.25">
      <c r="A1267" s="15">
        <f t="shared" si="39"/>
        <v>1262</v>
      </c>
      <c r="B1267" s="17">
        <v>110963</v>
      </c>
      <c r="C1267" s="18" t="s">
        <v>893</v>
      </c>
      <c r="D1267" s="20" t="s">
        <v>1556</v>
      </c>
      <c r="E1267" s="19">
        <v>0</v>
      </c>
      <c r="F1267" s="20" t="s">
        <v>1556</v>
      </c>
      <c r="G1267" s="21">
        <v>0</v>
      </c>
      <c r="H1267" s="21">
        <v>0</v>
      </c>
      <c r="I1267" s="14" t="s">
        <v>1561</v>
      </c>
      <c r="J1267" s="21">
        <v>0</v>
      </c>
      <c r="K1267" s="21">
        <v>0</v>
      </c>
      <c r="L1267" s="24">
        <f t="shared" si="38"/>
        <v>0</v>
      </c>
    </row>
    <row r="1268" spans="1:12" x14ac:dyDescent="0.25">
      <c r="A1268" s="15">
        <f t="shared" si="39"/>
        <v>1263</v>
      </c>
      <c r="B1268" s="17">
        <v>110989</v>
      </c>
      <c r="C1268" s="18" t="s">
        <v>894</v>
      </c>
      <c r="D1268" s="20" t="s">
        <v>1556</v>
      </c>
      <c r="E1268" s="19">
        <v>0</v>
      </c>
      <c r="F1268" s="20" t="s">
        <v>1556</v>
      </c>
      <c r="G1268" s="21">
        <v>1.49993E-2</v>
      </c>
      <c r="H1268" s="21">
        <v>1.49993E-2</v>
      </c>
      <c r="I1268" s="14" t="s">
        <v>1561</v>
      </c>
      <c r="J1268" s="21">
        <v>9.5149596666666654E-4</v>
      </c>
      <c r="K1268" s="21">
        <v>1.5630599999999998E-2</v>
      </c>
      <c r="L1268" s="24">
        <f t="shared" si="38"/>
        <v>1.0420886308027706</v>
      </c>
    </row>
    <row r="1269" spans="1:12" x14ac:dyDescent="0.25">
      <c r="A1269" s="15">
        <f t="shared" si="39"/>
        <v>1264</v>
      </c>
      <c r="B1269" s="17">
        <v>111054</v>
      </c>
      <c r="C1269" s="18" t="s">
        <v>1417</v>
      </c>
      <c r="D1269" s="20">
        <v>0.2428051</v>
      </c>
      <c r="E1269" s="19">
        <v>0</v>
      </c>
      <c r="F1269" s="20">
        <v>0.2428051</v>
      </c>
      <c r="G1269" s="21">
        <v>63.544603499999994</v>
      </c>
      <c r="H1269" s="21">
        <v>36.607498999999997</v>
      </c>
      <c r="I1269" s="14" t="s">
        <v>1561</v>
      </c>
      <c r="J1269" s="21">
        <v>30.011438281457718</v>
      </c>
      <c r="K1269" s="21">
        <v>44.526848000000001</v>
      </c>
      <c r="L1269" s="24">
        <f t="shared" si="38"/>
        <v>0.7007180082569876</v>
      </c>
    </row>
    <row r="1270" spans="1:12" x14ac:dyDescent="0.25">
      <c r="A1270" s="15">
        <f t="shared" si="39"/>
        <v>1265</v>
      </c>
      <c r="B1270" s="17">
        <v>111233</v>
      </c>
      <c r="C1270" s="18" t="s">
        <v>895</v>
      </c>
      <c r="D1270" s="20">
        <v>0.369724</v>
      </c>
      <c r="E1270" s="19">
        <v>0</v>
      </c>
      <c r="F1270" s="20">
        <v>0.369724</v>
      </c>
      <c r="G1270" s="21">
        <v>225.73594559999998</v>
      </c>
      <c r="H1270" s="21">
        <v>105.99235749999998</v>
      </c>
      <c r="I1270" s="14" t="s">
        <v>1561</v>
      </c>
      <c r="J1270" s="21">
        <v>34.894138564856995</v>
      </c>
      <c r="K1270" s="21">
        <v>111.2570916</v>
      </c>
      <c r="L1270" s="24">
        <f t="shared" si="38"/>
        <v>0.49286386935089882</v>
      </c>
    </row>
    <row r="1271" spans="1:12" x14ac:dyDescent="0.25">
      <c r="A1271" s="15">
        <f t="shared" si="39"/>
        <v>1266</v>
      </c>
      <c r="B1271" s="17">
        <v>111569</v>
      </c>
      <c r="C1271" s="18" t="s">
        <v>896</v>
      </c>
      <c r="D1271" s="20">
        <v>11.157458200000001</v>
      </c>
      <c r="E1271" s="19">
        <v>0</v>
      </c>
      <c r="F1271" s="20">
        <v>11.157458200000001</v>
      </c>
      <c r="G1271" s="21">
        <v>3020.0705456000001</v>
      </c>
      <c r="H1271" s="21">
        <v>2836.0521677999996</v>
      </c>
      <c r="I1271" s="14" t="s">
        <v>1561</v>
      </c>
      <c r="J1271" s="21">
        <v>1053.7189939422597</v>
      </c>
      <c r="K1271" s="21">
        <v>2978.4736213000001</v>
      </c>
      <c r="L1271" s="24">
        <f t="shared" si="38"/>
        <v>0.98622650574815107</v>
      </c>
    </row>
    <row r="1272" spans="1:12" x14ac:dyDescent="0.25">
      <c r="A1272" s="15">
        <f t="shared" si="39"/>
        <v>1267</v>
      </c>
      <c r="B1272" s="17">
        <v>111609</v>
      </c>
      <c r="C1272" s="18" t="s">
        <v>1418</v>
      </c>
      <c r="D1272" s="20" t="s">
        <v>1556</v>
      </c>
      <c r="E1272" s="19">
        <v>0</v>
      </c>
      <c r="F1272" s="20" t="s">
        <v>1556</v>
      </c>
      <c r="G1272" s="21">
        <v>0</v>
      </c>
      <c r="H1272" s="21">
        <v>0</v>
      </c>
      <c r="I1272" s="14" t="s">
        <v>1561</v>
      </c>
      <c r="J1272" s="21">
        <v>0</v>
      </c>
      <c r="K1272" s="21">
        <v>0</v>
      </c>
      <c r="L1272" s="24">
        <f t="shared" si="38"/>
        <v>0</v>
      </c>
    </row>
    <row r="1273" spans="1:12" x14ac:dyDescent="0.25">
      <c r="A1273" s="15">
        <f t="shared" si="39"/>
        <v>1268</v>
      </c>
      <c r="B1273" s="17">
        <v>111727</v>
      </c>
      <c r="C1273" s="18" t="s">
        <v>897</v>
      </c>
      <c r="D1273" s="20" t="s">
        <v>1556</v>
      </c>
      <c r="E1273" s="19">
        <v>0</v>
      </c>
      <c r="F1273" s="20" t="s">
        <v>1556</v>
      </c>
      <c r="G1273" s="21">
        <v>0</v>
      </c>
      <c r="H1273" s="21">
        <v>0</v>
      </c>
      <c r="I1273" s="14" t="s">
        <v>1561</v>
      </c>
      <c r="J1273" s="21">
        <v>0</v>
      </c>
      <c r="K1273" s="21">
        <v>0</v>
      </c>
      <c r="L1273" s="24">
        <f t="shared" si="38"/>
        <v>0</v>
      </c>
    </row>
    <row r="1274" spans="1:12" x14ac:dyDescent="0.25">
      <c r="A1274" s="15">
        <f t="shared" si="39"/>
        <v>1269</v>
      </c>
      <c r="B1274" s="17">
        <v>111778</v>
      </c>
      <c r="C1274" s="18" t="s">
        <v>1419</v>
      </c>
      <c r="D1274" s="20">
        <v>3.1742000000000003E-3</v>
      </c>
      <c r="E1274" s="19">
        <v>0</v>
      </c>
      <c r="F1274" s="20">
        <v>3.1742000000000003E-3</v>
      </c>
      <c r="G1274" s="21">
        <v>4.3497824999999999</v>
      </c>
      <c r="H1274" s="21">
        <v>4.3497824999999999</v>
      </c>
      <c r="I1274" s="14" t="s">
        <v>1561</v>
      </c>
      <c r="J1274" s="21">
        <v>0.5794512173282258</v>
      </c>
      <c r="K1274" s="21">
        <v>4.4368394000000002</v>
      </c>
      <c r="L1274" s="24">
        <f t="shared" si="38"/>
        <v>1.0200140811638283</v>
      </c>
    </row>
    <row r="1275" spans="1:12" x14ac:dyDescent="0.25">
      <c r="A1275" s="15">
        <f t="shared" si="39"/>
        <v>1270</v>
      </c>
      <c r="B1275" s="17">
        <v>111970</v>
      </c>
      <c r="C1275" s="18" t="s">
        <v>1420</v>
      </c>
      <c r="D1275" s="20" t="s">
        <v>1556</v>
      </c>
      <c r="E1275" s="19">
        <v>0</v>
      </c>
      <c r="F1275" s="20" t="s">
        <v>1556</v>
      </c>
      <c r="G1275" s="21">
        <v>0</v>
      </c>
      <c r="H1275" s="21">
        <v>0</v>
      </c>
      <c r="I1275" s="14" t="s">
        <v>1561</v>
      </c>
      <c r="J1275" s="21">
        <v>0</v>
      </c>
      <c r="K1275" s="21">
        <v>0</v>
      </c>
      <c r="L1275" s="24">
        <f t="shared" si="38"/>
        <v>0</v>
      </c>
    </row>
    <row r="1276" spans="1:12" x14ac:dyDescent="0.25">
      <c r="A1276" s="15">
        <f t="shared" si="39"/>
        <v>1271</v>
      </c>
      <c r="B1276" s="17">
        <v>112164</v>
      </c>
      <c r="C1276" s="18" t="s">
        <v>1421</v>
      </c>
      <c r="D1276" s="20">
        <v>9.6386900000000011E-2</v>
      </c>
      <c r="E1276" s="19">
        <v>0</v>
      </c>
      <c r="F1276" s="20">
        <v>9.6386900000000011E-2</v>
      </c>
      <c r="G1276" s="21">
        <v>29.9779011</v>
      </c>
      <c r="H1276" s="21">
        <v>18.968460199999999</v>
      </c>
      <c r="I1276" s="14" t="s">
        <v>1561</v>
      </c>
      <c r="J1276" s="21">
        <v>11.562275203659858</v>
      </c>
      <c r="K1276" s="21">
        <v>20.459243100000002</v>
      </c>
      <c r="L1276" s="24">
        <f t="shared" si="38"/>
        <v>0.68247750340333202</v>
      </c>
    </row>
    <row r="1277" spans="1:12" x14ac:dyDescent="0.25">
      <c r="A1277" s="15">
        <f t="shared" si="39"/>
        <v>1272</v>
      </c>
      <c r="B1277" s="17">
        <v>112185</v>
      </c>
      <c r="C1277" s="18" t="s">
        <v>1422</v>
      </c>
      <c r="D1277" s="20" t="s">
        <v>1556</v>
      </c>
      <c r="E1277" s="19">
        <v>0</v>
      </c>
      <c r="F1277" s="20" t="s">
        <v>1556</v>
      </c>
      <c r="G1277" s="21">
        <v>0</v>
      </c>
      <c r="H1277" s="21">
        <v>0</v>
      </c>
      <c r="I1277" s="14" t="s">
        <v>1561</v>
      </c>
      <c r="J1277" s="21">
        <v>0</v>
      </c>
      <c r="K1277" s="21">
        <v>0</v>
      </c>
      <c r="L1277" s="24">
        <f t="shared" si="38"/>
        <v>0</v>
      </c>
    </row>
    <row r="1278" spans="1:12" x14ac:dyDescent="0.25">
      <c r="A1278" s="15">
        <f t="shared" si="39"/>
        <v>1273</v>
      </c>
      <c r="B1278" s="17">
        <v>112270</v>
      </c>
      <c r="C1278" s="18" t="s">
        <v>898</v>
      </c>
      <c r="D1278" s="20" t="s">
        <v>1556</v>
      </c>
      <c r="E1278" s="19">
        <v>0</v>
      </c>
      <c r="F1278" s="20" t="s">
        <v>1556</v>
      </c>
      <c r="G1278" s="21">
        <v>0</v>
      </c>
      <c r="H1278" s="21">
        <v>0</v>
      </c>
      <c r="I1278" s="14" t="s">
        <v>1561</v>
      </c>
      <c r="J1278" s="21">
        <v>0</v>
      </c>
      <c r="K1278" s="21">
        <v>0</v>
      </c>
      <c r="L1278" s="24">
        <f t="shared" si="38"/>
        <v>0</v>
      </c>
    </row>
    <row r="1279" spans="1:12" x14ac:dyDescent="0.25">
      <c r="A1279" s="15">
        <f t="shared" si="39"/>
        <v>1274</v>
      </c>
      <c r="B1279" s="17">
        <v>112333</v>
      </c>
      <c r="C1279" s="18" t="s">
        <v>899</v>
      </c>
      <c r="D1279" s="20">
        <v>3.5701804999999998</v>
      </c>
      <c r="E1279" s="19">
        <v>0</v>
      </c>
      <c r="F1279" s="20">
        <v>3.5701804999999998</v>
      </c>
      <c r="G1279" s="21">
        <v>731.47043080000003</v>
      </c>
      <c r="H1279" s="21">
        <v>446.96506829999998</v>
      </c>
      <c r="I1279" s="14" t="s">
        <v>1561</v>
      </c>
      <c r="J1279" s="21">
        <v>284.74687414709928</v>
      </c>
      <c r="K1279" s="21">
        <v>483.07635640000001</v>
      </c>
      <c r="L1279" s="24">
        <f t="shared" si="38"/>
        <v>0.66041816054227298</v>
      </c>
    </row>
    <row r="1280" spans="1:12" x14ac:dyDescent="0.25">
      <c r="A1280" s="15">
        <f t="shared" si="39"/>
        <v>1275</v>
      </c>
      <c r="B1280" s="17">
        <v>112337</v>
      </c>
      <c r="C1280" s="18" t="s">
        <v>1423</v>
      </c>
      <c r="D1280" s="20">
        <v>0.32182700000000003</v>
      </c>
      <c r="E1280" s="19">
        <v>0</v>
      </c>
      <c r="F1280" s="20">
        <v>0.32182700000000003</v>
      </c>
      <c r="G1280" s="21">
        <v>502.8794226</v>
      </c>
      <c r="H1280" s="21">
        <v>345.82727009999996</v>
      </c>
      <c r="I1280" s="14" t="s">
        <v>1561</v>
      </c>
      <c r="J1280" s="21">
        <v>58.90496070595951</v>
      </c>
      <c r="K1280" s="21">
        <v>351.25195200000002</v>
      </c>
      <c r="L1280" s="24">
        <f t="shared" si="38"/>
        <v>0.69848145741169565</v>
      </c>
    </row>
    <row r="1281" spans="1:12" x14ac:dyDescent="0.25">
      <c r="A1281" s="15">
        <f t="shared" si="39"/>
        <v>1276</v>
      </c>
      <c r="B1281" s="17">
        <v>112379</v>
      </c>
      <c r="C1281" s="18" t="s">
        <v>900</v>
      </c>
      <c r="D1281" s="20" t="s">
        <v>1556</v>
      </c>
      <c r="E1281" s="19">
        <v>0</v>
      </c>
      <c r="F1281" s="20" t="s">
        <v>1556</v>
      </c>
      <c r="G1281" s="21">
        <v>0</v>
      </c>
      <c r="H1281" s="21">
        <v>0</v>
      </c>
      <c r="I1281" s="14" t="s">
        <v>1561</v>
      </c>
      <c r="J1281" s="21">
        <v>0</v>
      </c>
      <c r="K1281" s="21">
        <v>0</v>
      </c>
      <c r="L1281" s="24">
        <f t="shared" si="38"/>
        <v>0</v>
      </c>
    </row>
    <row r="1282" spans="1:12" x14ac:dyDescent="0.25">
      <c r="A1282" s="15">
        <f t="shared" si="39"/>
        <v>1277</v>
      </c>
      <c r="B1282" s="17">
        <v>112475</v>
      </c>
      <c r="C1282" s="18" t="s">
        <v>901</v>
      </c>
      <c r="D1282" s="20" t="s">
        <v>1556</v>
      </c>
      <c r="E1282" s="19">
        <v>0</v>
      </c>
      <c r="F1282" s="20" t="s">
        <v>1556</v>
      </c>
      <c r="G1282" s="21">
        <v>0</v>
      </c>
      <c r="H1282" s="21">
        <v>0</v>
      </c>
      <c r="I1282" s="14" t="s">
        <v>1561</v>
      </c>
      <c r="J1282" s="21">
        <v>0</v>
      </c>
      <c r="K1282" s="21">
        <v>0</v>
      </c>
      <c r="L1282" s="24">
        <f t="shared" si="38"/>
        <v>0</v>
      </c>
    </row>
    <row r="1283" spans="1:12" x14ac:dyDescent="0.25">
      <c r="A1283" s="15">
        <f t="shared" si="39"/>
        <v>1278</v>
      </c>
      <c r="B1283" s="17">
        <v>112531</v>
      </c>
      <c r="C1283" s="18" t="s">
        <v>1424</v>
      </c>
      <c r="D1283" s="20" t="s">
        <v>1556</v>
      </c>
      <c r="E1283" s="19">
        <v>0</v>
      </c>
      <c r="F1283" s="20" t="s">
        <v>1556</v>
      </c>
      <c r="G1283" s="21">
        <v>4.99975E-2</v>
      </c>
      <c r="H1283" s="21">
        <v>4.99975E-2</v>
      </c>
      <c r="I1283" s="14" t="s">
        <v>1561</v>
      </c>
      <c r="J1283" s="21">
        <v>3.5240356094802867E-2</v>
      </c>
      <c r="K1283" s="21">
        <v>5.2213999999999997E-2</v>
      </c>
      <c r="L1283" s="24">
        <f t="shared" si="38"/>
        <v>1.0443322166108304</v>
      </c>
    </row>
    <row r="1284" spans="1:12" x14ac:dyDescent="0.25">
      <c r="A1284" s="15">
        <f t="shared" si="39"/>
        <v>1279</v>
      </c>
      <c r="B1284" s="17">
        <v>112553</v>
      </c>
      <c r="C1284" s="18" t="s">
        <v>1425</v>
      </c>
      <c r="D1284" s="20" t="s">
        <v>1556</v>
      </c>
      <c r="E1284" s="19">
        <v>0</v>
      </c>
      <c r="F1284" s="20" t="s">
        <v>1556</v>
      </c>
      <c r="G1284" s="21">
        <v>0</v>
      </c>
      <c r="H1284" s="21">
        <v>0</v>
      </c>
      <c r="I1284" s="14" t="s">
        <v>1561</v>
      </c>
      <c r="J1284" s="21">
        <v>0</v>
      </c>
      <c r="K1284" s="21">
        <v>0</v>
      </c>
      <c r="L1284" s="24">
        <f t="shared" si="38"/>
        <v>0</v>
      </c>
    </row>
    <row r="1285" spans="1:12" x14ac:dyDescent="0.25">
      <c r="A1285" s="15">
        <f t="shared" si="39"/>
        <v>1280</v>
      </c>
      <c r="B1285" s="17">
        <v>112583</v>
      </c>
      <c r="C1285" s="18" t="s">
        <v>1426</v>
      </c>
      <c r="D1285" s="20" t="s">
        <v>1556</v>
      </c>
      <c r="E1285" s="19">
        <v>0</v>
      </c>
      <c r="F1285" s="20" t="s">
        <v>1556</v>
      </c>
      <c r="G1285" s="21">
        <v>0</v>
      </c>
      <c r="H1285" s="21">
        <v>0</v>
      </c>
      <c r="I1285" s="14" t="s">
        <v>1561</v>
      </c>
      <c r="J1285" s="21">
        <v>0</v>
      </c>
      <c r="K1285" s="21">
        <v>0</v>
      </c>
      <c r="L1285" s="24">
        <f t="shared" si="38"/>
        <v>0</v>
      </c>
    </row>
    <row r="1286" spans="1:12" x14ac:dyDescent="0.25">
      <c r="A1286" s="15">
        <f t="shared" si="39"/>
        <v>1281</v>
      </c>
      <c r="B1286" s="17">
        <v>112705</v>
      </c>
      <c r="C1286" s="18" t="s">
        <v>902</v>
      </c>
      <c r="D1286" s="20" t="s">
        <v>1556</v>
      </c>
      <c r="E1286" s="19">
        <v>0</v>
      </c>
      <c r="F1286" s="20" t="s">
        <v>1556</v>
      </c>
      <c r="G1286" s="21">
        <v>0</v>
      </c>
      <c r="H1286" s="21">
        <v>0</v>
      </c>
      <c r="I1286" s="14" t="s">
        <v>1561</v>
      </c>
      <c r="J1286" s="21">
        <v>0</v>
      </c>
      <c r="K1286" s="21">
        <v>0</v>
      </c>
      <c r="L1286" s="24">
        <f t="shared" si="38"/>
        <v>0</v>
      </c>
    </row>
    <row r="1287" spans="1:12" x14ac:dyDescent="0.25">
      <c r="A1287" s="15">
        <f t="shared" si="39"/>
        <v>1282</v>
      </c>
      <c r="B1287" s="17">
        <v>112714</v>
      </c>
      <c r="C1287" s="18" t="s">
        <v>903</v>
      </c>
      <c r="D1287" s="20" t="s">
        <v>1556</v>
      </c>
      <c r="E1287" s="19">
        <v>0</v>
      </c>
      <c r="F1287" s="20" t="s">
        <v>1556</v>
      </c>
      <c r="G1287" s="21">
        <v>0</v>
      </c>
      <c r="H1287" s="21">
        <v>0</v>
      </c>
      <c r="I1287" s="14" t="s">
        <v>1561</v>
      </c>
      <c r="J1287" s="21">
        <v>0</v>
      </c>
      <c r="K1287" s="21">
        <v>0</v>
      </c>
      <c r="L1287" s="24">
        <f t="shared" ref="L1287:L1350" si="40">+IFERROR(K1287/G1287,0)</f>
        <v>0</v>
      </c>
    </row>
    <row r="1288" spans="1:12" x14ac:dyDescent="0.25">
      <c r="A1288" s="15">
        <f t="shared" ref="A1288:A1351" si="41">A1287+1</f>
        <v>1283</v>
      </c>
      <c r="B1288" s="17">
        <v>112717</v>
      </c>
      <c r="C1288" s="18" t="s">
        <v>904</v>
      </c>
      <c r="D1288" s="20" t="s">
        <v>1556</v>
      </c>
      <c r="E1288" s="19">
        <v>0</v>
      </c>
      <c r="F1288" s="20" t="s">
        <v>1556</v>
      </c>
      <c r="G1288" s="21">
        <v>106.740403</v>
      </c>
      <c r="H1288" s="21">
        <v>69.364928400000011</v>
      </c>
      <c r="I1288" s="14" t="s">
        <v>1561</v>
      </c>
      <c r="J1288" s="21">
        <v>25.031382035938613</v>
      </c>
      <c r="K1288" s="21">
        <v>73.202782499999998</v>
      </c>
      <c r="L1288" s="24">
        <f t="shared" si="40"/>
        <v>0.68580200601266228</v>
      </c>
    </row>
    <row r="1289" spans="1:12" x14ac:dyDescent="0.25">
      <c r="A1289" s="15">
        <f t="shared" si="41"/>
        <v>1284</v>
      </c>
      <c r="B1289" s="17">
        <v>112744</v>
      </c>
      <c r="C1289" s="18" t="s">
        <v>905</v>
      </c>
      <c r="D1289" s="20">
        <v>5.4876999999999999E-3</v>
      </c>
      <c r="E1289" s="19">
        <v>0</v>
      </c>
      <c r="F1289" s="20">
        <v>5.4876999999999999E-3</v>
      </c>
      <c r="G1289" s="21">
        <v>1.59992</v>
      </c>
      <c r="H1289" s="21">
        <v>1.59992</v>
      </c>
      <c r="I1289" s="14" t="s">
        <v>1561</v>
      </c>
      <c r="J1289" s="21">
        <v>1.6865297305426523</v>
      </c>
      <c r="K1289" s="21">
        <v>3.5792679999999999</v>
      </c>
      <c r="L1289" s="24">
        <f t="shared" si="40"/>
        <v>2.2371543577178858</v>
      </c>
    </row>
    <row r="1290" spans="1:12" x14ac:dyDescent="0.25">
      <c r="A1290" s="15">
        <f t="shared" si="41"/>
        <v>1285</v>
      </c>
      <c r="B1290" s="17">
        <v>112748</v>
      </c>
      <c r="C1290" s="18" t="s">
        <v>906</v>
      </c>
      <c r="D1290" s="20" t="s">
        <v>1556</v>
      </c>
      <c r="E1290" s="19">
        <v>0</v>
      </c>
      <c r="F1290" s="20" t="s">
        <v>1556</v>
      </c>
      <c r="G1290" s="21">
        <v>0</v>
      </c>
      <c r="H1290" s="21">
        <v>0</v>
      </c>
      <c r="I1290" s="14" t="s">
        <v>1561</v>
      </c>
      <c r="J1290" s="21">
        <v>0</v>
      </c>
      <c r="K1290" s="21">
        <v>0</v>
      </c>
      <c r="L1290" s="24">
        <f t="shared" si="40"/>
        <v>0</v>
      </c>
    </row>
    <row r="1291" spans="1:12" x14ac:dyDescent="0.25">
      <c r="A1291" s="15">
        <f t="shared" si="41"/>
        <v>1286</v>
      </c>
      <c r="B1291" s="17">
        <v>112749</v>
      </c>
      <c r="C1291" s="18" t="s">
        <v>421</v>
      </c>
      <c r="D1291" s="20" t="s">
        <v>1556</v>
      </c>
      <c r="E1291" s="19">
        <v>0</v>
      </c>
      <c r="F1291" s="20" t="s">
        <v>1556</v>
      </c>
      <c r="G1291" s="21">
        <v>0</v>
      </c>
      <c r="H1291" s="21">
        <v>0</v>
      </c>
      <c r="I1291" s="14" t="s">
        <v>1561</v>
      </c>
      <c r="J1291" s="21">
        <v>0</v>
      </c>
      <c r="K1291" s="21">
        <v>0</v>
      </c>
      <c r="L1291" s="24">
        <f t="shared" si="40"/>
        <v>0</v>
      </c>
    </row>
    <row r="1292" spans="1:12" x14ac:dyDescent="0.25">
      <c r="A1292" s="15">
        <f t="shared" si="41"/>
        <v>1287</v>
      </c>
      <c r="B1292" s="17">
        <v>112989</v>
      </c>
      <c r="C1292" s="18" t="s">
        <v>907</v>
      </c>
      <c r="D1292" s="20">
        <v>5.4137700000000004E-2</v>
      </c>
      <c r="E1292" s="19">
        <v>0</v>
      </c>
      <c r="F1292" s="20">
        <v>5.4137700000000004E-2</v>
      </c>
      <c r="G1292" s="21">
        <v>0.39998</v>
      </c>
      <c r="H1292" s="21">
        <v>0.39998</v>
      </c>
      <c r="I1292" s="14" t="s">
        <v>1561</v>
      </c>
      <c r="J1292" s="21">
        <v>7.1322334291666664E-2</v>
      </c>
      <c r="K1292" s="21">
        <v>0.41615150000000001</v>
      </c>
      <c r="L1292" s="24">
        <f t="shared" si="40"/>
        <v>1.040430771538577</v>
      </c>
    </row>
    <row r="1293" spans="1:12" x14ac:dyDescent="0.25">
      <c r="A1293" s="15">
        <f t="shared" si="41"/>
        <v>1288</v>
      </c>
      <c r="B1293" s="17">
        <v>113058</v>
      </c>
      <c r="C1293" s="18" t="s">
        <v>422</v>
      </c>
      <c r="D1293" s="20">
        <v>0.1102682</v>
      </c>
      <c r="E1293" s="19">
        <v>0</v>
      </c>
      <c r="F1293" s="20">
        <v>0.1102682</v>
      </c>
      <c r="G1293" s="21">
        <v>25.928703500000001</v>
      </c>
      <c r="H1293" s="21">
        <v>23.428703500000001</v>
      </c>
      <c r="I1293" s="14" t="s">
        <v>1561</v>
      </c>
      <c r="J1293" s="21">
        <v>7.6657343760569017</v>
      </c>
      <c r="K1293" s="21">
        <v>24.680437799999996</v>
      </c>
      <c r="L1293" s="24">
        <f t="shared" si="40"/>
        <v>0.95185776643247877</v>
      </c>
    </row>
    <row r="1294" spans="1:12" x14ac:dyDescent="0.25">
      <c r="A1294" s="15">
        <f t="shared" si="41"/>
        <v>1289</v>
      </c>
      <c r="B1294" s="17">
        <v>113059</v>
      </c>
      <c r="C1294" s="18" t="s">
        <v>1427</v>
      </c>
      <c r="D1294" s="20" t="s">
        <v>1556</v>
      </c>
      <c r="E1294" s="19">
        <v>0</v>
      </c>
      <c r="F1294" s="20" t="s">
        <v>1556</v>
      </c>
      <c r="G1294" s="21">
        <v>0</v>
      </c>
      <c r="H1294" s="21">
        <v>0</v>
      </c>
      <c r="I1294" s="14" t="s">
        <v>1561</v>
      </c>
      <c r="J1294" s="21">
        <v>0</v>
      </c>
      <c r="K1294" s="21">
        <v>0</v>
      </c>
      <c r="L1294" s="24">
        <f t="shared" si="40"/>
        <v>0</v>
      </c>
    </row>
    <row r="1295" spans="1:12" x14ac:dyDescent="0.25">
      <c r="A1295" s="15">
        <f t="shared" si="41"/>
        <v>1290</v>
      </c>
      <c r="B1295" s="17">
        <v>113074</v>
      </c>
      <c r="C1295" s="18" t="s">
        <v>478</v>
      </c>
      <c r="D1295" s="20" t="s">
        <v>1556</v>
      </c>
      <c r="E1295" s="19">
        <v>0</v>
      </c>
      <c r="F1295" s="20" t="s">
        <v>1556</v>
      </c>
      <c r="G1295" s="21">
        <v>0</v>
      </c>
      <c r="H1295" s="21">
        <v>0</v>
      </c>
      <c r="I1295" s="14" t="s">
        <v>1561</v>
      </c>
      <c r="J1295" s="21">
        <v>0</v>
      </c>
      <c r="K1295" s="21">
        <v>0</v>
      </c>
      <c r="L1295" s="24">
        <f t="shared" si="40"/>
        <v>0</v>
      </c>
    </row>
    <row r="1296" spans="1:12" x14ac:dyDescent="0.25">
      <c r="A1296" s="15">
        <f t="shared" si="41"/>
        <v>1291</v>
      </c>
      <c r="B1296" s="17">
        <v>113082</v>
      </c>
      <c r="C1296" s="18" t="s">
        <v>523</v>
      </c>
      <c r="D1296" s="20">
        <v>0.72993750000000002</v>
      </c>
      <c r="E1296" s="19">
        <v>0</v>
      </c>
      <c r="F1296" s="20">
        <v>0.72993750000000002</v>
      </c>
      <c r="G1296" s="21">
        <v>78.915731800000003</v>
      </c>
      <c r="H1296" s="21">
        <v>53.687097899999991</v>
      </c>
      <c r="I1296" s="14" t="s">
        <v>1561</v>
      </c>
      <c r="J1296" s="21">
        <v>54.238875428363329</v>
      </c>
      <c r="K1296" s="21">
        <v>63.646124299999997</v>
      </c>
      <c r="L1296" s="24">
        <f t="shared" si="40"/>
        <v>0.80650743328721175</v>
      </c>
    </row>
    <row r="1297" spans="1:12" x14ac:dyDescent="0.25">
      <c r="A1297" s="15">
        <f t="shared" si="41"/>
        <v>1292</v>
      </c>
      <c r="B1297" s="17">
        <v>113345</v>
      </c>
      <c r="C1297" s="18" t="s">
        <v>1428</v>
      </c>
      <c r="D1297" s="20" t="s">
        <v>1556</v>
      </c>
      <c r="E1297" s="19">
        <v>0</v>
      </c>
      <c r="F1297" s="20" t="s">
        <v>1556</v>
      </c>
      <c r="G1297" s="21">
        <v>0</v>
      </c>
      <c r="H1297" s="21">
        <v>0</v>
      </c>
      <c r="I1297" s="14" t="s">
        <v>1561</v>
      </c>
      <c r="J1297" s="21">
        <v>0</v>
      </c>
      <c r="K1297" s="21">
        <v>0</v>
      </c>
      <c r="L1297" s="24">
        <f t="shared" si="40"/>
        <v>0</v>
      </c>
    </row>
    <row r="1298" spans="1:12" x14ac:dyDescent="0.25">
      <c r="A1298" s="15">
        <f t="shared" si="41"/>
        <v>1293</v>
      </c>
      <c r="B1298" s="17">
        <v>113880</v>
      </c>
      <c r="C1298" s="18" t="s">
        <v>1429</v>
      </c>
      <c r="D1298" s="20" t="s">
        <v>1556</v>
      </c>
      <c r="E1298" s="19">
        <v>0</v>
      </c>
      <c r="F1298" s="20" t="s">
        <v>1556</v>
      </c>
      <c r="G1298" s="21">
        <v>0</v>
      </c>
      <c r="H1298" s="21">
        <v>0</v>
      </c>
      <c r="I1298" s="14" t="s">
        <v>1561</v>
      </c>
      <c r="J1298" s="21">
        <v>0</v>
      </c>
      <c r="K1298" s="21">
        <v>0</v>
      </c>
      <c r="L1298" s="24">
        <f t="shared" si="40"/>
        <v>0</v>
      </c>
    </row>
    <row r="1299" spans="1:12" x14ac:dyDescent="0.25">
      <c r="A1299" s="15">
        <f t="shared" si="41"/>
        <v>1294</v>
      </c>
      <c r="B1299" s="17">
        <v>113944</v>
      </c>
      <c r="C1299" s="18" t="s">
        <v>423</v>
      </c>
      <c r="D1299" s="20">
        <v>9.721719999999999E-2</v>
      </c>
      <c r="E1299" s="19">
        <v>0</v>
      </c>
      <c r="F1299" s="20">
        <v>9.721719999999999E-2</v>
      </c>
      <c r="G1299" s="21">
        <v>31.558422499999999</v>
      </c>
      <c r="H1299" s="21">
        <v>26.7484225</v>
      </c>
      <c r="I1299" s="14" t="s">
        <v>1561</v>
      </c>
      <c r="J1299" s="21">
        <v>10.240851953553049</v>
      </c>
      <c r="K1299" s="21">
        <v>28.338381099999999</v>
      </c>
      <c r="L1299" s="24">
        <f t="shared" si="40"/>
        <v>0.89796570471797188</v>
      </c>
    </row>
    <row r="1300" spans="1:12" x14ac:dyDescent="0.25">
      <c r="A1300" s="15">
        <f t="shared" si="41"/>
        <v>1295</v>
      </c>
      <c r="B1300" s="17">
        <v>113948</v>
      </c>
      <c r="C1300" s="18" t="s">
        <v>479</v>
      </c>
      <c r="D1300" s="20">
        <v>0.45846010000000004</v>
      </c>
      <c r="E1300" s="19">
        <v>0</v>
      </c>
      <c r="F1300" s="20">
        <v>0.45846010000000004</v>
      </c>
      <c r="G1300" s="21">
        <v>88.009182100000004</v>
      </c>
      <c r="H1300" s="21">
        <v>82.475321600000015</v>
      </c>
      <c r="I1300" s="14" t="s">
        <v>1561</v>
      </c>
      <c r="J1300" s="21">
        <v>31.922551570410839</v>
      </c>
      <c r="K1300" s="21">
        <v>87.298790299999993</v>
      </c>
      <c r="L1300" s="24">
        <f t="shared" si="40"/>
        <v>0.99192820813636429</v>
      </c>
    </row>
    <row r="1301" spans="1:12" x14ac:dyDescent="0.25">
      <c r="A1301" s="15">
        <f t="shared" si="41"/>
        <v>1296</v>
      </c>
      <c r="B1301" s="17">
        <v>113968</v>
      </c>
      <c r="C1301" s="18" t="s">
        <v>908</v>
      </c>
      <c r="D1301" s="20">
        <v>2.23194E-2</v>
      </c>
      <c r="E1301" s="19">
        <v>0</v>
      </c>
      <c r="F1301" s="20">
        <v>2.23194E-2</v>
      </c>
      <c r="G1301" s="21">
        <v>2.2148892999999998</v>
      </c>
      <c r="H1301" s="21">
        <v>2.1593743000000001</v>
      </c>
      <c r="I1301" s="14" t="s">
        <v>1561</v>
      </c>
      <c r="J1301" s="21">
        <v>0.92242713243449848</v>
      </c>
      <c r="K1301" s="21">
        <v>2.8539684999999997</v>
      </c>
      <c r="L1301" s="24">
        <f t="shared" si="40"/>
        <v>1.2885377612325817</v>
      </c>
    </row>
    <row r="1302" spans="1:12" x14ac:dyDescent="0.25">
      <c r="A1302" s="15">
        <f t="shared" si="41"/>
        <v>1297</v>
      </c>
      <c r="B1302" s="17">
        <v>114121</v>
      </c>
      <c r="C1302" s="18" t="s">
        <v>1430</v>
      </c>
      <c r="D1302" s="20" t="s">
        <v>1556</v>
      </c>
      <c r="E1302" s="19">
        <v>0</v>
      </c>
      <c r="F1302" s="20" t="s">
        <v>1556</v>
      </c>
      <c r="G1302" s="21">
        <v>0</v>
      </c>
      <c r="H1302" s="21">
        <v>0</v>
      </c>
      <c r="I1302" s="14" t="s">
        <v>1561</v>
      </c>
      <c r="J1302" s="21">
        <v>0</v>
      </c>
      <c r="K1302" s="21">
        <v>0</v>
      </c>
      <c r="L1302" s="24">
        <f t="shared" si="40"/>
        <v>0</v>
      </c>
    </row>
    <row r="1303" spans="1:12" x14ac:dyDescent="0.25">
      <c r="A1303" s="15">
        <f t="shared" si="41"/>
        <v>1298</v>
      </c>
      <c r="B1303" s="17">
        <v>114376</v>
      </c>
      <c r="C1303" s="18" t="s">
        <v>909</v>
      </c>
      <c r="D1303" s="20">
        <v>3.3156185999999996</v>
      </c>
      <c r="E1303" s="19">
        <v>0</v>
      </c>
      <c r="F1303" s="20">
        <v>3.3156185999999996</v>
      </c>
      <c r="G1303" s="21">
        <v>842.78046819999997</v>
      </c>
      <c r="H1303" s="21">
        <v>713.51558269999998</v>
      </c>
      <c r="I1303" s="14" t="s">
        <v>1561</v>
      </c>
      <c r="J1303" s="21">
        <v>245.75640698826089</v>
      </c>
      <c r="K1303" s="21">
        <v>761.28905379999992</v>
      </c>
      <c r="L1303" s="24">
        <f t="shared" si="40"/>
        <v>0.90330647484741977</v>
      </c>
    </row>
    <row r="1304" spans="1:12" x14ac:dyDescent="0.25">
      <c r="A1304" s="15">
        <f t="shared" si="41"/>
        <v>1299</v>
      </c>
      <c r="B1304" s="17">
        <v>114644</v>
      </c>
      <c r="C1304" s="18" t="s">
        <v>910</v>
      </c>
      <c r="D1304" s="20" t="s">
        <v>1556</v>
      </c>
      <c r="E1304" s="19">
        <v>0</v>
      </c>
      <c r="F1304" s="20" t="s">
        <v>1556</v>
      </c>
      <c r="G1304" s="21">
        <v>0</v>
      </c>
      <c r="H1304" s="21">
        <v>0</v>
      </c>
      <c r="I1304" s="14" t="s">
        <v>1561</v>
      </c>
      <c r="J1304" s="21">
        <v>0</v>
      </c>
      <c r="K1304" s="21">
        <v>0</v>
      </c>
      <c r="L1304" s="24">
        <f t="shared" si="40"/>
        <v>0</v>
      </c>
    </row>
    <row r="1305" spans="1:12" x14ac:dyDescent="0.25">
      <c r="A1305" s="15">
        <f t="shared" si="41"/>
        <v>1300</v>
      </c>
      <c r="B1305" s="17">
        <v>114731</v>
      </c>
      <c r="C1305" s="18" t="s">
        <v>1431</v>
      </c>
      <c r="D1305" s="20" t="s">
        <v>1556</v>
      </c>
      <c r="E1305" s="19">
        <v>0</v>
      </c>
      <c r="F1305" s="20" t="s">
        <v>1556</v>
      </c>
      <c r="G1305" s="21">
        <v>0</v>
      </c>
      <c r="H1305" s="21">
        <v>0</v>
      </c>
      <c r="I1305" s="14" t="s">
        <v>1561</v>
      </c>
      <c r="J1305" s="21">
        <v>0</v>
      </c>
      <c r="K1305" s="21">
        <v>0</v>
      </c>
      <c r="L1305" s="24">
        <f t="shared" si="40"/>
        <v>0</v>
      </c>
    </row>
    <row r="1306" spans="1:12" x14ac:dyDescent="0.25">
      <c r="A1306" s="15">
        <f t="shared" si="41"/>
        <v>1301</v>
      </c>
      <c r="B1306" s="17">
        <v>114893</v>
      </c>
      <c r="C1306" s="18" t="s">
        <v>1432</v>
      </c>
      <c r="D1306" s="20" t="s">
        <v>1556</v>
      </c>
      <c r="E1306" s="19">
        <v>0</v>
      </c>
      <c r="F1306" s="20" t="s">
        <v>1556</v>
      </c>
      <c r="G1306" s="21">
        <v>0</v>
      </c>
      <c r="H1306" s="21">
        <v>0</v>
      </c>
      <c r="I1306" s="14" t="s">
        <v>1561</v>
      </c>
      <c r="J1306" s="21">
        <v>0</v>
      </c>
      <c r="K1306" s="21">
        <v>0</v>
      </c>
      <c r="L1306" s="24">
        <f t="shared" si="40"/>
        <v>0</v>
      </c>
    </row>
    <row r="1307" spans="1:12" x14ac:dyDescent="0.25">
      <c r="A1307" s="15">
        <f t="shared" si="41"/>
        <v>1302</v>
      </c>
      <c r="B1307" s="17">
        <v>114934</v>
      </c>
      <c r="C1307" s="18" t="s">
        <v>1433</v>
      </c>
      <c r="D1307" s="20">
        <v>0.12526180000000001</v>
      </c>
      <c r="E1307" s="19">
        <v>0</v>
      </c>
      <c r="F1307" s="20">
        <v>0.12526180000000001</v>
      </c>
      <c r="G1307" s="21">
        <v>5.7997100000000001</v>
      </c>
      <c r="H1307" s="21">
        <v>5.7997100000000001</v>
      </c>
      <c r="I1307" s="14" t="s">
        <v>1561</v>
      </c>
      <c r="J1307" s="21">
        <v>8.3794298365120969</v>
      </c>
      <c r="K1307" s="21">
        <v>13.0339603</v>
      </c>
      <c r="L1307" s="24">
        <f t="shared" si="40"/>
        <v>2.24734690182785</v>
      </c>
    </row>
    <row r="1308" spans="1:12" x14ac:dyDescent="0.25">
      <c r="A1308" s="15">
        <f t="shared" si="41"/>
        <v>1303</v>
      </c>
      <c r="B1308" s="17">
        <v>115287</v>
      </c>
      <c r="C1308" s="18" t="s">
        <v>911</v>
      </c>
      <c r="D1308" s="20">
        <v>1.6954814000000002</v>
      </c>
      <c r="E1308" s="19">
        <v>0</v>
      </c>
      <c r="F1308" s="20">
        <v>1.6954814000000002</v>
      </c>
      <c r="G1308" s="21">
        <v>284.8565213</v>
      </c>
      <c r="H1308" s="21">
        <v>193.1342195</v>
      </c>
      <c r="I1308" s="14" t="s">
        <v>1561</v>
      </c>
      <c r="J1308" s="21">
        <v>105.6596504937631</v>
      </c>
      <c r="K1308" s="21">
        <v>231.61339829999997</v>
      </c>
      <c r="L1308" s="24">
        <f t="shared" si="40"/>
        <v>0.81308792666211627</v>
      </c>
    </row>
    <row r="1309" spans="1:12" x14ac:dyDescent="0.25">
      <c r="A1309" s="15">
        <f t="shared" si="41"/>
        <v>1304</v>
      </c>
      <c r="B1309" s="17">
        <v>115404</v>
      </c>
      <c r="C1309" s="18" t="s">
        <v>912</v>
      </c>
      <c r="D1309" s="20" t="s">
        <v>1556</v>
      </c>
      <c r="E1309" s="19">
        <v>0</v>
      </c>
      <c r="F1309" s="20" t="s">
        <v>1556</v>
      </c>
      <c r="G1309" s="21">
        <v>0</v>
      </c>
      <c r="H1309" s="21">
        <v>0</v>
      </c>
      <c r="I1309" s="14" t="s">
        <v>1561</v>
      </c>
      <c r="J1309" s="21">
        <v>0</v>
      </c>
      <c r="K1309" s="21">
        <v>0</v>
      </c>
      <c r="L1309" s="24">
        <f t="shared" si="40"/>
        <v>0</v>
      </c>
    </row>
    <row r="1310" spans="1:12" x14ac:dyDescent="0.25">
      <c r="A1310" s="15">
        <f t="shared" si="41"/>
        <v>1305</v>
      </c>
      <c r="B1310" s="17">
        <v>115473</v>
      </c>
      <c r="C1310" s="18" t="s">
        <v>913</v>
      </c>
      <c r="D1310" s="20" t="s">
        <v>1556</v>
      </c>
      <c r="E1310" s="19">
        <v>0</v>
      </c>
      <c r="F1310" s="20" t="s">
        <v>1556</v>
      </c>
      <c r="G1310" s="21">
        <v>0</v>
      </c>
      <c r="H1310" s="21">
        <v>0</v>
      </c>
      <c r="I1310" s="14" t="s">
        <v>1561</v>
      </c>
      <c r="J1310" s="21">
        <v>0</v>
      </c>
      <c r="K1310" s="21">
        <v>0</v>
      </c>
      <c r="L1310" s="24">
        <f t="shared" si="40"/>
        <v>0</v>
      </c>
    </row>
    <row r="1311" spans="1:12" x14ac:dyDescent="0.25">
      <c r="A1311" s="15">
        <f t="shared" si="41"/>
        <v>1306</v>
      </c>
      <c r="B1311" s="17">
        <v>115486</v>
      </c>
      <c r="C1311" s="18" t="s">
        <v>424</v>
      </c>
      <c r="D1311" s="20">
        <v>4.7093000000000005E-3</v>
      </c>
      <c r="E1311" s="19">
        <v>0</v>
      </c>
      <c r="F1311" s="20">
        <v>4.7093000000000005E-3</v>
      </c>
      <c r="G1311" s="21">
        <v>0.94995249999999998</v>
      </c>
      <c r="H1311" s="21">
        <v>-1.9026440000000002</v>
      </c>
      <c r="I1311" s="14" t="s">
        <v>1561</v>
      </c>
      <c r="J1311" s="21">
        <v>1.3485036531711472</v>
      </c>
      <c r="K1311" s="21">
        <v>0.73697729999999995</v>
      </c>
      <c r="L1311" s="24">
        <f t="shared" si="40"/>
        <v>0.77580436916582662</v>
      </c>
    </row>
    <row r="1312" spans="1:12" x14ac:dyDescent="0.25">
      <c r="A1312" s="15">
        <f t="shared" si="41"/>
        <v>1307</v>
      </c>
      <c r="B1312" s="17">
        <v>116356</v>
      </c>
      <c r="C1312" s="18" t="s">
        <v>914</v>
      </c>
      <c r="D1312" s="20">
        <v>5.0737709999999998</v>
      </c>
      <c r="E1312" s="19">
        <v>0</v>
      </c>
      <c r="F1312" s="20">
        <v>5.0737709999999998</v>
      </c>
      <c r="G1312" s="21">
        <v>1531.9905581999999</v>
      </c>
      <c r="H1312" s="21">
        <v>945.33734109999989</v>
      </c>
      <c r="I1312" s="14" t="s">
        <v>1561</v>
      </c>
      <c r="J1312" s="21">
        <v>485.11461672056055</v>
      </c>
      <c r="K1312" s="21">
        <v>1059.0639454</v>
      </c>
      <c r="L1312" s="24">
        <f t="shared" si="40"/>
        <v>0.69129926404007258</v>
      </c>
    </row>
    <row r="1313" spans="1:12" x14ac:dyDescent="0.25">
      <c r="A1313" s="15">
        <f t="shared" si="41"/>
        <v>1308</v>
      </c>
      <c r="B1313" s="17">
        <v>116461</v>
      </c>
      <c r="C1313" s="18" t="s">
        <v>1434</v>
      </c>
      <c r="D1313" s="20" t="s">
        <v>1556</v>
      </c>
      <c r="E1313" s="19">
        <v>0</v>
      </c>
      <c r="F1313" s="20" t="s">
        <v>1556</v>
      </c>
      <c r="G1313" s="21">
        <v>0</v>
      </c>
      <c r="H1313" s="21">
        <v>0</v>
      </c>
      <c r="I1313" s="14" t="s">
        <v>1561</v>
      </c>
      <c r="J1313" s="21">
        <v>0</v>
      </c>
      <c r="K1313" s="21">
        <v>0</v>
      </c>
      <c r="L1313" s="24">
        <f t="shared" si="40"/>
        <v>0</v>
      </c>
    </row>
    <row r="1314" spans="1:12" x14ac:dyDescent="0.25">
      <c r="A1314" s="15">
        <f t="shared" si="41"/>
        <v>1309</v>
      </c>
      <c r="B1314" s="17">
        <v>116464</v>
      </c>
      <c r="C1314" s="18" t="s">
        <v>524</v>
      </c>
      <c r="D1314" s="20" t="s">
        <v>1556</v>
      </c>
      <c r="E1314" s="19">
        <v>0</v>
      </c>
      <c r="F1314" s="20" t="s">
        <v>1556</v>
      </c>
      <c r="G1314" s="21">
        <v>0</v>
      </c>
      <c r="H1314" s="21">
        <v>0</v>
      </c>
      <c r="I1314" s="14" t="s">
        <v>1561</v>
      </c>
      <c r="J1314" s="21">
        <v>0</v>
      </c>
      <c r="K1314" s="21">
        <v>0</v>
      </c>
      <c r="L1314" s="24">
        <f t="shared" si="40"/>
        <v>0</v>
      </c>
    </row>
    <row r="1315" spans="1:12" x14ac:dyDescent="0.25">
      <c r="A1315" s="15">
        <f t="shared" si="41"/>
        <v>1310</v>
      </c>
      <c r="B1315" s="17">
        <v>116627</v>
      </c>
      <c r="C1315" s="18" t="s">
        <v>1435</v>
      </c>
      <c r="D1315" s="20" t="s">
        <v>1556</v>
      </c>
      <c r="E1315" s="19">
        <v>0</v>
      </c>
      <c r="F1315" s="20" t="s">
        <v>1556</v>
      </c>
      <c r="G1315" s="21">
        <v>0</v>
      </c>
      <c r="H1315" s="21">
        <v>0</v>
      </c>
      <c r="I1315" s="14" t="s">
        <v>1561</v>
      </c>
      <c r="J1315" s="21">
        <v>0</v>
      </c>
      <c r="K1315" s="21">
        <v>0</v>
      </c>
      <c r="L1315" s="24">
        <f t="shared" si="40"/>
        <v>0</v>
      </c>
    </row>
    <row r="1316" spans="1:12" x14ac:dyDescent="0.25">
      <c r="A1316" s="15">
        <f t="shared" si="41"/>
        <v>1311</v>
      </c>
      <c r="B1316" s="17">
        <v>116724</v>
      </c>
      <c r="C1316" s="18" t="s">
        <v>915</v>
      </c>
      <c r="D1316" s="20" t="s">
        <v>1556</v>
      </c>
      <c r="E1316" s="19">
        <v>0</v>
      </c>
      <c r="F1316" s="20" t="s">
        <v>1556</v>
      </c>
      <c r="G1316" s="21">
        <v>0</v>
      </c>
      <c r="H1316" s="21">
        <v>0</v>
      </c>
      <c r="I1316" s="14" t="s">
        <v>1561</v>
      </c>
      <c r="J1316" s="21">
        <v>0</v>
      </c>
      <c r="K1316" s="21">
        <v>0</v>
      </c>
      <c r="L1316" s="24">
        <f t="shared" si="40"/>
        <v>0</v>
      </c>
    </row>
    <row r="1317" spans="1:12" x14ac:dyDescent="0.25">
      <c r="A1317" s="15">
        <f t="shared" si="41"/>
        <v>1312</v>
      </c>
      <c r="B1317" s="17">
        <v>116900</v>
      </c>
      <c r="C1317" s="18" t="s">
        <v>1436</v>
      </c>
      <c r="D1317" s="20" t="s">
        <v>1556</v>
      </c>
      <c r="E1317" s="19">
        <v>0</v>
      </c>
      <c r="F1317" s="20" t="s">
        <v>1556</v>
      </c>
      <c r="G1317" s="21">
        <v>0</v>
      </c>
      <c r="H1317" s="21">
        <v>0</v>
      </c>
      <c r="I1317" s="14" t="s">
        <v>1561</v>
      </c>
      <c r="J1317" s="21">
        <v>0</v>
      </c>
      <c r="K1317" s="21">
        <v>0</v>
      </c>
      <c r="L1317" s="24">
        <f t="shared" si="40"/>
        <v>0</v>
      </c>
    </row>
    <row r="1318" spans="1:12" x14ac:dyDescent="0.25">
      <c r="A1318" s="15">
        <f t="shared" si="41"/>
        <v>1313</v>
      </c>
      <c r="B1318" s="17">
        <v>117143</v>
      </c>
      <c r="C1318" s="18" t="s">
        <v>425</v>
      </c>
      <c r="D1318" s="20" t="s">
        <v>1556</v>
      </c>
      <c r="E1318" s="19">
        <v>0</v>
      </c>
      <c r="F1318" s="20" t="s">
        <v>1556</v>
      </c>
      <c r="G1318" s="21">
        <v>0.94995249999999998</v>
      </c>
      <c r="H1318" s="21">
        <v>0.94995249999999998</v>
      </c>
      <c r="I1318" s="14" t="s">
        <v>1561</v>
      </c>
      <c r="J1318" s="21">
        <v>0.32816214647356634</v>
      </c>
      <c r="K1318" s="21">
        <v>1.0013920000000001</v>
      </c>
      <c r="L1318" s="24">
        <f t="shared" si="40"/>
        <v>1.0541495495827424</v>
      </c>
    </row>
    <row r="1319" spans="1:12" x14ac:dyDescent="0.25">
      <c r="A1319" s="15">
        <f t="shared" si="41"/>
        <v>1314</v>
      </c>
      <c r="B1319" s="17">
        <v>117409</v>
      </c>
      <c r="C1319" s="18" t="s">
        <v>480</v>
      </c>
      <c r="D1319" s="20" t="s">
        <v>1556</v>
      </c>
      <c r="E1319" s="19">
        <v>0</v>
      </c>
      <c r="F1319" s="20" t="s">
        <v>1556</v>
      </c>
      <c r="G1319" s="21">
        <v>1.499925</v>
      </c>
      <c r="H1319" s="21">
        <v>1.499925</v>
      </c>
      <c r="I1319" s="14" t="s">
        <v>1561</v>
      </c>
      <c r="J1319" s="21">
        <v>1.6363281183333332E-2</v>
      </c>
      <c r="K1319" s="21">
        <v>1.5359665</v>
      </c>
      <c r="L1319" s="24">
        <f t="shared" si="40"/>
        <v>1.0240288681100722</v>
      </c>
    </row>
    <row r="1320" spans="1:12" x14ac:dyDescent="0.25">
      <c r="A1320" s="15">
        <f t="shared" si="41"/>
        <v>1315</v>
      </c>
      <c r="B1320" s="17">
        <v>117558</v>
      </c>
      <c r="C1320" s="18" t="s">
        <v>1437</v>
      </c>
      <c r="D1320" s="20" t="s">
        <v>1556</v>
      </c>
      <c r="E1320" s="19">
        <v>0</v>
      </c>
      <c r="F1320" s="20" t="s">
        <v>1556</v>
      </c>
      <c r="G1320" s="21">
        <v>0</v>
      </c>
      <c r="H1320" s="21">
        <v>0</v>
      </c>
      <c r="I1320" s="14" t="s">
        <v>1561</v>
      </c>
      <c r="J1320" s="21">
        <v>0</v>
      </c>
      <c r="K1320" s="21">
        <v>0</v>
      </c>
      <c r="L1320" s="24">
        <f t="shared" si="40"/>
        <v>0</v>
      </c>
    </row>
    <row r="1321" spans="1:12" x14ac:dyDescent="0.25">
      <c r="A1321" s="15">
        <f t="shared" si="41"/>
        <v>1316</v>
      </c>
      <c r="B1321" s="17">
        <v>117977</v>
      </c>
      <c r="C1321" s="18" t="s">
        <v>1438</v>
      </c>
      <c r="D1321" s="20" t="s">
        <v>1556</v>
      </c>
      <c r="E1321" s="19">
        <v>0</v>
      </c>
      <c r="F1321" s="20" t="s">
        <v>1556</v>
      </c>
      <c r="G1321" s="21">
        <v>0</v>
      </c>
      <c r="H1321" s="21">
        <v>0</v>
      </c>
      <c r="I1321" s="14" t="s">
        <v>1561</v>
      </c>
      <c r="J1321" s="21">
        <v>0</v>
      </c>
      <c r="K1321" s="21">
        <v>0</v>
      </c>
      <c r="L1321" s="24">
        <f t="shared" si="40"/>
        <v>0</v>
      </c>
    </row>
    <row r="1322" spans="1:12" x14ac:dyDescent="0.25">
      <c r="A1322" s="15">
        <f t="shared" si="41"/>
        <v>1317</v>
      </c>
      <c r="B1322" s="17">
        <v>118681</v>
      </c>
      <c r="C1322" s="18" t="s">
        <v>525</v>
      </c>
      <c r="D1322" s="20" t="s">
        <v>1556</v>
      </c>
      <c r="E1322" s="19">
        <v>0</v>
      </c>
      <c r="F1322" s="20" t="s">
        <v>1556</v>
      </c>
      <c r="G1322" s="21">
        <v>381.88118030000004</v>
      </c>
      <c r="H1322" s="21">
        <v>264.47027170000001</v>
      </c>
      <c r="I1322" s="14" t="s">
        <v>1561</v>
      </c>
      <c r="J1322" s="21">
        <v>133.86215708718535</v>
      </c>
      <c r="K1322" s="21">
        <v>307.14266850000001</v>
      </c>
      <c r="L1322" s="24">
        <f t="shared" si="40"/>
        <v>0.80428857022677425</v>
      </c>
    </row>
    <row r="1323" spans="1:12" x14ac:dyDescent="0.25">
      <c r="A1323" s="15">
        <f t="shared" si="41"/>
        <v>1318</v>
      </c>
      <c r="B1323" s="17">
        <v>118821</v>
      </c>
      <c r="C1323" s="18" t="s">
        <v>481</v>
      </c>
      <c r="D1323" s="20" t="s">
        <v>1556</v>
      </c>
      <c r="E1323" s="19">
        <v>0</v>
      </c>
      <c r="F1323" s="20" t="s">
        <v>1556</v>
      </c>
      <c r="G1323" s="21">
        <v>0</v>
      </c>
      <c r="H1323" s="21">
        <v>0</v>
      </c>
      <c r="I1323" s="14" t="s">
        <v>1561</v>
      </c>
      <c r="J1323" s="21">
        <v>0</v>
      </c>
      <c r="K1323" s="21">
        <v>0</v>
      </c>
      <c r="L1323" s="24">
        <f t="shared" si="40"/>
        <v>0</v>
      </c>
    </row>
    <row r="1324" spans="1:12" x14ac:dyDescent="0.25">
      <c r="A1324" s="15">
        <f t="shared" si="41"/>
        <v>1319</v>
      </c>
      <c r="B1324" s="17">
        <v>118996</v>
      </c>
      <c r="C1324" s="18" t="s">
        <v>1439</v>
      </c>
      <c r="D1324" s="20" t="s">
        <v>1556</v>
      </c>
      <c r="E1324" s="19">
        <v>0</v>
      </c>
      <c r="F1324" s="20" t="s">
        <v>1556</v>
      </c>
      <c r="G1324" s="21">
        <v>0</v>
      </c>
      <c r="H1324" s="21">
        <v>0</v>
      </c>
      <c r="I1324" s="14" t="s">
        <v>1561</v>
      </c>
      <c r="J1324" s="21">
        <v>0</v>
      </c>
      <c r="K1324" s="21">
        <v>0</v>
      </c>
      <c r="L1324" s="24">
        <f t="shared" si="40"/>
        <v>0</v>
      </c>
    </row>
    <row r="1325" spans="1:12" x14ac:dyDescent="0.25">
      <c r="A1325" s="15">
        <f t="shared" si="41"/>
        <v>1320</v>
      </c>
      <c r="B1325" s="17">
        <v>119147</v>
      </c>
      <c r="C1325" s="18" t="s">
        <v>482</v>
      </c>
      <c r="D1325" s="20" t="s">
        <v>1556</v>
      </c>
      <c r="E1325" s="19">
        <v>0</v>
      </c>
      <c r="F1325" s="20" t="s">
        <v>1556</v>
      </c>
      <c r="G1325" s="21">
        <v>0</v>
      </c>
      <c r="H1325" s="21">
        <v>0</v>
      </c>
      <c r="I1325" s="14" t="s">
        <v>1561</v>
      </c>
      <c r="J1325" s="21">
        <v>0</v>
      </c>
      <c r="K1325" s="21">
        <v>0</v>
      </c>
      <c r="L1325" s="24">
        <f t="shared" si="40"/>
        <v>0</v>
      </c>
    </row>
    <row r="1326" spans="1:12" x14ac:dyDescent="0.25">
      <c r="A1326" s="15">
        <f t="shared" si="41"/>
        <v>1321</v>
      </c>
      <c r="B1326" s="17">
        <v>119695</v>
      </c>
      <c r="C1326" s="18" t="s">
        <v>1440</v>
      </c>
      <c r="D1326" s="20" t="s">
        <v>1556</v>
      </c>
      <c r="E1326" s="19">
        <v>0</v>
      </c>
      <c r="F1326" s="20" t="s">
        <v>1556</v>
      </c>
      <c r="G1326" s="21">
        <v>0</v>
      </c>
      <c r="H1326" s="21">
        <v>0</v>
      </c>
      <c r="I1326" s="14" t="s">
        <v>1561</v>
      </c>
      <c r="J1326" s="21">
        <v>0</v>
      </c>
      <c r="K1326" s="21">
        <v>0</v>
      </c>
      <c r="L1326" s="24">
        <f t="shared" si="40"/>
        <v>0</v>
      </c>
    </row>
    <row r="1327" spans="1:12" x14ac:dyDescent="0.25">
      <c r="A1327" s="15">
        <f t="shared" si="41"/>
        <v>1322</v>
      </c>
      <c r="B1327" s="17">
        <v>120004</v>
      </c>
      <c r="C1327" s="18" t="s">
        <v>483</v>
      </c>
      <c r="D1327" s="20" t="s">
        <v>1556</v>
      </c>
      <c r="E1327" s="19">
        <v>0</v>
      </c>
      <c r="F1327" s="20" t="s">
        <v>1556</v>
      </c>
      <c r="G1327" s="21">
        <v>0</v>
      </c>
      <c r="H1327" s="21">
        <v>0</v>
      </c>
      <c r="I1327" s="14" t="s">
        <v>1561</v>
      </c>
      <c r="J1327" s="21">
        <v>0</v>
      </c>
      <c r="K1327" s="21">
        <v>0</v>
      </c>
      <c r="L1327" s="24">
        <f t="shared" si="40"/>
        <v>0</v>
      </c>
    </row>
    <row r="1328" spans="1:12" x14ac:dyDescent="0.25">
      <c r="A1328" s="15">
        <f t="shared" si="41"/>
        <v>1323</v>
      </c>
      <c r="B1328" s="17">
        <v>120049</v>
      </c>
      <c r="C1328" s="18" t="s">
        <v>1441</v>
      </c>
      <c r="D1328" s="20" t="s">
        <v>1556</v>
      </c>
      <c r="E1328" s="19">
        <v>0</v>
      </c>
      <c r="F1328" s="20" t="s">
        <v>1556</v>
      </c>
      <c r="G1328" s="21">
        <v>0.3099845</v>
      </c>
      <c r="H1328" s="21">
        <v>0.3099845</v>
      </c>
      <c r="I1328" s="14" t="s">
        <v>1561</v>
      </c>
      <c r="J1328" s="21">
        <v>8.2673621242921144E-2</v>
      </c>
      <c r="K1328" s="21">
        <v>0.31653290000000001</v>
      </c>
      <c r="L1328" s="24">
        <f t="shared" si="40"/>
        <v>1.0211249272141028</v>
      </c>
    </row>
    <row r="1329" spans="1:12" x14ac:dyDescent="0.25">
      <c r="A1329" s="15">
        <f t="shared" si="41"/>
        <v>1324</v>
      </c>
      <c r="B1329" s="17">
        <v>120088</v>
      </c>
      <c r="C1329" s="18" t="s">
        <v>916</v>
      </c>
      <c r="D1329" s="20" t="s">
        <v>1556</v>
      </c>
      <c r="E1329" s="19">
        <v>0</v>
      </c>
      <c r="F1329" s="20" t="s">
        <v>1556</v>
      </c>
      <c r="G1329" s="21">
        <v>0</v>
      </c>
      <c r="H1329" s="21">
        <v>0</v>
      </c>
      <c r="I1329" s="14" t="s">
        <v>1561</v>
      </c>
      <c r="J1329" s="21">
        <v>0</v>
      </c>
      <c r="K1329" s="21">
        <v>0</v>
      </c>
      <c r="L1329" s="24">
        <f t="shared" si="40"/>
        <v>0</v>
      </c>
    </row>
    <row r="1330" spans="1:12" x14ac:dyDescent="0.25">
      <c r="A1330" s="15">
        <f t="shared" si="41"/>
        <v>1325</v>
      </c>
      <c r="B1330" s="17">
        <v>120116</v>
      </c>
      <c r="C1330" s="18" t="s">
        <v>426</v>
      </c>
      <c r="D1330" s="20" t="s">
        <v>1556</v>
      </c>
      <c r="E1330" s="19">
        <v>0</v>
      </c>
      <c r="F1330" s="20" t="s">
        <v>1556</v>
      </c>
      <c r="G1330" s="21">
        <v>4.99975E-2</v>
      </c>
      <c r="H1330" s="21">
        <v>4.99975E-2</v>
      </c>
      <c r="I1330" s="14" t="s">
        <v>1561</v>
      </c>
      <c r="J1330" s="21">
        <v>9.4555826250000002E-3</v>
      </c>
      <c r="K1330" s="21">
        <v>4.5557100000000003E-2</v>
      </c>
      <c r="L1330" s="24">
        <f t="shared" si="40"/>
        <v>0.91118755937796891</v>
      </c>
    </row>
    <row r="1331" spans="1:12" x14ac:dyDescent="0.25">
      <c r="A1331" s="15">
        <f t="shared" si="41"/>
        <v>1326</v>
      </c>
      <c r="B1331" s="17">
        <v>120121</v>
      </c>
      <c r="C1331" s="18" t="s">
        <v>917</v>
      </c>
      <c r="D1331" s="20">
        <v>0.44713890000000001</v>
      </c>
      <c r="E1331" s="19">
        <v>0</v>
      </c>
      <c r="F1331" s="20">
        <v>0.44713890000000001</v>
      </c>
      <c r="G1331" s="21">
        <v>71.078319500000006</v>
      </c>
      <c r="H1331" s="21">
        <v>63.593396500000004</v>
      </c>
      <c r="I1331" s="14" t="s">
        <v>1561</v>
      </c>
      <c r="J1331" s="21">
        <v>32.582756631076329</v>
      </c>
      <c r="K1331" s="21">
        <v>68.677513000000005</v>
      </c>
      <c r="L1331" s="24">
        <f t="shared" si="40"/>
        <v>0.96622308297539305</v>
      </c>
    </row>
    <row r="1332" spans="1:12" x14ac:dyDescent="0.25">
      <c r="A1332" s="15">
        <f t="shared" si="41"/>
        <v>1327</v>
      </c>
      <c r="B1332" s="17">
        <v>120269</v>
      </c>
      <c r="C1332" s="18" t="s">
        <v>1442</v>
      </c>
      <c r="D1332" s="20" t="s">
        <v>1556</v>
      </c>
      <c r="E1332" s="19">
        <v>0</v>
      </c>
      <c r="F1332" s="20" t="s">
        <v>1556</v>
      </c>
      <c r="G1332" s="21">
        <v>0</v>
      </c>
      <c r="H1332" s="21">
        <v>0</v>
      </c>
      <c r="I1332" s="14" t="s">
        <v>1561</v>
      </c>
      <c r="J1332" s="21">
        <v>0</v>
      </c>
      <c r="K1332" s="21">
        <v>0</v>
      </c>
      <c r="L1332" s="24">
        <f t="shared" si="40"/>
        <v>0</v>
      </c>
    </row>
    <row r="1333" spans="1:12" x14ac:dyDescent="0.25">
      <c r="A1333" s="15">
        <f t="shared" si="41"/>
        <v>1328</v>
      </c>
      <c r="B1333" s="17">
        <v>120498</v>
      </c>
      <c r="C1333" s="18" t="s">
        <v>484</v>
      </c>
      <c r="D1333" s="20" t="s">
        <v>1556</v>
      </c>
      <c r="E1333" s="19">
        <v>0</v>
      </c>
      <c r="F1333" s="20" t="s">
        <v>1556</v>
      </c>
      <c r="G1333" s="21">
        <v>0</v>
      </c>
      <c r="H1333" s="21">
        <v>0</v>
      </c>
      <c r="I1333" s="14" t="s">
        <v>1561</v>
      </c>
      <c r="J1333" s="21">
        <v>0</v>
      </c>
      <c r="K1333" s="21">
        <v>0</v>
      </c>
      <c r="L1333" s="24">
        <f t="shared" si="40"/>
        <v>0</v>
      </c>
    </row>
    <row r="1334" spans="1:12" x14ac:dyDescent="0.25">
      <c r="A1334" s="15">
        <f t="shared" si="41"/>
        <v>1329</v>
      </c>
      <c r="B1334" s="17">
        <v>120646</v>
      </c>
      <c r="C1334" s="18" t="s">
        <v>918</v>
      </c>
      <c r="D1334" s="20" t="s">
        <v>1556</v>
      </c>
      <c r="E1334" s="19">
        <v>0</v>
      </c>
      <c r="F1334" s="20" t="s">
        <v>1556</v>
      </c>
      <c r="G1334" s="21">
        <v>2.7498624999999999</v>
      </c>
      <c r="H1334" s="21">
        <v>2.7498624999999999</v>
      </c>
      <c r="I1334" s="14" t="s">
        <v>1561</v>
      </c>
      <c r="J1334" s="21">
        <v>8.1354113174999992E-2</v>
      </c>
      <c r="K1334" s="21">
        <v>2.7530155999999999</v>
      </c>
      <c r="L1334" s="24">
        <f t="shared" si="40"/>
        <v>1.0011466391501394</v>
      </c>
    </row>
    <row r="1335" spans="1:12" x14ac:dyDescent="0.25">
      <c r="A1335" s="15">
        <f t="shared" si="41"/>
        <v>1330</v>
      </c>
      <c r="B1335" s="17">
        <v>121232</v>
      </c>
      <c r="C1335" s="18" t="s">
        <v>485</v>
      </c>
      <c r="D1335" s="20" t="s">
        <v>1556</v>
      </c>
      <c r="E1335" s="19">
        <v>0</v>
      </c>
      <c r="F1335" s="20" t="s">
        <v>1556</v>
      </c>
      <c r="G1335" s="21">
        <v>0</v>
      </c>
      <c r="H1335" s="21">
        <v>0</v>
      </c>
      <c r="I1335" s="14" t="s">
        <v>1561</v>
      </c>
      <c r="J1335" s="21">
        <v>0</v>
      </c>
      <c r="K1335" s="21">
        <v>0</v>
      </c>
      <c r="L1335" s="24">
        <f t="shared" si="40"/>
        <v>0</v>
      </c>
    </row>
    <row r="1336" spans="1:12" x14ac:dyDescent="0.25">
      <c r="A1336" s="15">
        <f t="shared" si="41"/>
        <v>1331</v>
      </c>
      <c r="B1336" s="17">
        <v>121519</v>
      </c>
      <c r="C1336" s="18" t="s">
        <v>486</v>
      </c>
      <c r="D1336" s="20" t="s">
        <v>1556</v>
      </c>
      <c r="E1336" s="19">
        <v>0</v>
      </c>
      <c r="F1336" s="20" t="s">
        <v>1556</v>
      </c>
      <c r="G1336" s="21">
        <v>0</v>
      </c>
      <c r="H1336" s="21">
        <v>0</v>
      </c>
      <c r="I1336" s="14" t="s">
        <v>1561</v>
      </c>
      <c r="J1336" s="21">
        <v>0</v>
      </c>
      <c r="K1336" s="21">
        <v>0</v>
      </c>
      <c r="L1336" s="24">
        <f t="shared" si="40"/>
        <v>0</v>
      </c>
    </row>
    <row r="1337" spans="1:12" x14ac:dyDescent="0.25">
      <c r="A1337" s="15">
        <f t="shared" si="41"/>
        <v>1332</v>
      </c>
      <c r="B1337" s="17">
        <v>121779</v>
      </c>
      <c r="C1337" s="18" t="s">
        <v>919</v>
      </c>
      <c r="D1337" s="20">
        <v>0.53709200000000001</v>
      </c>
      <c r="E1337" s="19">
        <v>0</v>
      </c>
      <c r="F1337" s="20">
        <v>0.53709200000000001</v>
      </c>
      <c r="G1337" s="21">
        <v>99.795010299999987</v>
      </c>
      <c r="H1337" s="21">
        <v>89.83457559999998</v>
      </c>
      <c r="I1337" s="14" t="s">
        <v>1561</v>
      </c>
      <c r="J1337" s="21">
        <v>49.88995440562428</v>
      </c>
      <c r="K1337" s="21">
        <v>96.779915899999992</v>
      </c>
      <c r="L1337" s="24">
        <f t="shared" si="40"/>
        <v>0.9697871227134891</v>
      </c>
    </row>
    <row r="1338" spans="1:12" x14ac:dyDescent="0.25">
      <c r="A1338" s="15">
        <f t="shared" si="41"/>
        <v>1333</v>
      </c>
      <c r="B1338" s="17">
        <v>121862</v>
      </c>
      <c r="C1338" s="18" t="s">
        <v>1443</v>
      </c>
      <c r="D1338" s="20" t="s">
        <v>1556</v>
      </c>
      <c r="E1338" s="19">
        <v>0</v>
      </c>
      <c r="F1338" s="20" t="s">
        <v>1556</v>
      </c>
      <c r="G1338" s="21">
        <v>0</v>
      </c>
      <c r="H1338" s="21">
        <v>0</v>
      </c>
      <c r="I1338" s="14" t="s">
        <v>1561</v>
      </c>
      <c r="J1338" s="21">
        <v>0</v>
      </c>
      <c r="K1338" s="21">
        <v>0</v>
      </c>
      <c r="L1338" s="24">
        <f t="shared" si="40"/>
        <v>0</v>
      </c>
    </row>
    <row r="1339" spans="1:12" x14ac:dyDescent="0.25">
      <c r="A1339" s="15">
        <f t="shared" si="41"/>
        <v>1334</v>
      </c>
      <c r="B1339" s="17">
        <v>121967</v>
      </c>
      <c r="C1339" s="18" t="s">
        <v>920</v>
      </c>
      <c r="D1339" s="20" t="s">
        <v>1556</v>
      </c>
      <c r="E1339" s="19">
        <v>0</v>
      </c>
      <c r="F1339" s="20" t="s">
        <v>1556</v>
      </c>
      <c r="G1339" s="21">
        <v>0</v>
      </c>
      <c r="H1339" s="21">
        <v>0</v>
      </c>
      <c r="I1339" s="14" t="s">
        <v>1561</v>
      </c>
      <c r="J1339" s="21">
        <v>0</v>
      </c>
      <c r="K1339" s="21">
        <v>0</v>
      </c>
      <c r="L1339" s="24">
        <f t="shared" si="40"/>
        <v>0</v>
      </c>
    </row>
    <row r="1340" spans="1:12" x14ac:dyDescent="0.25">
      <c r="A1340" s="15">
        <f t="shared" si="41"/>
        <v>1335</v>
      </c>
      <c r="B1340" s="17">
        <v>121996</v>
      </c>
      <c r="C1340" s="18" t="s">
        <v>487</v>
      </c>
      <c r="D1340" s="20" t="s">
        <v>1556</v>
      </c>
      <c r="E1340" s="19">
        <v>0</v>
      </c>
      <c r="F1340" s="20" t="s">
        <v>1556</v>
      </c>
      <c r="G1340" s="21">
        <v>0</v>
      </c>
      <c r="H1340" s="21">
        <v>0</v>
      </c>
      <c r="I1340" s="14" t="s">
        <v>1561</v>
      </c>
      <c r="J1340" s="21">
        <v>0</v>
      </c>
      <c r="K1340" s="21">
        <v>0</v>
      </c>
      <c r="L1340" s="24">
        <f t="shared" si="40"/>
        <v>0</v>
      </c>
    </row>
    <row r="1341" spans="1:12" x14ac:dyDescent="0.25">
      <c r="A1341" s="15">
        <f t="shared" si="41"/>
        <v>1336</v>
      </c>
      <c r="B1341" s="17">
        <v>122073</v>
      </c>
      <c r="C1341" s="18" t="s">
        <v>1444</v>
      </c>
      <c r="D1341" s="20" t="s">
        <v>1556</v>
      </c>
      <c r="E1341" s="19">
        <v>0</v>
      </c>
      <c r="F1341" s="20" t="s">
        <v>1556</v>
      </c>
      <c r="G1341" s="21">
        <v>0</v>
      </c>
      <c r="H1341" s="21">
        <v>0</v>
      </c>
      <c r="I1341" s="14" t="s">
        <v>1561</v>
      </c>
      <c r="J1341" s="21">
        <v>0</v>
      </c>
      <c r="K1341" s="21">
        <v>0</v>
      </c>
      <c r="L1341" s="24">
        <f t="shared" si="40"/>
        <v>0</v>
      </c>
    </row>
    <row r="1342" spans="1:12" x14ac:dyDescent="0.25">
      <c r="A1342" s="15">
        <f t="shared" si="41"/>
        <v>1337</v>
      </c>
      <c r="B1342" s="17">
        <v>122590</v>
      </c>
      <c r="C1342" s="18" t="s">
        <v>921</v>
      </c>
      <c r="D1342" s="20" t="s">
        <v>1556</v>
      </c>
      <c r="E1342" s="19">
        <v>0</v>
      </c>
      <c r="F1342" s="20" t="s">
        <v>1556</v>
      </c>
      <c r="G1342" s="21">
        <v>0</v>
      </c>
      <c r="H1342" s="21">
        <v>0</v>
      </c>
      <c r="I1342" s="14" t="s">
        <v>1561</v>
      </c>
      <c r="J1342" s="21">
        <v>0</v>
      </c>
      <c r="K1342" s="21">
        <v>0</v>
      </c>
      <c r="L1342" s="24">
        <f t="shared" si="40"/>
        <v>0</v>
      </c>
    </row>
    <row r="1343" spans="1:12" x14ac:dyDescent="0.25">
      <c r="A1343" s="15">
        <f t="shared" si="41"/>
        <v>1338</v>
      </c>
      <c r="B1343" s="17">
        <v>122627</v>
      </c>
      <c r="C1343" s="18" t="s">
        <v>1445</v>
      </c>
      <c r="D1343" s="20" t="s">
        <v>1556</v>
      </c>
      <c r="E1343" s="19">
        <v>0</v>
      </c>
      <c r="F1343" s="20" t="s">
        <v>1556</v>
      </c>
      <c r="G1343" s="21">
        <v>0</v>
      </c>
      <c r="H1343" s="21">
        <v>0</v>
      </c>
      <c r="I1343" s="14" t="s">
        <v>1561</v>
      </c>
      <c r="J1343" s="21">
        <v>0</v>
      </c>
      <c r="K1343" s="21">
        <v>0</v>
      </c>
      <c r="L1343" s="24">
        <f t="shared" si="40"/>
        <v>0</v>
      </c>
    </row>
    <row r="1344" spans="1:12" x14ac:dyDescent="0.25">
      <c r="A1344" s="15">
        <f t="shared" si="41"/>
        <v>1339</v>
      </c>
      <c r="B1344" s="17">
        <v>122765</v>
      </c>
      <c r="C1344" s="18" t="s">
        <v>922</v>
      </c>
      <c r="D1344" s="20" t="s">
        <v>1556</v>
      </c>
      <c r="E1344" s="19">
        <v>0</v>
      </c>
      <c r="F1344" s="20" t="s">
        <v>1556</v>
      </c>
      <c r="G1344" s="21">
        <v>0</v>
      </c>
      <c r="H1344" s="21">
        <v>0</v>
      </c>
      <c r="I1344" s="14" t="s">
        <v>1561</v>
      </c>
      <c r="J1344" s="21">
        <v>0</v>
      </c>
      <c r="K1344" s="21">
        <v>0</v>
      </c>
      <c r="L1344" s="24">
        <f t="shared" si="40"/>
        <v>0</v>
      </c>
    </row>
    <row r="1345" spans="1:12" x14ac:dyDescent="0.25">
      <c r="A1345" s="15">
        <f t="shared" si="41"/>
        <v>1340</v>
      </c>
      <c r="B1345" s="17">
        <v>123179</v>
      </c>
      <c r="C1345" s="18" t="s">
        <v>923</v>
      </c>
      <c r="D1345" s="20">
        <v>0.25543729999999998</v>
      </c>
      <c r="E1345" s="19">
        <v>0</v>
      </c>
      <c r="F1345" s="20">
        <v>0.25543729999999998</v>
      </c>
      <c r="G1345" s="21">
        <v>65.8323994</v>
      </c>
      <c r="H1345" s="21">
        <v>33.284533800000005</v>
      </c>
      <c r="I1345" s="14" t="s">
        <v>1561</v>
      </c>
      <c r="J1345" s="21">
        <v>28.384391000387264</v>
      </c>
      <c r="K1345" s="21">
        <v>34.388587299999998</v>
      </c>
      <c r="L1345" s="24">
        <f t="shared" si="40"/>
        <v>0.52236569855298332</v>
      </c>
    </row>
    <row r="1346" spans="1:12" x14ac:dyDescent="0.25">
      <c r="A1346" s="15">
        <f t="shared" si="41"/>
        <v>1341</v>
      </c>
      <c r="B1346" s="17">
        <v>123677</v>
      </c>
      <c r="C1346" s="18" t="s">
        <v>1446</v>
      </c>
      <c r="D1346" s="20" t="s">
        <v>1556</v>
      </c>
      <c r="E1346" s="19">
        <v>0</v>
      </c>
      <c r="F1346" s="20" t="s">
        <v>1556</v>
      </c>
      <c r="G1346" s="21">
        <v>2.7398632000000003</v>
      </c>
      <c r="H1346" s="21">
        <v>2.7398632000000003</v>
      </c>
      <c r="I1346" s="14" t="s">
        <v>1561</v>
      </c>
      <c r="J1346" s="21">
        <v>0.4290210882820788</v>
      </c>
      <c r="K1346" s="21">
        <v>2.7746347999999998</v>
      </c>
      <c r="L1346" s="24">
        <f t="shared" si="40"/>
        <v>1.0126909985870827</v>
      </c>
    </row>
    <row r="1347" spans="1:12" x14ac:dyDescent="0.25">
      <c r="A1347" s="15">
        <f t="shared" si="41"/>
        <v>1342</v>
      </c>
      <c r="B1347" s="17">
        <v>124173</v>
      </c>
      <c r="C1347" s="18" t="s">
        <v>1447</v>
      </c>
      <c r="D1347" s="20" t="s">
        <v>1556</v>
      </c>
      <c r="E1347" s="19">
        <v>0</v>
      </c>
      <c r="F1347" s="20" t="s">
        <v>1556</v>
      </c>
      <c r="G1347" s="21">
        <v>0</v>
      </c>
      <c r="H1347" s="21">
        <v>0</v>
      </c>
      <c r="I1347" s="14" t="s">
        <v>1561</v>
      </c>
      <c r="J1347" s="21">
        <v>0</v>
      </c>
      <c r="K1347" s="21">
        <v>0</v>
      </c>
      <c r="L1347" s="24">
        <f t="shared" si="40"/>
        <v>0</v>
      </c>
    </row>
    <row r="1348" spans="1:12" x14ac:dyDescent="0.25">
      <c r="A1348" s="15">
        <f t="shared" si="41"/>
        <v>1343</v>
      </c>
      <c r="B1348" s="17">
        <v>124304</v>
      </c>
      <c r="C1348" s="18" t="s">
        <v>1448</v>
      </c>
      <c r="D1348" s="20">
        <v>0.35939089999999996</v>
      </c>
      <c r="E1348" s="19">
        <v>0</v>
      </c>
      <c r="F1348" s="20">
        <v>0.35939089999999996</v>
      </c>
      <c r="G1348" s="21">
        <v>185.78581840000001</v>
      </c>
      <c r="H1348" s="21">
        <v>135.7317649</v>
      </c>
      <c r="I1348" s="14" t="s">
        <v>1561</v>
      </c>
      <c r="J1348" s="21">
        <v>46.399924287551002</v>
      </c>
      <c r="K1348" s="21">
        <v>144.23331289999999</v>
      </c>
      <c r="L1348" s="24">
        <f t="shared" si="40"/>
        <v>0.77634188735258158</v>
      </c>
    </row>
    <row r="1349" spans="1:12" x14ac:dyDescent="0.25">
      <c r="A1349" s="15">
        <f t="shared" si="41"/>
        <v>1344</v>
      </c>
      <c r="B1349" s="17">
        <v>124591</v>
      </c>
      <c r="C1349" s="18" t="s">
        <v>1449</v>
      </c>
      <c r="D1349" s="20" t="s">
        <v>1556</v>
      </c>
      <c r="E1349" s="19">
        <v>0</v>
      </c>
      <c r="F1349" s="20" t="s">
        <v>1556</v>
      </c>
      <c r="G1349" s="21">
        <v>0.159992</v>
      </c>
      <c r="H1349" s="21">
        <v>0.159992</v>
      </c>
      <c r="I1349" s="14" t="s">
        <v>1561</v>
      </c>
      <c r="J1349" s="21">
        <v>5.8654736287365596E-2</v>
      </c>
      <c r="K1349" s="21">
        <v>0.1683713</v>
      </c>
      <c r="L1349" s="24">
        <f t="shared" si="40"/>
        <v>1.0523732436621831</v>
      </c>
    </row>
    <row r="1350" spans="1:12" x14ac:dyDescent="0.25">
      <c r="A1350" s="15">
        <f t="shared" si="41"/>
        <v>1345</v>
      </c>
      <c r="B1350" s="17">
        <v>124619</v>
      </c>
      <c r="C1350" s="18" t="s">
        <v>1450</v>
      </c>
      <c r="D1350" s="20" t="s">
        <v>1556</v>
      </c>
      <c r="E1350" s="19">
        <v>0</v>
      </c>
      <c r="F1350" s="20" t="s">
        <v>1556</v>
      </c>
      <c r="G1350" s="21">
        <v>0</v>
      </c>
      <c r="H1350" s="21">
        <v>0</v>
      </c>
      <c r="I1350" s="14" t="s">
        <v>1561</v>
      </c>
      <c r="J1350" s="21">
        <v>0</v>
      </c>
      <c r="K1350" s="21">
        <v>0</v>
      </c>
      <c r="L1350" s="24">
        <f t="shared" si="40"/>
        <v>0</v>
      </c>
    </row>
    <row r="1351" spans="1:12" x14ac:dyDescent="0.25">
      <c r="A1351" s="15">
        <f t="shared" si="41"/>
        <v>1346</v>
      </c>
      <c r="B1351" s="17">
        <v>124881</v>
      </c>
      <c r="C1351" s="18" t="s">
        <v>1451</v>
      </c>
      <c r="D1351" s="20" t="s">
        <v>1556</v>
      </c>
      <c r="E1351" s="19">
        <v>0</v>
      </c>
      <c r="F1351" s="20" t="s">
        <v>1556</v>
      </c>
      <c r="G1351" s="21">
        <v>0</v>
      </c>
      <c r="H1351" s="21">
        <v>0</v>
      </c>
      <c r="I1351" s="14" t="s">
        <v>1561</v>
      </c>
      <c r="J1351" s="21">
        <v>0</v>
      </c>
      <c r="K1351" s="21">
        <v>0</v>
      </c>
      <c r="L1351" s="24">
        <f t="shared" ref="L1351:L1414" si="42">+IFERROR(K1351/G1351,0)</f>
        <v>0</v>
      </c>
    </row>
    <row r="1352" spans="1:12" x14ac:dyDescent="0.25">
      <c r="A1352" s="15">
        <f t="shared" ref="A1352:A1415" si="43">A1351+1</f>
        <v>1347</v>
      </c>
      <c r="B1352" s="17">
        <v>124974</v>
      </c>
      <c r="C1352" s="18" t="s">
        <v>1452</v>
      </c>
      <c r="D1352" s="20" t="s">
        <v>1556</v>
      </c>
      <c r="E1352" s="19">
        <v>0</v>
      </c>
      <c r="F1352" s="20" t="s">
        <v>1556</v>
      </c>
      <c r="G1352" s="21">
        <v>0</v>
      </c>
      <c r="H1352" s="21">
        <v>0</v>
      </c>
      <c r="I1352" s="14" t="s">
        <v>1561</v>
      </c>
      <c r="J1352" s="21">
        <v>0</v>
      </c>
      <c r="K1352" s="21">
        <v>0</v>
      </c>
      <c r="L1352" s="24">
        <f t="shared" si="42"/>
        <v>0</v>
      </c>
    </row>
    <row r="1353" spans="1:12" x14ac:dyDescent="0.25">
      <c r="A1353" s="15">
        <f t="shared" si="43"/>
        <v>1348</v>
      </c>
      <c r="B1353" s="17">
        <v>125185</v>
      </c>
      <c r="C1353" s="18" t="s">
        <v>924</v>
      </c>
      <c r="D1353" s="20" t="s">
        <v>1556</v>
      </c>
      <c r="E1353" s="19">
        <v>0</v>
      </c>
      <c r="F1353" s="20" t="s">
        <v>1556</v>
      </c>
      <c r="G1353" s="21">
        <v>0</v>
      </c>
      <c r="H1353" s="21">
        <v>0</v>
      </c>
      <c r="I1353" s="14" t="s">
        <v>1561</v>
      </c>
      <c r="J1353" s="21">
        <v>0</v>
      </c>
      <c r="K1353" s="21">
        <v>0</v>
      </c>
      <c r="L1353" s="24">
        <f t="shared" si="42"/>
        <v>0</v>
      </c>
    </row>
    <row r="1354" spans="1:12" x14ac:dyDescent="0.25">
      <c r="A1354" s="15">
        <f t="shared" si="43"/>
        <v>1349</v>
      </c>
      <c r="B1354" s="17">
        <v>125371</v>
      </c>
      <c r="C1354" s="18" t="s">
        <v>1453</v>
      </c>
      <c r="D1354" s="20" t="s">
        <v>1556</v>
      </c>
      <c r="E1354" s="19">
        <v>0</v>
      </c>
      <c r="F1354" s="20" t="s">
        <v>1556</v>
      </c>
      <c r="G1354" s="21">
        <v>0</v>
      </c>
      <c r="H1354" s="21">
        <v>0</v>
      </c>
      <c r="I1354" s="14" t="s">
        <v>1561</v>
      </c>
      <c r="J1354" s="21">
        <v>0</v>
      </c>
      <c r="K1354" s="21">
        <v>0</v>
      </c>
      <c r="L1354" s="24">
        <f t="shared" si="42"/>
        <v>0</v>
      </c>
    </row>
    <row r="1355" spans="1:12" x14ac:dyDescent="0.25">
      <c r="A1355" s="15">
        <f t="shared" si="43"/>
        <v>1350</v>
      </c>
      <c r="B1355" s="17">
        <v>125855</v>
      </c>
      <c r="C1355" s="18" t="s">
        <v>488</v>
      </c>
      <c r="D1355" s="20" t="s">
        <v>1556</v>
      </c>
      <c r="E1355" s="19">
        <v>0</v>
      </c>
      <c r="F1355" s="20" t="s">
        <v>1556</v>
      </c>
      <c r="G1355" s="21">
        <v>0</v>
      </c>
      <c r="H1355" s="21">
        <v>0</v>
      </c>
      <c r="I1355" s="14" t="s">
        <v>1561</v>
      </c>
      <c r="J1355" s="21">
        <v>0</v>
      </c>
      <c r="K1355" s="21">
        <v>0</v>
      </c>
      <c r="L1355" s="24">
        <f t="shared" si="42"/>
        <v>0</v>
      </c>
    </row>
    <row r="1356" spans="1:12" x14ac:dyDescent="0.25">
      <c r="A1356" s="15">
        <f t="shared" si="43"/>
        <v>1351</v>
      </c>
      <c r="B1356" s="17">
        <v>126827</v>
      </c>
      <c r="C1356" s="18" t="s">
        <v>489</v>
      </c>
      <c r="D1356" s="20" t="s">
        <v>1556</v>
      </c>
      <c r="E1356" s="19">
        <v>0</v>
      </c>
      <c r="F1356" s="20" t="s">
        <v>1556</v>
      </c>
      <c r="G1356" s="21">
        <v>0</v>
      </c>
      <c r="H1356" s="21">
        <v>0</v>
      </c>
      <c r="I1356" s="14" t="s">
        <v>1561</v>
      </c>
      <c r="J1356" s="21">
        <v>0</v>
      </c>
      <c r="K1356" s="21">
        <v>0</v>
      </c>
      <c r="L1356" s="24">
        <f t="shared" si="42"/>
        <v>0</v>
      </c>
    </row>
    <row r="1357" spans="1:12" x14ac:dyDescent="0.25">
      <c r="A1357" s="15">
        <f t="shared" si="43"/>
        <v>1352</v>
      </c>
      <c r="B1357" s="17">
        <v>126908</v>
      </c>
      <c r="C1357" s="18" t="s">
        <v>1454</v>
      </c>
      <c r="D1357" s="20" t="s">
        <v>1556</v>
      </c>
      <c r="E1357" s="19">
        <v>0</v>
      </c>
      <c r="F1357" s="20" t="s">
        <v>1556</v>
      </c>
      <c r="G1357" s="21">
        <v>0</v>
      </c>
      <c r="H1357" s="21">
        <v>0</v>
      </c>
      <c r="I1357" s="14" t="s">
        <v>1561</v>
      </c>
      <c r="J1357" s="21">
        <v>0</v>
      </c>
      <c r="K1357" s="21">
        <v>0</v>
      </c>
      <c r="L1357" s="24">
        <f t="shared" si="42"/>
        <v>0</v>
      </c>
    </row>
    <row r="1358" spans="1:12" x14ac:dyDescent="0.25">
      <c r="A1358" s="15">
        <f t="shared" si="43"/>
        <v>1353</v>
      </c>
      <c r="B1358" s="17">
        <v>127058</v>
      </c>
      <c r="C1358" s="18" t="s">
        <v>1455</v>
      </c>
      <c r="D1358" s="20" t="s">
        <v>1556</v>
      </c>
      <c r="E1358" s="19">
        <v>0</v>
      </c>
      <c r="F1358" s="20" t="s">
        <v>1556</v>
      </c>
      <c r="G1358" s="21">
        <v>0</v>
      </c>
      <c r="H1358" s="21">
        <v>0</v>
      </c>
      <c r="I1358" s="14" t="s">
        <v>1561</v>
      </c>
      <c r="J1358" s="21">
        <v>0</v>
      </c>
      <c r="K1358" s="21">
        <v>0</v>
      </c>
      <c r="L1358" s="24">
        <f t="shared" si="42"/>
        <v>0</v>
      </c>
    </row>
    <row r="1359" spans="1:12" x14ac:dyDescent="0.25">
      <c r="A1359" s="15">
        <f t="shared" si="43"/>
        <v>1354</v>
      </c>
      <c r="B1359" s="17">
        <v>127251</v>
      </c>
      <c r="C1359" s="18" t="s">
        <v>1456</v>
      </c>
      <c r="D1359" s="20" t="s">
        <v>1556</v>
      </c>
      <c r="E1359" s="19">
        <v>0</v>
      </c>
      <c r="F1359" s="20" t="s">
        <v>1556</v>
      </c>
      <c r="G1359" s="21">
        <v>0</v>
      </c>
      <c r="H1359" s="21">
        <v>0</v>
      </c>
      <c r="I1359" s="14" t="s">
        <v>1561</v>
      </c>
      <c r="J1359" s="21">
        <v>0</v>
      </c>
      <c r="K1359" s="21">
        <v>0</v>
      </c>
      <c r="L1359" s="24">
        <f t="shared" si="42"/>
        <v>0</v>
      </c>
    </row>
    <row r="1360" spans="1:12" x14ac:dyDescent="0.25">
      <c r="A1360" s="15">
        <f t="shared" si="43"/>
        <v>1355</v>
      </c>
      <c r="B1360" s="17">
        <v>127385</v>
      </c>
      <c r="C1360" s="18" t="s">
        <v>427</v>
      </c>
      <c r="D1360" s="20">
        <v>1.0174979</v>
      </c>
      <c r="E1360" s="19">
        <v>0</v>
      </c>
      <c r="F1360" s="20">
        <v>1.0174979</v>
      </c>
      <c r="G1360" s="21">
        <v>0</v>
      </c>
      <c r="H1360" s="21">
        <v>0</v>
      </c>
      <c r="I1360" s="14" t="s">
        <v>1561</v>
      </c>
      <c r="J1360" s="21">
        <v>56.25045447123653</v>
      </c>
      <c r="K1360" s="21">
        <v>0</v>
      </c>
      <c r="L1360" s="24">
        <f t="shared" si="42"/>
        <v>0</v>
      </c>
    </row>
    <row r="1361" spans="1:12" x14ac:dyDescent="0.25">
      <c r="A1361" s="15">
        <f t="shared" si="43"/>
        <v>1356</v>
      </c>
      <c r="B1361" s="17">
        <v>127545</v>
      </c>
      <c r="C1361" s="18" t="s">
        <v>1457</v>
      </c>
      <c r="D1361" s="20" t="s">
        <v>1556</v>
      </c>
      <c r="E1361" s="19">
        <v>0</v>
      </c>
      <c r="F1361" s="20" t="s">
        <v>1556</v>
      </c>
      <c r="G1361" s="21">
        <v>4.9997499999999997</v>
      </c>
      <c r="H1361" s="21">
        <v>4.9997499999999997</v>
      </c>
      <c r="I1361" s="14" t="s">
        <v>1561</v>
      </c>
      <c r="J1361" s="21">
        <v>0.53643625215000001</v>
      </c>
      <c r="K1361" s="21">
        <v>5.3537369999999997</v>
      </c>
      <c r="L1361" s="24">
        <f t="shared" si="42"/>
        <v>1.0708009400470024</v>
      </c>
    </row>
    <row r="1362" spans="1:12" x14ac:dyDescent="0.25">
      <c r="A1362" s="15">
        <f t="shared" si="43"/>
        <v>1357</v>
      </c>
      <c r="B1362" s="17">
        <v>127549</v>
      </c>
      <c r="C1362" s="18" t="s">
        <v>428</v>
      </c>
      <c r="D1362" s="20" t="s">
        <v>1556</v>
      </c>
      <c r="E1362" s="19">
        <v>0</v>
      </c>
      <c r="F1362" s="20" t="s">
        <v>1556</v>
      </c>
      <c r="G1362" s="21">
        <v>0</v>
      </c>
      <c r="H1362" s="21">
        <v>0</v>
      </c>
      <c r="I1362" s="14" t="s">
        <v>1561</v>
      </c>
      <c r="J1362" s="21">
        <v>0</v>
      </c>
      <c r="K1362" s="21">
        <v>0</v>
      </c>
      <c r="L1362" s="24">
        <f t="shared" si="42"/>
        <v>0</v>
      </c>
    </row>
    <row r="1363" spans="1:12" x14ac:dyDescent="0.25">
      <c r="A1363" s="15">
        <f t="shared" si="43"/>
        <v>1358</v>
      </c>
      <c r="B1363" s="17">
        <v>128216</v>
      </c>
      <c r="C1363" s="18" t="s">
        <v>1458</v>
      </c>
      <c r="D1363" s="20">
        <v>2.5493000000000002E-2</v>
      </c>
      <c r="E1363" s="19">
        <v>0</v>
      </c>
      <c r="F1363" s="20">
        <v>2.5493000000000002E-2</v>
      </c>
      <c r="G1363" s="21">
        <v>1.9599023999999998</v>
      </c>
      <c r="H1363" s="21">
        <v>1.4762398999999999</v>
      </c>
      <c r="I1363" s="14" t="s">
        <v>1561</v>
      </c>
      <c r="J1363" s="21">
        <v>1.0652916303293907</v>
      </c>
      <c r="K1363" s="21">
        <v>1.7174832999999998</v>
      </c>
      <c r="L1363" s="24">
        <f t="shared" si="42"/>
        <v>0.87631062648833946</v>
      </c>
    </row>
    <row r="1364" spans="1:12" x14ac:dyDescent="0.25">
      <c r="A1364" s="15">
        <f t="shared" si="43"/>
        <v>1359</v>
      </c>
      <c r="B1364" s="17">
        <v>128428</v>
      </c>
      <c r="C1364" s="18" t="s">
        <v>526</v>
      </c>
      <c r="D1364" s="20" t="s">
        <v>1556</v>
      </c>
      <c r="E1364" s="19">
        <v>0</v>
      </c>
      <c r="F1364" s="20" t="s">
        <v>1556</v>
      </c>
      <c r="G1364" s="21">
        <v>0</v>
      </c>
      <c r="H1364" s="21">
        <v>0</v>
      </c>
      <c r="I1364" s="14" t="s">
        <v>1561</v>
      </c>
      <c r="J1364" s="21">
        <v>0</v>
      </c>
      <c r="K1364" s="21">
        <v>0</v>
      </c>
      <c r="L1364" s="24">
        <f t="shared" si="42"/>
        <v>0</v>
      </c>
    </row>
    <row r="1365" spans="1:12" x14ac:dyDescent="0.25">
      <c r="A1365" s="15">
        <f t="shared" si="43"/>
        <v>1360</v>
      </c>
      <c r="B1365" s="17">
        <v>128555</v>
      </c>
      <c r="C1365" s="18" t="s">
        <v>1459</v>
      </c>
      <c r="D1365" s="20" t="s">
        <v>1556</v>
      </c>
      <c r="E1365" s="19">
        <v>0</v>
      </c>
      <c r="F1365" s="20" t="s">
        <v>1556</v>
      </c>
      <c r="G1365" s="21">
        <v>0</v>
      </c>
      <c r="H1365" s="21">
        <v>0</v>
      </c>
      <c r="I1365" s="14" t="s">
        <v>1561</v>
      </c>
      <c r="J1365" s="21">
        <v>0</v>
      </c>
      <c r="K1365" s="21">
        <v>0</v>
      </c>
      <c r="L1365" s="24">
        <f t="shared" si="42"/>
        <v>0</v>
      </c>
    </row>
    <row r="1366" spans="1:12" x14ac:dyDescent="0.25">
      <c r="A1366" s="15">
        <f t="shared" si="43"/>
        <v>1361</v>
      </c>
      <c r="B1366" s="17">
        <v>128693</v>
      </c>
      <c r="C1366" s="18" t="s">
        <v>1460</v>
      </c>
      <c r="D1366" s="20" t="s">
        <v>1556</v>
      </c>
      <c r="E1366" s="19">
        <v>0</v>
      </c>
      <c r="F1366" s="20" t="s">
        <v>1556</v>
      </c>
      <c r="G1366" s="21">
        <v>0</v>
      </c>
      <c r="H1366" s="21">
        <v>0</v>
      </c>
      <c r="I1366" s="14" t="s">
        <v>1561</v>
      </c>
      <c r="J1366" s="21">
        <v>0</v>
      </c>
      <c r="K1366" s="21">
        <v>0</v>
      </c>
      <c r="L1366" s="24">
        <f t="shared" si="42"/>
        <v>0</v>
      </c>
    </row>
    <row r="1367" spans="1:12" x14ac:dyDescent="0.25">
      <c r="A1367" s="15">
        <f t="shared" si="43"/>
        <v>1362</v>
      </c>
      <c r="B1367" s="17">
        <v>128769</v>
      </c>
      <c r="C1367" s="18" t="s">
        <v>1461</v>
      </c>
      <c r="D1367" s="20">
        <v>2.1338299999999998E-2</v>
      </c>
      <c r="E1367" s="19">
        <v>0</v>
      </c>
      <c r="F1367" s="20">
        <v>2.1338299999999998E-2</v>
      </c>
      <c r="G1367" s="21">
        <v>73.791310800000005</v>
      </c>
      <c r="H1367" s="21">
        <v>73.466295299999999</v>
      </c>
      <c r="I1367" s="14" t="s">
        <v>1561</v>
      </c>
      <c r="J1367" s="21">
        <v>6.0074615616691753</v>
      </c>
      <c r="K1367" s="21">
        <v>75.619053499999993</v>
      </c>
      <c r="L1367" s="24">
        <f t="shared" si="42"/>
        <v>1.0247690775537759</v>
      </c>
    </row>
    <row r="1368" spans="1:12" x14ac:dyDescent="0.25">
      <c r="A1368" s="15">
        <f t="shared" si="43"/>
        <v>1363</v>
      </c>
      <c r="B1368" s="17">
        <v>128837</v>
      </c>
      <c r="C1368" s="18" t="s">
        <v>1462</v>
      </c>
      <c r="D1368" s="20" t="s">
        <v>1556</v>
      </c>
      <c r="E1368" s="19">
        <v>0</v>
      </c>
      <c r="F1368" s="20" t="s">
        <v>1556</v>
      </c>
      <c r="G1368" s="21">
        <v>0</v>
      </c>
      <c r="H1368" s="21">
        <v>0</v>
      </c>
      <c r="I1368" s="14" t="s">
        <v>1561</v>
      </c>
      <c r="J1368" s="21">
        <v>0</v>
      </c>
      <c r="K1368" s="21">
        <v>0</v>
      </c>
      <c r="L1368" s="24">
        <f t="shared" si="42"/>
        <v>0</v>
      </c>
    </row>
    <row r="1369" spans="1:12" x14ac:dyDescent="0.25">
      <c r="A1369" s="15">
        <f t="shared" si="43"/>
        <v>1364</v>
      </c>
      <c r="B1369" s="17">
        <v>129543</v>
      </c>
      <c r="C1369" s="18" t="s">
        <v>925</v>
      </c>
      <c r="D1369" s="20" t="s">
        <v>1556</v>
      </c>
      <c r="E1369" s="19">
        <v>0</v>
      </c>
      <c r="F1369" s="20" t="s">
        <v>1556</v>
      </c>
      <c r="G1369" s="21">
        <v>0.299985</v>
      </c>
      <c r="H1369" s="21">
        <v>0.299985</v>
      </c>
      <c r="I1369" s="14" t="s">
        <v>1561</v>
      </c>
      <c r="J1369" s="21">
        <v>7.8542001635215047E-2</v>
      </c>
      <c r="K1369" s="21">
        <v>0.31008340000000001</v>
      </c>
      <c r="L1369" s="24">
        <f t="shared" si="42"/>
        <v>1.0336630164841576</v>
      </c>
    </row>
    <row r="1370" spans="1:12" x14ac:dyDescent="0.25">
      <c r="A1370" s="15">
        <f t="shared" si="43"/>
        <v>1365</v>
      </c>
      <c r="B1370" s="17">
        <v>130604</v>
      </c>
      <c r="C1370" s="18" t="s">
        <v>926</v>
      </c>
      <c r="D1370" s="20">
        <v>0.11215860000000001</v>
      </c>
      <c r="E1370" s="19">
        <v>0</v>
      </c>
      <c r="F1370" s="20">
        <v>0.11215860000000001</v>
      </c>
      <c r="G1370" s="21">
        <v>41.121746800000004</v>
      </c>
      <c r="H1370" s="21">
        <v>37.330623200000005</v>
      </c>
      <c r="I1370" s="14" t="s">
        <v>1561</v>
      </c>
      <c r="J1370" s="21">
        <v>7.9740333565697155</v>
      </c>
      <c r="K1370" s="21">
        <v>39.442871699999998</v>
      </c>
      <c r="L1370" s="24">
        <f t="shared" si="42"/>
        <v>0.95917305973976752</v>
      </c>
    </row>
    <row r="1371" spans="1:12" x14ac:dyDescent="0.25">
      <c r="A1371" s="15">
        <f t="shared" si="43"/>
        <v>1366</v>
      </c>
      <c r="B1371" s="17">
        <v>130786</v>
      </c>
      <c r="C1371" s="18" t="s">
        <v>1463</v>
      </c>
      <c r="D1371" s="20" t="s">
        <v>1556</v>
      </c>
      <c r="E1371" s="19">
        <v>0</v>
      </c>
      <c r="F1371" s="20" t="s">
        <v>1556</v>
      </c>
      <c r="G1371" s="21">
        <v>0</v>
      </c>
      <c r="H1371" s="21">
        <v>0</v>
      </c>
      <c r="I1371" s="14" t="s">
        <v>1561</v>
      </c>
      <c r="J1371" s="21">
        <v>0</v>
      </c>
      <c r="K1371" s="21">
        <v>0</v>
      </c>
      <c r="L1371" s="24">
        <f t="shared" si="42"/>
        <v>0</v>
      </c>
    </row>
    <row r="1372" spans="1:12" x14ac:dyDescent="0.25">
      <c r="A1372" s="15">
        <f t="shared" si="43"/>
        <v>1367</v>
      </c>
      <c r="B1372" s="17">
        <v>130833</v>
      </c>
      <c r="C1372" s="18" t="s">
        <v>927</v>
      </c>
      <c r="D1372" s="20">
        <v>3.5097065000000001</v>
      </c>
      <c r="E1372" s="19">
        <v>0</v>
      </c>
      <c r="F1372" s="20">
        <v>3.5097065000000001</v>
      </c>
      <c r="G1372" s="21">
        <v>792.03826890000005</v>
      </c>
      <c r="H1372" s="21">
        <v>532.38017379999997</v>
      </c>
      <c r="I1372" s="14" t="s">
        <v>1561</v>
      </c>
      <c r="J1372" s="21">
        <v>295.99698338962958</v>
      </c>
      <c r="K1372" s="21">
        <v>571.05714660000001</v>
      </c>
      <c r="L1372" s="24">
        <f t="shared" si="42"/>
        <v>0.72099691267834387</v>
      </c>
    </row>
    <row r="1373" spans="1:12" x14ac:dyDescent="0.25">
      <c r="A1373" s="15">
        <f t="shared" si="43"/>
        <v>1368</v>
      </c>
      <c r="B1373" s="17">
        <v>131487</v>
      </c>
      <c r="C1373" s="18" t="s">
        <v>1464</v>
      </c>
      <c r="D1373" s="20">
        <v>6.3170000000000006E-3</v>
      </c>
      <c r="E1373" s="19">
        <v>0</v>
      </c>
      <c r="F1373" s="20">
        <v>6.3170000000000006E-3</v>
      </c>
      <c r="G1373" s="21">
        <v>18.364082</v>
      </c>
      <c r="H1373" s="21">
        <v>18.364082</v>
      </c>
      <c r="I1373" s="14" t="s">
        <v>1561</v>
      </c>
      <c r="J1373" s="21">
        <v>2.7471020283408598</v>
      </c>
      <c r="K1373" s="21">
        <v>19.261513600000001</v>
      </c>
      <c r="L1373" s="24">
        <f t="shared" si="42"/>
        <v>1.048868851707371</v>
      </c>
    </row>
    <row r="1374" spans="1:12" x14ac:dyDescent="0.25">
      <c r="A1374" s="15">
        <f t="shared" si="43"/>
        <v>1369</v>
      </c>
      <c r="B1374" s="17">
        <v>131587</v>
      </c>
      <c r="C1374" s="18" t="s">
        <v>1465</v>
      </c>
      <c r="D1374" s="20" t="s">
        <v>1556</v>
      </c>
      <c r="E1374" s="19">
        <v>0</v>
      </c>
      <c r="F1374" s="20" t="s">
        <v>1556</v>
      </c>
      <c r="G1374" s="21">
        <v>0</v>
      </c>
      <c r="H1374" s="21">
        <v>0</v>
      </c>
      <c r="I1374" s="14" t="s">
        <v>1561</v>
      </c>
      <c r="J1374" s="21">
        <v>0</v>
      </c>
      <c r="K1374" s="21">
        <v>0</v>
      </c>
      <c r="L1374" s="24">
        <f t="shared" si="42"/>
        <v>0</v>
      </c>
    </row>
    <row r="1375" spans="1:12" x14ac:dyDescent="0.25">
      <c r="A1375" s="15">
        <f t="shared" si="43"/>
        <v>1370</v>
      </c>
      <c r="B1375" s="17">
        <v>132017</v>
      </c>
      <c r="C1375" s="18" t="s">
        <v>490</v>
      </c>
      <c r="D1375" s="20">
        <v>26.327811400000002</v>
      </c>
      <c r="E1375" s="19">
        <v>0</v>
      </c>
      <c r="F1375" s="20">
        <v>26.327811400000002</v>
      </c>
      <c r="G1375" s="21">
        <v>2085.2539643</v>
      </c>
      <c r="H1375" s="21">
        <v>1258.8887795000001</v>
      </c>
      <c r="I1375" s="14" t="s">
        <v>1561</v>
      </c>
      <c r="J1375" s="21">
        <v>1691.4671944587546</v>
      </c>
      <c r="K1375" s="21">
        <v>2320.4587839000001</v>
      </c>
      <c r="L1375" s="24">
        <f t="shared" si="42"/>
        <v>1.1127943279939794</v>
      </c>
    </row>
    <row r="1376" spans="1:12" x14ac:dyDescent="0.25">
      <c r="A1376" s="15">
        <f t="shared" si="43"/>
        <v>1371</v>
      </c>
      <c r="B1376" s="17">
        <v>132269</v>
      </c>
      <c r="C1376" s="18" t="s">
        <v>928</v>
      </c>
      <c r="D1376" s="20" t="s">
        <v>1556</v>
      </c>
      <c r="E1376" s="19">
        <v>0</v>
      </c>
      <c r="F1376" s="20" t="s">
        <v>1556</v>
      </c>
      <c r="G1376" s="21">
        <v>0</v>
      </c>
      <c r="H1376" s="21">
        <v>0</v>
      </c>
      <c r="I1376" s="14" t="s">
        <v>1561</v>
      </c>
      <c r="J1376" s="21">
        <v>0</v>
      </c>
      <c r="K1376" s="21">
        <v>0</v>
      </c>
      <c r="L1376" s="24">
        <f t="shared" si="42"/>
        <v>0</v>
      </c>
    </row>
    <row r="1377" spans="1:12" x14ac:dyDescent="0.25">
      <c r="A1377" s="15">
        <f t="shared" si="43"/>
        <v>1372</v>
      </c>
      <c r="B1377" s="17">
        <v>132638</v>
      </c>
      <c r="C1377" s="18" t="s">
        <v>929</v>
      </c>
      <c r="D1377" s="20" t="s">
        <v>1556</v>
      </c>
      <c r="E1377" s="19">
        <v>0</v>
      </c>
      <c r="F1377" s="20" t="s">
        <v>1556</v>
      </c>
      <c r="G1377" s="21">
        <v>0</v>
      </c>
      <c r="H1377" s="21">
        <v>0</v>
      </c>
      <c r="I1377" s="14" t="s">
        <v>1561</v>
      </c>
      <c r="J1377" s="21">
        <v>0</v>
      </c>
      <c r="K1377" s="21">
        <v>0</v>
      </c>
      <c r="L1377" s="24">
        <f t="shared" si="42"/>
        <v>0</v>
      </c>
    </row>
    <row r="1378" spans="1:12" x14ac:dyDescent="0.25">
      <c r="A1378" s="15">
        <f t="shared" si="43"/>
        <v>1373</v>
      </c>
      <c r="B1378" s="17">
        <v>132902</v>
      </c>
      <c r="C1378" s="18" t="s">
        <v>491</v>
      </c>
      <c r="D1378" s="20" t="s">
        <v>1556</v>
      </c>
      <c r="E1378" s="19">
        <v>0</v>
      </c>
      <c r="F1378" s="20" t="s">
        <v>1556</v>
      </c>
      <c r="G1378" s="21">
        <v>0</v>
      </c>
      <c r="H1378" s="21">
        <v>0</v>
      </c>
      <c r="I1378" s="14" t="s">
        <v>1561</v>
      </c>
      <c r="J1378" s="21">
        <v>0</v>
      </c>
      <c r="K1378" s="21">
        <v>0</v>
      </c>
      <c r="L1378" s="24">
        <f t="shared" si="42"/>
        <v>0</v>
      </c>
    </row>
    <row r="1379" spans="1:12" x14ac:dyDescent="0.25">
      <c r="A1379" s="15">
        <f t="shared" si="43"/>
        <v>1374</v>
      </c>
      <c r="B1379" s="17">
        <v>133777</v>
      </c>
      <c r="C1379" s="18" t="s">
        <v>492</v>
      </c>
      <c r="D1379" s="20">
        <v>1.9249001000000001</v>
      </c>
      <c r="E1379" s="19">
        <v>0</v>
      </c>
      <c r="F1379" s="20">
        <v>1.9249001000000001</v>
      </c>
      <c r="G1379" s="21">
        <v>275.40741550000001</v>
      </c>
      <c r="H1379" s="21">
        <v>222.7439703</v>
      </c>
      <c r="I1379" s="14" t="s">
        <v>1561</v>
      </c>
      <c r="J1379" s="21">
        <v>167.66820396776328</v>
      </c>
      <c r="K1379" s="21">
        <v>336.75325810000004</v>
      </c>
      <c r="L1379" s="24">
        <f t="shared" si="42"/>
        <v>1.2227457909534758</v>
      </c>
    </row>
    <row r="1380" spans="1:12" x14ac:dyDescent="0.25">
      <c r="A1380" s="15">
        <f t="shared" si="43"/>
        <v>1375</v>
      </c>
      <c r="B1380" s="17">
        <v>134063</v>
      </c>
      <c r="C1380" s="18" t="s">
        <v>930</v>
      </c>
      <c r="D1380" s="20" t="s">
        <v>1556</v>
      </c>
      <c r="E1380" s="19">
        <v>0</v>
      </c>
      <c r="F1380" s="20" t="s">
        <v>1556</v>
      </c>
      <c r="G1380" s="21">
        <v>0</v>
      </c>
      <c r="H1380" s="21">
        <v>0</v>
      </c>
      <c r="I1380" s="14" t="s">
        <v>1561</v>
      </c>
      <c r="J1380" s="21">
        <v>0</v>
      </c>
      <c r="K1380" s="21">
        <v>0</v>
      </c>
      <c r="L1380" s="24">
        <f t="shared" si="42"/>
        <v>0</v>
      </c>
    </row>
    <row r="1381" spans="1:12" x14ac:dyDescent="0.25">
      <c r="A1381" s="15">
        <f t="shared" si="43"/>
        <v>1376</v>
      </c>
      <c r="B1381" s="17">
        <v>134141</v>
      </c>
      <c r="C1381" s="18" t="s">
        <v>527</v>
      </c>
      <c r="D1381" s="20" t="s">
        <v>1556</v>
      </c>
      <c r="E1381" s="19">
        <v>0</v>
      </c>
      <c r="F1381" s="20" t="s">
        <v>1556</v>
      </c>
      <c r="G1381" s="21">
        <v>0</v>
      </c>
      <c r="H1381" s="21">
        <v>0</v>
      </c>
      <c r="I1381" s="14" t="s">
        <v>1561</v>
      </c>
      <c r="J1381" s="21">
        <v>0</v>
      </c>
      <c r="K1381" s="21">
        <v>0</v>
      </c>
      <c r="L1381" s="24">
        <f t="shared" si="42"/>
        <v>0</v>
      </c>
    </row>
    <row r="1382" spans="1:12" x14ac:dyDescent="0.25">
      <c r="A1382" s="15">
        <f t="shared" si="43"/>
        <v>1377</v>
      </c>
      <c r="B1382" s="17">
        <v>134483</v>
      </c>
      <c r="C1382" s="18" t="s">
        <v>1466</v>
      </c>
      <c r="D1382" s="20" t="s">
        <v>1556</v>
      </c>
      <c r="E1382" s="19">
        <v>0</v>
      </c>
      <c r="F1382" s="20" t="s">
        <v>1556</v>
      </c>
      <c r="G1382" s="21">
        <v>0</v>
      </c>
      <c r="H1382" s="21">
        <v>0</v>
      </c>
      <c r="I1382" s="14" t="s">
        <v>1561</v>
      </c>
      <c r="J1382" s="21">
        <v>0</v>
      </c>
      <c r="K1382" s="21">
        <v>0</v>
      </c>
      <c r="L1382" s="24">
        <f t="shared" si="42"/>
        <v>0</v>
      </c>
    </row>
    <row r="1383" spans="1:12" x14ac:dyDescent="0.25">
      <c r="A1383" s="15">
        <f t="shared" si="43"/>
        <v>1378</v>
      </c>
      <c r="B1383" s="17">
        <v>134569</v>
      </c>
      <c r="C1383" s="18" t="s">
        <v>931</v>
      </c>
      <c r="D1383" s="20">
        <v>13.8658506</v>
      </c>
      <c r="E1383" s="19">
        <v>0</v>
      </c>
      <c r="F1383" s="20">
        <v>13.8658506</v>
      </c>
      <c r="G1383" s="21">
        <v>3584.7884662000001</v>
      </c>
      <c r="H1383" s="21">
        <v>2951.9333564999997</v>
      </c>
      <c r="I1383" s="14" t="s">
        <v>1561</v>
      </c>
      <c r="J1383" s="21">
        <v>1185.7828642774302</v>
      </c>
      <c r="K1383" s="21">
        <v>3199.0818385000002</v>
      </c>
      <c r="L1383" s="24">
        <f t="shared" si="42"/>
        <v>0.89240463381961777</v>
      </c>
    </row>
    <row r="1384" spans="1:12" x14ac:dyDescent="0.25">
      <c r="A1384" s="15">
        <f t="shared" si="43"/>
        <v>1379</v>
      </c>
      <c r="B1384" s="17">
        <v>135280</v>
      </c>
      <c r="C1384" s="18" t="s">
        <v>493</v>
      </c>
      <c r="D1384" s="20" t="s">
        <v>1556</v>
      </c>
      <c r="E1384" s="19">
        <v>0</v>
      </c>
      <c r="F1384" s="20" t="s">
        <v>1556</v>
      </c>
      <c r="G1384" s="21">
        <v>1.3499325</v>
      </c>
      <c r="H1384" s="21">
        <v>0.34992250000000003</v>
      </c>
      <c r="I1384" s="14" t="s">
        <v>1561</v>
      </c>
      <c r="J1384" s="21">
        <v>1.7475332533333332E-2</v>
      </c>
      <c r="K1384" s="21">
        <v>0.31585449999999998</v>
      </c>
      <c r="L1384" s="24">
        <f t="shared" si="42"/>
        <v>0.23397799519605608</v>
      </c>
    </row>
    <row r="1385" spans="1:12" x14ac:dyDescent="0.25">
      <c r="A1385" s="15">
        <f t="shared" si="43"/>
        <v>1380</v>
      </c>
      <c r="B1385" s="17">
        <v>135987</v>
      </c>
      <c r="C1385" s="18" t="s">
        <v>1467</v>
      </c>
      <c r="D1385" s="20" t="s">
        <v>1556</v>
      </c>
      <c r="E1385" s="19">
        <v>0</v>
      </c>
      <c r="F1385" s="20" t="s">
        <v>1556</v>
      </c>
      <c r="G1385" s="21">
        <v>0</v>
      </c>
      <c r="H1385" s="21">
        <v>0</v>
      </c>
      <c r="I1385" s="14" t="s">
        <v>1561</v>
      </c>
      <c r="J1385" s="21">
        <v>0</v>
      </c>
      <c r="K1385" s="21">
        <v>0</v>
      </c>
      <c r="L1385" s="24">
        <f t="shared" si="42"/>
        <v>0</v>
      </c>
    </row>
    <row r="1386" spans="1:12" x14ac:dyDescent="0.25">
      <c r="A1386" s="15">
        <f t="shared" si="43"/>
        <v>1381</v>
      </c>
      <c r="B1386" s="17">
        <v>136649</v>
      </c>
      <c r="C1386" s="18" t="s">
        <v>494</v>
      </c>
      <c r="D1386" s="20" t="s">
        <v>1556</v>
      </c>
      <c r="E1386" s="19">
        <v>0</v>
      </c>
      <c r="F1386" s="20" t="s">
        <v>1556</v>
      </c>
      <c r="G1386" s="21">
        <v>0</v>
      </c>
      <c r="H1386" s="21">
        <v>0</v>
      </c>
      <c r="I1386" s="14" t="s">
        <v>1561</v>
      </c>
      <c r="J1386" s="21">
        <v>0</v>
      </c>
      <c r="K1386" s="21">
        <v>0</v>
      </c>
      <c r="L1386" s="24">
        <f t="shared" si="42"/>
        <v>0</v>
      </c>
    </row>
    <row r="1387" spans="1:12" x14ac:dyDescent="0.25">
      <c r="A1387" s="15">
        <f t="shared" si="43"/>
        <v>1382</v>
      </c>
      <c r="B1387" s="17">
        <v>137069</v>
      </c>
      <c r="C1387" s="18" t="s">
        <v>1468</v>
      </c>
      <c r="D1387" s="20">
        <v>1.0839999999999999E-4</v>
      </c>
      <c r="E1387" s="19">
        <v>0</v>
      </c>
      <c r="F1387" s="20">
        <v>1.0839999999999999E-4</v>
      </c>
      <c r="G1387" s="21">
        <v>0.299985</v>
      </c>
      <c r="H1387" s="21">
        <v>0.299985</v>
      </c>
      <c r="I1387" s="14" t="s">
        <v>1561</v>
      </c>
      <c r="J1387" s="21">
        <v>0.13339611935394263</v>
      </c>
      <c r="K1387" s="21">
        <v>0.30395620000000001</v>
      </c>
      <c r="L1387" s="24">
        <f t="shared" si="42"/>
        <v>1.013237995233095</v>
      </c>
    </row>
    <row r="1388" spans="1:12" x14ac:dyDescent="0.25">
      <c r="A1388" s="15">
        <f t="shared" si="43"/>
        <v>1383</v>
      </c>
      <c r="B1388" s="17">
        <v>137947</v>
      </c>
      <c r="C1388" s="18" t="s">
        <v>1469</v>
      </c>
      <c r="D1388" s="20" t="s">
        <v>1556</v>
      </c>
      <c r="E1388" s="19">
        <v>0</v>
      </c>
      <c r="F1388" s="20" t="s">
        <v>1556</v>
      </c>
      <c r="G1388" s="21">
        <v>11.0744469</v>
      </c>
      <c r="H1388" s="21">
        <v>9.5750875000000004</v>
      </c>
      <c r="I1388" s="14" t="s">
        <v>1561</v>
      </c>
      <c r="J1388" s="21">
        <v>3.0683796853557346</v>
      </c>
      <c r="K1388" s="21">
        <v>9.8297671999999991</v>
      </c>
      <c r="L1388" s="24">
        <f t="shared" si="42"/>
        <v>0.88760795810037241</v>
      </c>
    </row>
    <row r="1389" spans="1:12" x14ac:dyDescent="0.25">
      <c r="A1389" s="15">
        <f t="shared" si="43"/>
        <v>1384</v>
      </c>
      <c r="B1389" s="17">
        <v>137949</v>
      </c>
      <c r="C1389" s="18" t="s">
        <v>932</v>
      </c>
      <c r="D1389" s="20">
        <v>0.14070870000000002</v>
      </c>
      <c r="E1389" s="19">
        <v>0</v>
      </c>
      <c r="F1389" s="20">
        <v>0.14070870000000002</v>
      </c>
      <c r="G1389" s="21">
        <v>13.298785199999999</v>
      </c>
      <c r="H1389" s="21">
        <v>11.463746600000002</v>
      </c>
      <c r="I1389" s="14" t="s">
        <v>1561</v>
      </c>
      <c r="J1389" s="21">
        <v>9.8049395380929205</v>
      </c>
      <c r="K1389" s="21">
        <v>14.207545600000001</v>
      </c>
      <c r="L1389" s="24">
        <f t="shared" si="42"/>
        <v>1.0683340911469119</v>
      </c>
    </row>
    <row r="1390" spans="1:12" x14ac:dyDescent="0.25">
      <c r="A1390" s="15">
        <f t="shared" si="43"/>
        <v>1385</v>
      </c>
      <c r="B1390" s="17">
        <v>138259</v>
      </c>
      <c r="C1390" s="18" t="s">
        <v>933</v>
      </c>
      <c r="D1390" s="20" t="s">
        <v>1556</v>
      </c>
      <c r="E1390" s="19">
        <v>0</v>
      </c>
      <c r="F1390" s="20" t="s">
        <v>1556</v>
      </c>
      <c r="G1390" s="21">
        <v>20.450577299999999</v>
      </c>
      <c r="H1390" s="21">
        <v>16.690577300000001</v>
      </c>
      <c r="I1390" s="14" t="s">
        <v>1561</v>
      </c>
      <c r="J1390" s="21">
        <v>7.387686656381093</v>
      </c>
      <c r="K1390" s="21">
        <v>17.836341399999998</v>
      </c>
      <c r="L1390" s="24">
        <f t="shared" si="42"/>
        <v>0.87216811233979197</v>
      </c>
    </row>
    <row r="1391" spans="1:12" x14ac:dyDescent="0.25">
      <c r="A1391" s="15">
        <f t="shared" si="43"/>
        <v>1386</v>
      </c>
      <c r="B1391" s="17">
        <v>138294</v>
      </c>
      <c r="C1391" s="18" t="s">
        <v>429</v>
      </c>
      <c r="D1391" s="20" t="s">
        <v>1556</v>
      </c>
      <c r="E1391" s="19">
        <v>0</v>
      </c>
      <c r="F1391" s="20" t="s">
        <v>1556</v>
      </c>
      <c r="G1391" s="21">
        <v>4.2897854999999998</v>
      </c>
      <c r="H1391" s="21">
        <v>4.2897854999999998</v>
      </c>
      <c r="I1391" s="14" t="s">
        <v>1561</v>
      </c>
      <c r="J1391" s="21">
        <v>1.8438729034448924</v>
      </c>
      <c r="K1391" s="21">
        <v>5.6808205000000003</v>
      </c>
      <c r="L1391" s="24">
        <f t="shared" si="42"/>
        <v>1.3242667960903873</v>
      </c>
    </row>
    <row r="1392" spans="1:12" x14ac:dyDescent="0.25">
      <c r="A1392" s="15">
        <f t="shared" si="43"/>
        <v>1387</v>
      </c>
      <c r="B1392" s="17">
        <v>138791</v>
      </c>
      <c r="C1392" s="18" t="s">
        <v>1470</v>
      </c>
      <c r="D1392" s="20">
        <v>1.1483999999999999E-3</v>
      </c>
      <c r="E1392" s="19">
        <v>0</v>
      </c>
      <c r="F1392" s="20">
        <v>1.1483999999999999E-3</v>
      </c>
      <c r="G1392" s="21">
        <v>0.499975</v>
      </c>
      <c r="H1392" s="21">
        <v>0.499975</v>
      </c>
      <c r="I1392" s="14" t="s">
        <v>1561</v>
      </c>
      <c r="J1392" s="21">
        <v>0.1390894857640681</v>
      </c>
      <c r="K1392" s="21">
        <v>0.51199600000000001</v>
      </c>
      <c r="L1392" s="24">
        <f t="shared" si="42"/>
        <v>1.024043202160108</v>
      </c>
    </row>
    <row r="1393" spans="1:12" x14ac:dyDescent="0.25">
      <c r="A1393" s="15">
        <f t="shared" si="43"/>
        <v>1388</v>
      </c>
      <c r="B1393" s="17">
        <v>139809</v>
      </c>
      <c r="C1393" s="18" t="s">
        <v>495</v>
      </c>
      <c r="D1393" s="20">
        <v>1.074724</v>
      </c>
      <c r="E1393" s="19">
        <v>0</v>
      </c>
      <c r="F1393" s="20">
        <v>1.074724</v>
      </c>
      <c r="G1393" s="21">
        <v>167.46727759999999</v>
      </c>
      <c r="H1393" s="21">
        <v>140.40254969999998</v>
      </c>
      <c r="I1393" s="14" t="s">
        <v>1561</v>
      </c>
      <c r="J1393" s="21">
        <v>62.400640552513494</v>
      </c>
      <c r="K1393" s="21">
        <v>161.15113019999998</v>
      </c>
      <c r="L1393" s="24">
        <f t="shared" si="42"/>
        <v>0.9622842892622504</v>
      </c>
    </row>
    <row r="1394" spans="1:12" x14ac:dyDescent="0.25">
      <c r="A1394" s="15">
        <f t="shared" si="43"/>
        <v>1389</v>
      </c>
      <c r="B1394" s="17">
        <v>139828</v>
      </c>
      <c r="C1394" s="18" t="s">
        <v>934</v>
      </c>
      <c r="D1394" s="20" t="s">
        <v>1556</v>
      </c>
      <c r="E1394" s="19">
        <v>0</v>
      </c>
      <c r="F1394" s="20" t="s">
        <v>1556</v>
      </c>
      <c r="G1394" s="21">
        <v>0</v>
      </c>
      <c r="H1394" s="21">
        <v>0</v>
      </c>
      <c r="I1394" s="14" t="s">
        <v>1561</v>
      </c>
      <c r="J1394" s="21">
        <v>0</v>
      </c>
      <c r="K1394" s="21">
        <v>0</v>
      </c>
      <c r="L1394" s="24">
        <f t="shared" si="42"/>
        <v>0</v>
      </c>
    </row>
    <row r="1395" spans="1:12" x14ac:dyDescent="0.25">
      <c r="A1395" s="15">
        <f t="shared" si="43"/>
        <v>1390</v>
      </c>
      <c r="B1395" s="17">
        <v>140033</v>
      </c>
      <c r="C1395" s="18" t="s">
        <v>1471</v>
      </c>
      <c r="D1395" s="20" t="s">
        <v>1556</v>
      </c>
      <c r="E1395" s="19">
        <v>0</v>
      </c>
      <c r="F1395" s="20" t="s">
        <v>1556</v>
      </c>
      <c r="G1395" s="21">
        <v>0</v>
      </c>
      <c r="H1395" s="21">
        <v>0</v>
      </c>
      <c r="I1395" s="14" t="s">
        <v>1561</v>
      </c>
      <c r="J1395" s="21">
        <v>0</v>
      </c>
      <c r="K1395" s="21">
        <v>0</v>
      </c>
      <c r="L1395" s="24">
        <f t="shared" si="42"/>
        <v>0</v>
      </c>
    </row>
    <row r="1396" spans="1:12" x14ac:dyDescent="0.25">
      <c r="A1396" s="15">
        <f t="shared" si="43"/>
        <v>1391</v>
      </c>
      <c r="B1396" s="17">
        <v>140754</v>
      </c>
      <c r="C1396" s="18" t="s">
        <v>935</v>
      </c>
      <c r="D1396" s="20" t="s">
        <v>1556</v>
      </c>
      <c r="E1396" s="19">
        <v>0</v>
      </c>
      <c r="F1396" s="20" t="s">
        <v>1556</v>
      </c>
      <c r="G1396" s="21">
        <v>0</v>
      </c>
      <c r="H1396" s="21">
        <v>0</v>
      </c>
      <c r="I1396" s="14" t="s">
        <v>1561</v>
      </c>
      <c r="J1396" s="21">
        <v>0</v>
      </c>
      <c r="K1396" s="21">
        <v>0</v>
      </c>
      <c r="L1396" s="24">
        <f t="shared" si="42"/>
        <v>0</v>
      </c>
    </row>
    <row r="1397" spans="1:12" x14ac:dyDescent="0.25">
      <c r="A1397" s="15">
        <f t="shared" si="43"/>
        <v>1392</v>
      </c>
      <c r="B1397" s="17">
        <v>141573</v>
      </c>
      <c r="C1397" s="18" t="s">
        <v>936</v>
      </c>
      <c r="D1397" s="20">
        <v>2.9551740999999998</v>
      </c>
      <c r="E1397" s="19">
        <v>0</v>
      </c>
      <c r="F1397" s="20">
        <v>2.9551740999999998</v>
      </c>
      <c r="G1397" s="21">
        <v>695.37287839999999</v>
      </c>
      <c r="H1397" s="21">
        <v>525.32864979999999</v>
      </c>
      <c r="I1397" s="14" t="s">
        <v>1561</v>
      </c>
      <c r="J1397" s="21">
        <v>215.04745958787683</v>
      </c>
      <c r="K1397" s="21">
        <v>568.18562380000003</v>
      </c>
      <c r="L1397" s="24">
        <f t="shared" si="42"/>
        <v>0.8170948874326992</v>
      </c>
    </row>
    <row r="1398" spans="1:12" x14ac:dyDescent="0.25">
      <c r="A1398" s="15">
        <f t="shared" si="43"/>
        <v>1393</v>
      </c>
      <c r="B1398" s="17">
        <v>141769</v>
      </c>
      <c r="C1398" s="18" t="s">
        <v>937</v>
      </c>
      <c r="D1398" s="20">
        <v>5.4640899999999999E-2</v>
      </c>
      <c r="E1398" s="19">
        <v>0</v>
      </c>
      <c r="F1398" s="20">
        <v>5.4640899999999999E-2</v>
      </c>
      <c r="G1398" s="21">
        <v>3.7998099999999999</v>
      </c>
      <c r="H1398" s="21">
        <v>3.7998099999999999</v>
      </c>
      <c r="I1398" s="14" t="s">
        <v>1561</v>
      </c>
      <c r="J1398" s="21">
        <v>5.7590435595598564</v>
      </c>
      <c r="K1398" s="21">
        <v>12.4649316</v>
      </c>
      <c r="L1398" s="24">
        <f t="shared" si="42"/>
        <v>3.2804091783536546</v>
      </c>
    </row>
    <row r="1399" spans="1:12" x14ac:dyDescent="0.25">
      <c r="A1399" s="15">
        <f t="shared" si="43"/>
        <v>1394</v>
      </c>
      <c r="B1399" s="17">
        <v>141823</v>
      </c>
      <c r="C1399" s="18" t="s">
        <v>496</v>
      </c>
      <c r="D1399" s="20" t="s">
        <v>1556</v>
      </c>
      <c r="E1399" s="19">
        <v>0</v>
      </c>
      <c r="F1399" s="20" t="s">
        <v>1556</v>
      </c>
      <c r="G1399" s="21">
        <v>0</v>
      </c>
      <c r="H1399" s="21">
        <v>0</v>
      </c>
      <c r="I1399" s="14" t="s">
        <v>1561</v>
      </c>
      <c r="J1399" s="21">
        <v>0</v>
      </c>
      <c r="K1399" s="21">
        <v>0</v>
      </c>
      <c r="L1399" s="24">
        <f t="shared" si="42"/>
        <v>0</v>
      </c>
    </row>
    <row r="1400" spans="1:12" x14ac:dyDescent="0.25">
      <c r="A1400" s="15">
        <f t="shared" si="43"/>
        <v>1395</v>
      </c>
      <c r="B1400" s="17">
        <v>142651</v>
      </c>
      <c r="C1400" s="18" t="s">
        <v>938</v>
      </c>
      <c r="D1400" s="20" t="s">
        <v>1556</v>
      </c>
      <c r="E1400" s="19">
        <v>0</v>
      </c>
      <c r="F1400" s="20" t="s">
        <v>1556</v>
      </c>
      <c r="G1400" s="21">
        <v>0</v>
      </c>
      <c r="H1400" s="21">
        <v>0</v>
      </c>
      <c r="I1400" s="14" t="s">
        <v>1561</v>
      </c>
      <c r="J1400" s="21">
        <v>0</v>
      </c>
      <c r="K1400" s="21">
        <v>0</v>
      </c>
      <c r="L1400" s="24">
        <f t="shared" si="42"/>
        <v>0</v>
      </c>
    </row>
    <row r="1401" spans="1:12" x14ac:dyDescent="0.25">
      <c r="A1401" s="15">
        <f t="shared" si="43"/>
        <v>1396</v>
      </c>
      <c r="B1401" s="17">
        <v>143475</v>
      </c>
      <c r="C1401" s="18" t="s">
        <v>939</v>
      </c>
      <c r="D1401" s="20" t="s">
        <v>1556</v>
      </c>
      <c r="E1401" s="19">
        <v>0</v>
      </c>
      <c r="F1401" s="20" t="s">
        <v>1556</v>
      </c>
      <c r="G1401" s="21">
        <v>0</v>
      </c>
      <c r="H1401" s="21">
        <v>0</v>
      </c>
      <c r="I1401" s="14" t="s">
        <v>1561</v>
      </c>
      <c r="J1401" s="21">
        <v>0</v>
      </c>
      <c r="K1401" s="21">
        <v>0</v>
      </c>
      <c r="L1401" s="24">
        <f t="shared" si="42"/>
        <v>0</v>
      </c>
    </row>
    <row r="1402" spans="1:12" x14ac:dyDescent="0.25">
      <c r="A1402" s="15">
        <f t="shared" si="43"/>
        <v>1397</v>
      </c>
      <c r="B1402" s="17">
        <v>143829</v>
      </c>
      <c r="C1402" s="18" t="s">
        <v>1472</v>
      </c>
      <c r="D1402" s="20">
        <v>0.23386889999999999</v>
      </c>
      <c r="E1402" s="19">
        <v>0</v>
      </c>
      <c r="F1402" s="20">
        <v>0.23386889999999999</v>
      </c>
      <c r="G1402" s="21">
        <v>512.80687330000001</v>
      </c>
      <c r="H1402" s="21">
        <v>355.14753899999999</v>
      </c>
      <c r="I1402" s="14" t="s">
        <v>1561</v>
      </c>
      <c r="J1402" s="21">
        <v>59.9620531662354</v>
      </c>
      <c r="K1402" s="21">
        <v>367.46323969999997</v>
      </c>
      <c r="L1402" s="24">
        <f t="shared" si="42"/>
        <v>0.71657237613706526</v>
      </c>
    </row>
    <row r="1403" spans="1:12" x14ac:dyDescent="0.25">
      <c r="A1403" s="15">
        <f t="shared" si="43"/>
        <v>1398</v>
      </c>
      <c r="B1403" s="17">
        <v>144332</v>
      </c>
      <c r="C1403" s="18" t="s">
        <v>528</v>
      </c>
      <c r="D1403" s="20">
        <v>5.0564999999999994E-3</v>
      </c>
      <c r="E1403" s="19">
        <v>0</v>
      </c>
      <c r="F1403" s="20">
        <v>5.0564999999999994E-3</v>
      </c>
      <c r="G1403" s="21">
        <v>8.9895505</v>
      </c>
      <c r="H1403" s="21">
        <v>8.9895505</v>
      </c>
      <c r="I1403" s="14" t="s">
        <v>1561</v>
      </c>
      <c r="J1403" s="21">
        <v>0.6834780578666666</v>
      </c>
      <c r="K1403" s="21">
        <v>9.5026922999999996</v>
      </c>
      <c r="L1403" s="24">
        <f t="shared" si="42"/>
        <v>1.0570820309647295</v>
      </c>
    </row>
    <row r="1404" spans="1:12" x14ac:dyDescent="0.25">
      <c r="A1404" s="15">
        <f t="shared" si="43"/>
        <v>1399</v>
      </c>
      <c r="B1404" s="17">
        <v>144513</v>
      </c>
      <c r="C1404" s="18" t="s">
        <v>1473</v>
      </c>
      <c r="D1404" s="20" t="s">
        <v>1556</v>
      </c>
      <c r="E1404" s="19">
        <v>0</v>
      </c>
      <c r="F1404" s="20" t="s">
        <v>1556</v>
      </c>
      <c r="G1404" s="21">
        <v>0</v>
      </c>
      <c r="H1404" s="21">
        <v>0</v>
      </c>
      <c r="I1404" s="14" t="s">
        <v>1561</v>
      </c>
      <c r="J1404" s="21">
        <v>0</v>
      </c>
      <c r="K1404" s="21">
        <v>0</v>
      </c>
      <c r="L1404" s="24">
        <f t="shared" si="42"/>
        <v>0</v>
      </c>
    </row>
    <row r="1405" spans="1:12" x14ac:dyDescent="0.25">
      <c r="A1405" s="15">
        <f t="shared" si="43"/>
        <v>1400</v>
      </c>
      <c r="B1405" s="17">
        <v>144686</v>
      </c>
      <c r="C1405" s="18" t="s">
        <v>1474</v>
      </c>
      <c r="D1405" s="20" t="s">
        <v>1556</v>
      </c>
      <c r="E1405" s="19">
        <v>0</v>
      </c>
      <c r="F1405" s="20" t="s">
        <v>1556</v>
      </c>
      <c r="G1405" s="21">
        <v>0</v>
      </c>
      <c r="H1405" s="21">
        <v>0</v>
      </c>
      <c r="I1405" s="14" t="s">
        <v>1561</v>
      </c>
      <c r="J1405" s="21">
        <v>0</v>
      </c>
      <c r="K1405" s="21">
        <v>0</v>
      </c>
      <c r="L1405" s="24">
        <f t="shared" si="42"/>
        <v>0</v>
      </c>
    </row>
    <row r="1406" spans="1:12" x14ac:dyDescent="0.25">
      <c r="A1406" s="15">
        <f t="shared" si="43"/>
        <v>1401</v>
      </c>
      <c r="B1406" s="17">
        <v>144870</v>
      </c>
      <c r="C1406" s="18" t="s">
        <v>940</v>
      </c>
      <c r="D1406" s="20" t="s">
        <v>1556</v>
      </c>
      <c r="E1406" s="19">
        <v>0</v>
      </c>
      <c r="F1406" s="20" t="s">
        <v>1556</v>
      </c>
      <c r="G1406" s="21">
        <v>0</v>
      </c>
      <c r="H1406" s="21">
        <v>0</v>
      </c>
      <c r="I1406" s="14" t="s">
        <v>1561</v>
      </c>
      <c r="J1406" s="21">
        <v>0</v>
      </c>
      <c r="K1406" s="21">
        <v>0</v>
      </c>
      <c r="L1406" s="24">
        <f t="shared" si="42"/>
        <v>0</v>
      </c>
    </row>
    <row r="1407" spans="1:12" x14ac:dyDescent="0.25">
      <c r="A1407" s="15">
        <f t="shared" si="43"/>
        <v>1402</v>
      </c>
      <c r="B1407" s="17">
        <v>145002</v>
      </c>
      <c r="C1407" s="18" t="s">
        <v>1475</v>
      </c>
      <c r="D1407" s="20">
        <v>1.7038385</v>
      </c>
      <c r="E1407" s="19">
        <v>0</v>
      </c>
      <c r="F1407" s="20">
        <v>1.7038385</v>
      </c>
      <c r="G1407" s="21">
        <v>823.3236826000001</v>
      </c>
      <c r="H1407" s="21">
        <v>569.14820120000002</v>
      </c>
      <c r="I1407" s="14" t="s">
        <v>1561</v>
      </c>
      <c r="J1407" s="21">
        <v>227.87808637588012</v>
      </c>
      <c r="K1407" s="21">
        <v>600.14323469999999</v>
      </c>
      <c r="L1407" s="24">
        <f t="shared" si="42"/>
        <v>0.72892745269368242</v>
      </c>
    </row>
    <row r="1408" spans="1:12" x14ac:dyDescent="0.25">
      <c r="A1408" s="15">
        <f t="shared" si="43"/>
        <v>1403</v>
      </c>
      <c r="B1408" s="17">
        <v>145064</v>
      </c>
      <c r="C1408" s="18" t="s">
        <v>941</v>
      </c>
      <c r="D1408" s="20" t="s">
        <v>1556</v>
      </c>
      <c r="E1408" s="19">
        <v>0</v>
      </c>
      <c r="F1408" s="20" t="s">
        <v>1556</v>
      </c>
      <c r="G1408" s="21">
        <v>0</v>
      </c>
      <c r="H1408" s="21">
        <v>0</v>
      </c>
      <c r="I1408" s="14" t="s">
        <v>1561</v>
      </c>
      <c r="J1408" s="21">
        <v>0</v>
      </c>
      <c r="K1408" s="21">
        <v>0</v>
      </c>
      <c r="L1408" s="24">
        <f t="shared" si="42"/>
        <v>0</v>
      </c>
    </row>
    <row r="1409" spans="1:12" x14ac:dyDescent="0.25">
      <c r="A1409" s="15">
        <f t="shared" si="43"/>
        <v>1404</v>
      </c>
      <c r="B1409" s="17">
        <v>145509</v>
      </c>
      <c r="C1409" s="18" t="s">
        <v>1476</v>
      </c>
      <c r="D1409" s="20">
        <v>0.14320280000000002</v>
      </c>
      <c r="E1409" s="19">
        <v>0</v>
      </c>
      <c r="F1409" s="20">
        <v>0.14320280000000002</v>
      </c>
      <c r="G1409" s="21">
        <v>11.149442499999999</v>
      </c>
      <c r="H1409" s="21">
        <v>11.149442499999999</v>
      </c>
      <c r="I1409" s="14" t="s">
        <v>1561</v>
      </c>
      <c r="J1409" s="21">
        <v>10.106803080729838</v>
      </c>
      <c r="K1409" s="21">
        <v>13.108763</v>
      </c>
      <c r="L1409" s="24">
        <f t="shared" si="42"/>
        <v>1.1757325982891074</v>
      </c>
    </row>
    <row r="1410" spans="1:12" x14ac:dyDescent="0.25">
      <c r="A1410" s="15">
        <f t="shared" si="43"/>
        <v>1405</v>
      </c>
      <c r="B1410" s="17">
        <v>145633</v>
      </c>
      <c r="C1410" s="18" t="s">
        <v>942</v>
      </c>
      <c r="D1410" s="20" t="s">
        <v>1556</v>
      </c>
      <c r="E1410" s="19">
        <v>0</v>
      </c>
      <c r="F1410" s="20" t="s">
        <v>1556</v>
      </c>
      <c r="G1410" s="21">
        <v>0</v>
      </c>
      <c r="H1410" s="21">
        <v>0</v>
      </c>
      <c r="I1410" s="14" t="s">
        <v>1561</v>
      </c>
      <c r="J1410" s="21">
        <v>0</v>
      </c>
      <c r="K1410" s="21">
        <v>0</v>
      </c>
      <c r="L1410" s="24">
        <f t="shared" si="42"/>
        <v>0</v>
      </c>
    </row>
    <row r="1411" spans="1:12" x14ac:dyDescent="0.25">
      <c r="A1411" s="15">
        <f t="shared" si="43"/>
        <v>1406</v>
      </c>
      <c r="B1411" s="17">
        <v>146026</v>
      </c>
      <c r="C1411" s="18" t="s">
        <v>943</v>
      </c>
      <c r="D1411" s="20" t="s">
        <v>1556</v>
      </c>
      <c r="E1411" s="19">
        <v>0</v>
      </c>
      <c r="F1411" s="20" t="s">
        <v>1556</v>
      </c>
      <c r="G1411" s="21">
        <v>0</v>
      </c>
      <c r="H1411" s="21">
        <v>0</v>
      </c>
      <c r="I1411" s="14" t="s">
        <v>1561</v>
      </c>
      <c r="J1411" s="21">
        <v>0</v>
      </c>
      <c r="K1411" s="21">
        <v>0</v>
      </c>
      <c r="L1411" s="24">
        <f t="shared" si="42"/>
        <v>0</v>
      </c>
    </row>
    <row r="1412" spans="1:12" x14ac:dyDescent="0.25">
      <c r="A1412" s="15">
        <f t="shared" si="43"/>
        <v>1407</v>
      </c>
      <c r="B1412" s="17">
        <v>146380</v>
      </c>
      <c r="C1412" s="18" t="s">
        <v>944</v>
      </c>
      <c r="D1412" s="20">
        <v>0.56897629999999999</v>
      </c>
      <c r="E1412" s="19">
        <v>0</v>
      </c>
      <c r="F1412" s="20">
        <v>0.56897629999999999</v>
      </c>
      <c r="G1412" s="21">
        <v>203.44959780000002</v>
      </c>
      <c r="H1412" s="21">
        <v>184.39581269999999</v>
      </c>
      <c r="I1412" s="14" t="s">
        <v>1561</v>
      </c>
      <c r="J1412" s="21">
        <v>61.946559043712121</v>
      </c>
      <c r="K1412" s="21">
        <v>196.5762225</v>
      </c>
      <c r="L1412" s="24">
        <f t="shared" si="42"/>
        <v>0.96621583245027176</v>
      </c>
    </row>
    <row r="1413" spans="1:12" x14ac:dyDescent="0.25">
      <c r="A1413" s="15">
        <f t="shared" si="43"/>
        <v>1408</v>
      </c>
      <c r="B1413" s="17">
        <v>146822</v>
      </c>
      <c r="C1413" s="18" t="s">
        <v>497</v>
      </c>
      <c r="D1413" s="20">
        <v>15.073121200000001</v>
      </c>
      <c r="E1413" s="19">
        <v>0</v>
      </c>
      <c r="F1413" s="20">
        <v>15.073121200000001</v>
      </c>
      <c r="G1413" s="21">
        <v>3381.9723273000004</v>
      </c>
      <c r="H1413" s="21">
        <v>1211.0496401000003</v>
      </c>
      <c r="I1413" s="14" t="s">
        <v>1561</v>
      </c>
      <c r="J1413" s="21">
        <v>1006.3507972894712</v>
      </c>
      <c r="K1413" s="21">
        <v>1748.6708774000001</v>
      </c>
      <c r="L1413" s="24">
        <f t="shared" si="42"/>
        <v>0.51705653038150445</v>
      </c>
    </row>
    <row r="1414" spans="1:12" x14ac:dyDescent="0.25">
      <c r="A1414" s="15">
        <f t="shared" si="43"/>
        <v>1409</v>
      </c>
      <c r="B1414" s="17">
        <v>146826</v>
      </c>
      <c r="C1414" s="18" t="s">
        <v>529</v>
      </c>
      <c r="D1414" s="20">
        <v>9.5788299999999993E-2</v>
      </c>
      <c r="E1414" s="19">
        <v>0</v>
      </c>
      <c r="F1414" s="20">
        <v>9.5788299999999993E-2</v>
      </c>
      <c r="G1414" s="21">
        <v>241.4924073</v>
      </c>
      <c r="H1414" s="21">
        <v>206.98330060000004</v>
      </c>
      <c r="I1414" s="14" t="s">
        <v>1561</v>
      </c>
      <c r="J1414" s="21">
        <v>18.870933940372495</v>
      </c>
      <c r="K1414" s="21">
        <v>208.45620840000001</v>
      </c>
      <c r="L1414" s="24">
        <f t="shared" si="42"/>
        <v>0.86319984437870989</v>
      </c>
    </row>
    <row r="1415" spans="1:12" x14ac:dyDescent="0.25">
      <c r="A1415" s="15">
        <f t="shared" si="43"/>
        <v>1410</v>
      </c>
      <c r="B1415" s="17">
        <v>146833</v>
      </c>
      <c r="C1415" s="18" t="s">
        <v>945</v>
      </c>
      <c r="D1415" s="20">
        <v>0.98074570000000005</v>
      </c>
      <c r="E1415" s="19">
        <v>0</v>
      </c>
      <c r="F1415" s="20">
        <v>0.98074570000000005</v>
      </c>
      <c r="G1415" s="21">
        <v>479.40003780000001</v>
      </c>
      <c r="H1415" s="21">
        <v>404.59279829999997</v>
      </c>
      <c r="I1415" s="14" t="s">
        <v>1561</v>
      </c>
      <c r="J1415" s="21">
        <v>72.466843031903394</v>
      </c>
      <c r="K1415" s="21">
        <v>419.3396181</v>
      </c>
      <c r="L1415" s="24">
        <f t="shared" ref="L1415:L1478" si="44">+IFERROR(K1415/G1415,0)</f>
        <v>0.87471753240650241</v>
      </c>
    </row>
    <row r="1416" spans="1:12" x14ac:dyDescent="0.25">
      <c r="A1416" s="15">
        <f t="shared" ref="A1416:A1479" si="45">A1415+1</f>
        <v>1411</v>
      </c>
      <c r="B1416" s="17">
        <v>147149</v>
      </c>
      <c r="C1416" s="18" t="s">
        <v>530</v>
      </c>
      <c r="D1416" s="20" t="s">
        <v>1556</v>
      </c>
      <c r="E1416" s="19">
        <v>0</v>
      </c>
      <c r="F1416" s="20" t="s">
        <v>1556</v>
      </c>
      <c r="G1416" s="21">
        <v>3.0998450000000002</v>
      </c>
      <c r="H1416" s="21">
        <v>3.0998450000000002</v>
      </c>
      <c r="I1416" s="14" t="s">
        <v>1561</v>
      </c>
      <c r="J1416" s="21">
        <v>0.19014627419166666</v>
      </c>
      <c r="K1416" s="21">
        <v>3.3738133000000001</v>
      </c>
      <c r="L1416" s="24">
        <f t="shared" si="44"/>
        <v>1.0883812900322436</v>
      </c>
    </row>
    <row r="1417" spans="1:12" x14ac:dyDescent="0.25">
      <c r="A1417" s="15">
        <f t="shared" si="45"/>
        <v>1412</v>
      </c>
      <c r="B1417" s="17">
        <v>147547</v>
      </c>
      <c r="C1417" s="18" t="s">
        <v>1477</v>
      </c>
      <c r="D1417" s="20" t="s">
        <v>1556</v>
      </c>
      <c r="E1417" s="19">
        <v>0</v>
      </c>
      <c r="F1417" s="20" t="s">
        <v>1556</v>
      </c>
      <c r="G1417" s="21">
        <v>0</v>
      </c>
      <c r="H1417" s="21">
        <v>0</v>
      </c>
      <c r="I1417" s="14" t="s">
        <v>1561</v>
      </c>
      <c r="J1417" s="21">
        <v>0</v>
      </c>
      <c r="K1417" s="21">
        <v>0</v>
      </c>
      <c r="L1417" s="24">
        <f t="shared" si="44"/>
        <v>0</v>
      </c>
    </row>
    <row r="1418" spans="1:12" x14ac:dyDescent="0.25">
      <c r="A1418" s="15">
        <f t="shared" si="45"/>
        <v>1413</v>
      </c>
      <c r="B1418" s="17">
        <v>147697</v>
      </c>
      <c r="C1418" s="18" t="s">
        <v>946</v>
      </c>
      <c r="D1418" s="20">
        <v>5.5505999999999993E-3</v>
      </c>
      <c r="E1418" s="19">
        <v>0</v>
      </c>
      <c r="F1418" s="20">
        <v>5.5505999999999993E-3</v>
      </c>
      <c r="G1418" s="21">
        <v>3.0098496000000003</v>
      </c>
      <c r="H1418" s="21">
        <v>3.0098496000000003</v>
      </c>
      <c r="I1418" s="14" t="s">
        <v>1561</v>
      </c>
      <c r="J1418" s="21">
        <v>0.75122718313306469</v>
      </c>
      <c r="K1418" s="21">
        <v>3.1911092999999999</v>
      </c>
      <c r="L1418" s="24">
        <f t="shared" si="44"/>
        <v>1.0602221785434061</v>
      </c>
    </row>
    <row r="1419" spans="1:12" x14ac:dyDescent="0.25">
      <c r="A1419" s="15">
        <f t="shared" si="45"/>
        <v>1414</v>
      </c>
      <c r="B1419" s="17">
        <v>147908</v>
      </c>
      <c r="C1419" s="18" t="s">
        <v>498</v>
      </c>
      <c r="D1419" s="20" t="s">
        <v>1556</v>
      </c>
      <c r="E1419" s="19">
        <v>0</v>
      </c>
      <c r="F1419" s="20" t="s">
        <v>1556</v>
      </c>
      <c r="G1419" s="21">
        <v>0</v>
      </c>
      <c r="H1419" s="21">
        <v>0</v>
      </c>
      <c r="I1419" s="14" t="s">
        <v>1561</v>
      </c>
      <c r="J1419" s="21">
        <v>0</v>
      </c>
      <c r="K1419" s="21">
        <v>0</v>
      </c>
      <c r="L1419" s="24">
        <f t="shared" si="44"/>
        <v>0</v>
      </c>
    </row>
    <row r="1420" spans="1:12" x14ac:dyDescent="0.25">
      <c r="A1420" s="15">
        <f t="shared" si="45"/>
        <v>1415</v>
      </c>
      <c r="B1420" s="17">
        <v>148190</v>
      </c>
      <c r="C1420" s="18" t="s">
        <v>1478</v>
      </c>
      <c r="D1420" s="20" t="s">
        <v>1556</v>
      </c>
      <c r="E1420" s="19">
        <v>0</v>
      </c>
      <c r="F1420" s="20" t="s">
        <v>1556</v>
      </c>
      <c r="G1420" s="21">
        <v>0</v>
      </c>
      <c r="H1420" s="21">
        <v>0</v>
      </c>
      <c r="I1420" s="14" t="s">
        <v>1561</v>
      </c>
      <c r="J1420" s="21">
        <v>0</v>
      </c>
      <c r="K1420" s="21">
        <v>0</v>
      </c>
      <c r="L1420" s="24">
        <f t="shared" si="44"/>
        <v>0</v>
      </c>
    </row>
    <row r="1421" spans="1:12" x14ac:dyDescent="0.25">
      <c r="A1421" s="15">
        <f t="shared" si="45"/>
        <v>1416</v>
      </c>
      <c r="B1421" s="17">
        <v>148616</v>
      </c>
      <c r="C1421" s="18" t="s">
        <v>499</v>
      </c>
      <c r="D1421" s="20">
        <v>1.0869999000000001</v>
      </c>
      <c r="E1421" s="19">
        <v>0</v>
      </c>
      <c r="F1421" s="20">
        <v>1.0869999000000001</v>
      </c>
      <c r="G1421" s="21">
        <v>241.71655989999999</v>
      </c>
      <c r="H1421" s="21">
        <v>215.93667389999996</v>
      </c>
      <c r="I1421" s="14" t="s">
        <v>1561</v>
      </c>
      <c r="J1421" s="21">
        <v>82.667527979641505</v>
      </c>
      <c r="K1421" s="21">
        <v>229.23036190000002</v>
      </c>
      <c r="L1421" s="24">
        <f t="shared" si="44"/>
        <v>0.94834363849474934</v>
      </c>
    </row>
    <row r="1422" spans="1:12" x14ac:dyDescent="0.25">
      <c r="A1422" s="15">
        <f t="shared" si="45"/>
        <v>1417</v>
      </c>
      <c r="B1422" s="17">
        <v>150027</v>
      </c>
      <c r="C1422" s="18" t="s">
        <v>531</v>
      </c>
      <c r="D1422" s="20">
        <v>1.9988026000000001</v>
      </c>
      <c r="E1422" s="19">
        <v>0</v>
      </c>
      <c r="F1422" s="20">
        <v>1.9988026000000001</v>
      </c>
      <c r="G1422" s="21">
        <v>439.54350289999996</v>
      </c>
      <c r="H1422" s="21">
        <v>357.34303119999998</v>
      </c>
      <c r="I1422" s="14" t="s">
        <v>1561</v>
      </c>
      <c r="J1422" s="21">
        <v>163.23085913734727</v>
      </c>
      <c r="K1422" s="21">
        <v>386.75146299999994</v>
      </c>
      <c r="L1422" s="24">
        <f t="shared" si="44"/>
        <v>0.87989348141494272</v>
      </c>
    </row>
    <row r="1423" spans="1:12" x14ac:dyDescent="0.25">
      <c r="A1423" s="15">
        <f t="shared" si="45"/>
        <v>1418</v>
      </c>
      <c r="B1423" s="17">
        <v>150210</v>
      </c>
      <c r="C1423" s="18" t="s">
        <v>1479</v>
      </c>
      <c r="D1423" s="20">
        <v>1.4455885000000002</v>
      </c>
      <c r="E1423" s="19">
        <v>0</v>
      </c>
      <c r="F1423" s="20">
        <v>1.4455885000000002</v>
      </c>
      <c r="G1423" s="21">
        <v>211.55401989999999</v>
      </c>
      <c r="H1423" s="21">
        <v>200.00558699999999</v>
      </c>
      <c r="I1423" s="14" t="s">
        <v>1561</v>
      </c>
      <c r="J1423" s="21">
        <v>65.948522286200557</v>
      </c>
      <c r="K1423" s="21">
        <v>207.4419207</v>
      </c>
      <c r="L1423" s="24">
        <f t="shared" si="44"/>
        <v>0.98056241520750231</v>
      </c>
    </row>
    <row r="1424" spans="1:12" x14ac:dyDescent="0.25">
      <c r="A1424" s="15">
        <f t="shared" si="45"/>
        <v>1419</v>
      </c>
      <c r="B1424" s="17">
        <v>151977</v>
      </c>
      <c r="C1424" s="18" t="s">
        <v>947</v>
      </c>
      <c r="D1424" s="20" t="s">
        <v>1556</v>
      </c>
      <c r="E1424" s="19">
        <v>0</v>
      </c>
      <c r="F1424" s="20" t="s">
        <v>1556</v>
      </c>
      <c r="G1424" s="21">
        <v>0</v>
      </c>
      <c r="H1424" s="21">
        <v>0</v>
      </c>
      <c r="I1424" s="14" t="s">
        <v>1561</v>
      </c>
      <c r="J1424" s="21">
        <v>0</v>
      </c>
      <c r="K1424" s="21">
        <v>0</v>
      </c>
      <c r="L1424" s="24">
        <f t="shared" si="44"/>
        <v>0</v>
      </c>
    </row>
    <row r="1425" spans="1:12" x14ac:dyDescent="0.25">
      <c r="A1425" s="15">
        <f t="shared" si="45"/>
        <v>1420</v>
      </c>
      <c r="B1425" s="17">
        <v>154072</v>
      </c>
      <c r="C1425" s="18" t="s">
        <v>1480</v>
      </c>
      <c r="D1425" s="20" t="s">
        <v>1556</v>
      </c>
      <c r="E1425" s="19">
        <v>0</v>
      </c>
      <c r="F1425" s="20" t="s">
        <v>1556</v>
      </c>
      <c r="G1425" s="21">
        <v>0</v>
      </c>
      <c r="H1425" s="21">
        <v>0</v>
      </c>
      <c r="I1425" s="14" t="s">
        <v>1561</v>
      </c>
      <c r="J1425" s="21">
        <v>0</v>
      </c>
      <c r="K1425" s="21">
        <v>0</v>
      </c>
      <c r="L1425" s="24">
        <f t="shared" si="44"/>
        <v>0</v>
      </c>
    </row>
    <row r="1426" spans="1:12" x14ac:dyDescent="0.25">
      <c r="A1426" s="15">
        <f t="shared" si="45"/>
        <v>1421</v>
      </c>
      <c r="B1426" s="17">
        <v>154182</v>
      </c>
      <c r="C1426" s="18" t="s">
        <v>532</v>
      </c>
      <c r="D1426" s="20" t="s">
        <v>1556</v>
      </c>
      <c r="E1426" s="19">
        <v>0</v>
      </c>
      <c r="F1426" s="20" t="s">
        <v>1556</v>
      </c>
      <c r="G1426" s="21">
        <v>0</v>
      </c>
      <c r="H1426" s="21">
        <v>0</v>
      </c>
      <c r="I1426" s="14" t="s">
        <v>1561</v>
      </c>
      <c r="J1426" s="21">
        <v>0</v>
      </c>
      <c r="K1426" s="21">
        <v>0</v>
      </c>
      <c r="L1426" s="24">
        <f t="shared" si="44"/>
        <v>0</v>
      </c>
    </row>
    <row r="1427" spans="1:12" x14ac:dyDescent="0.25">
      <c r="A1427" s="15">
        <f t="shared" si="45"/>
        <v>1422</v>
      </c>
      <c r="B1427" s="17">
        <v>154476</v>
      </c>
      <c r="C1427" s="18" t="s">
        <v>1481</v>
      </c>
      <c r="D1427" s="20" t="s">
        <v>1556</v>
      </c>
      <c r="E1427" s="19">
        <v>0</v>
      </c>
      <c r="F1427" s="20" t="s">
        <v>1556</v>
      </c>
      <c r="G1427" s="21">
        <v>0</v>
      </c>
      <c r="H1427" s="21">
        <v>0</v>
      </c>
      <c r="I1427" s="14" t="s">
        <v>1561</v>
      </c>
      <c r="J1427" s="21">
        <v>0</v>
      </c>
      <c r="K1427" s="21">
        <v>0</v>
      </c>
      <c r="L1427" s="24">
        <f t="shared" si="44"/>
        <v>0</v>
      </c>
    </row>
    <row r="1428" spans="1:12" x14ac:dyDescent="0.25">
      <c r="A1428" s="15">
        <f t="shared" si="45"/>
        <v>1423</v>
      </c>
      <c r="B1428" s="17">
        <v>155237</v>
      </c>
      <c r="C1428" s="18" t="s">
        <v>948</v>
      </c>
      <c r="D1428" s="20">
        <v>10.190391399999999</v>
      </c>
      <c r="E1428" s="19">
        <v>0</v>
      </c>
      <c r="F1428" s="20">
        <v>10.190391399999999</v>
      </c>
      <c r="G1428" s="21">
        <v>1274.1864543000002</v>
      </c>
      <c r="H1428" s="21">
        <v>864.31253809999998</v>
      </c>
      <c r="I1428" s="14" t="s">
        <v>1561</v>
      </c>
      <c r="J1428" s="21">
        <v>831.99056968574007</v>
      </c>
      <c r="K1428" s="21">
        <v>1228.9975359</v>
      </c>
      <c r="L1428" s="24">
        <f t="shared" si="44"/>
        <v>0.96453508177904346</v>
      </c>
    </row>
    <row r="1429" spans="1:12" x14ac:dyDescent="0.25">
      <c r="A1429" s="15">
        <f t="shared" si="45"/>
        <v>1424</v>
      </c>
      <c r="B1429" s="17">
        <v>155250</v>
      </c>
      <c r="C1429" s="18" t="s">
        <v>1482</v>
      </c>
      <c r="D1429" s="20" t="s">
        <v>1556</v>
      </c>
      <c r="E1429" s="19">
        <v>0</v>
      </c>
      <c r="F1429" s="20" t="s">
        <v>1556</v>
      </c>
      <c r="G1429" s="21">
        <v>0</v>
      </c>
      <c r="H1429" s="21">
        <v>0</v>
      </c>
      <c r="I1429" s="14" t="s">
        <v>1561</v>
      </c>
      <c r="J1429" s="21">
        <v>0</v>
      </c>
      <c r="K1429" s="21">
        <v>0</v>
      </c>
      <c r="L1429" s="24">
        <f t="shared" si="44"/>
        <v>0</v>
      </c>
    </row>
    <row r="1430" spans="1:12" x14ac:dyDescent="0.25">
      <c r="A1430" s="15">
        <f t="shared" si="45"/>
        <v>1425</v>
      </c>
      <c r="B1430" s="17">
        <v>155319</v>
      </c>
      <c r="C1430" s="18" t="s">
        <v>500</v>
      </c>
      <c r="D1430" s="20" t="s">
        <v>1556</v>
      </c>
      <c r="E1430" s="19">
        <v>0</v>
      </c>
      <c r="F1430" s="20" t="s">
        <v>1556</v>
      </c>
      <c r="G1430" s="21">
        <v>0</v>
      </c>
      <c r="H1430" s="21">
        <v>0</v>
      </c>
      <c r="I1430" s="14" t="s">
        <v>1561</v>
      </c>
      <c r="J1430" s="21">
        <v>0</v>
      </c>
      <c r="K1430" s="21">
        <v>0</v>
      </c>
      <c r="L1430" s="24">
        <f t="shared" si="44"/>
        <v>0</v>
      </c>
    </row>
    <row r="1431" spans="1:12" x14ac:dyDescent="0.25">
      <c r="A1431" s="15">
        <f t="shared" si="45"/>
        <v>1426</v>
      </c>
      <c r="B1431" s="17">
        <v>155383</v>
      </c>
      <c r="C1431" s="18" t="s">
        <v>1483</v>
      </c>
      <c r="D1431" s="20" t="s">
        <v>1556</v>
      </c>
      <c r="E1431" s="19">
        <v>0</v>
      </c>
      <c r="F1431" s="20" t="s">
        <v>1556</v>
      </c>
      <c r="G1431" s="21">
        <v>0</v>
      </c>
      <c r="H1431" s="21">
        <v>0</v>
      </c>
      <c r="I1431" s="14" t="s">
        <v>1561</v>
      </c>
      <c r="J1431" s="21">
        <v>0</v>
      </c>
      <c r="K1431" s="21">
        <v>0</v>
      </c>
      <c r="L1431" s="24">
        <f t="shared" si="44"/>
        <v>0</v>
      </c>
    </row>
    <row r="1432" spans="1:12" x14ac:dyDescent="0.25">
      <c r="A1432" s="15">
        <f t="shared" si="45"/>
        <v>1427</v>
      </c>
      <c r="B1432" s="17">
        <v>155415</v>
      </c>
      <c r="C1432" s="18" t="s">
        <v>501</v>
      </c>
      <c r="D1432" s="20" t="s">
        <v>1556</v>
      </c>
      <c r="E1432" s="19">
        <v>0</v>
      </c>
      <c r="F1432" s="20" t="s">
        <v>1556</v>
      </c>
      <c r="G1432" s="21">
        <v>1.2499374999999999</v>
      </c>
      <c r="H1432" s="21">
        <v>1.2499374999999999</v>
      </c>
      <c r="I1432" s="14" t="s">
        <v>1561</v>
      </c>
      <c r="J1432" s="21">
        <v>3.3600470416666668E-3</v>
      </c>
      <c r="K1432" s="21">
        <v>1.2499374999999999</v>
      </c>
      <c r="L1432" s="24">
        <f t="shared" si="44"/>
        <v>1</v>
      </c>
    </row>
    <row r="1433" spans="1:12" x14ac:dyDescent="0.25">
      <c r="A1433" s="15">
        <f t="shared" si="45"/>
        <v>1428</v>
      </c>
      <c r="B1433" s="17">
        <v>155944</v>
      </c>
      <c r="C1433" s="18" t="s">
        <v>1484</v>
      </c>
      <c r="D1433" s="20" t="s">
        <v>1556</v>
      </c>
      <c r="E1433" s="19">
        <v>0</v>
      </c>
      <c r="F1433" s="20" t="s">
        <v>1556</v>
      </c>
      <c r="G1433" s="21">
        <v>0</v>
      </c>
      <c r="H1433" s="21">
        <v>0</v>
      </c>
      <c r="I1433" s="14" t="s">
        <v>1561</v>
      </c>
      <c r="J1433" s="21">
        <v>0</v>
      </c>
      <c r="K1433" s="21">
        <v>0</v>
      </c>
      <c r="L1433" s="24">
        <f t="shared" si="44"/>
        <v>0</v>
      </c>
    </row>
    <row r="1434" spans="1:12" x14ac:dyDescent="0.25">
      <c r="A1434" s="15">
        <f t="shared" si="45"/>
        <v>1429</v>
      </c>
      <c r="B1434" s="17">
        <v>155991</v>
      </c>
      <c r="C1434" s="18" t="s">
        <v>533</v>
      </c>
      <c r="D1434" s="20" t="s">
        <v>1556</v>
      </c>
      <c r="E1434" s="19">
        <v>0</v>
      </c>
      <c r="F1434" s="20" t="s">
        <v>1556</v>
      </c>
      <c r="G1434" s="21">
        <v>0</v>
      </c>
      <c r="H1434" s="21">
        <v>0</v>
      </c>
      <c r="I1434" s="14" t="s">
        <v>1561</v>
      </c>
      <c r="J1434" s="21">
        <v>0</v>
      </c>
      <c r="K1434" s="21">
        <v>0</v>
      </c>
      <c r="L1434" s="24">
        <f t="shared" si="44"/>
        <v>0</v>
      </c>
    </row>
    <row r="1435" spans="1:12" x14ac:dyDescent="0.25">
      <c r="A1435" s="15">
        <f t="shared" si="45"/>
        <v>1430</v>
      </c>
      <c r="B1435" s="17">
        <v>156109</v>
      </c>
      <c r="C1435" s="18" t="s">
        <v>1485</v>
      </c>
      <c r="D1435" s="20" t="s">
        <v>1556</v>
      </c>
      <c r="E1435" s="19">
        <v>0</v>
      </c>
      <c r="F1435" s="20" t="s">
        <v>1556</v>
      </c>
      <c r="G1435" s="21">
        <v>0</v>
      </c>
      <c r="H1435" s="21">
        <v>0</v>
      </c>
      <c r="I1435" s="14" t="s">
        <v>1561</v>
      </c>
      <c r="J1435" s="21">
        <v>0</v>
      </c>
      <c r="K1435" s="21">
        <v>0</v>
      </c>
      <c r="L1435" s="24">
        <f t="shared" si="44"/>
        <v>0</v>
      </c>
    </row>
    <row r="1436" spans="1:12" x14ac:dyDescent="0.25">
      <c r="A1436" s="15">
        <f t="shared" si="45"/>
        <v>1431</v>
      </c>
      <c r="B1436" s="17">
        <v>156289</v>
      </c>
      <c r="C1436" s="18" t="s">
        <v>502</v>
      </c>
      <c r="D1436" s="20">
        <v>0.1247236</v>
      </c>
      <c r="E1436" s="19">
        <v>0</v>
      </c>
      <c r="F1436" s="20">
        <v>0.1247236</v>
      </c>
      <c r="G1436" s="21">
        <v>134.24298859999999</v>
      </c>
      <c r="H1436" s="21">
        <v>115.795525</v>
      </c>
      <c r="I1436" s="14" t="s">
        <v>1561</v>
      </c>
      <c r="J1436" s="21">
        <v>18.108434519062637</v>
      </c>
      <c r="K1436" s="21">
        <v>120.01749820000001</v>
      </c>
      <c r="L1436" s="24">
        <f t="shared" si="44"/>
        <v>0.89403178111307346</v>
      </c>
    </row>
    <row r="1437" spans="1:12" x14ac:dyDescent="0.25">
      <c r="A1437" s="15">
        <f t="shared" si="45"/>
        <v>1432</v>
      </c>
      <c r="B1437" s="17">
        <v>156386</v>
      </c>
      <c r="C1437" s="18" t="s">
        <v>949</v>
      </c>
      <c r="D1437" s="20">
        <v>0.16723529999999998</v>
      </c>
      <c r="E1437" s="19">
        <v>0</v>
      </c>
      <c r="F1437" s="20">
        <v>0.16723529999999998</v>
      </c>
      <c r="G1437" s="21">
        <v>66.586747599999995</v>
      </c>
      <c r="H1437" s="21">
        <v>43.159467599999999</v>
      </c>
      <c r="I1437" s="14" t="s">
        <v>1561</v>
      </c>
      <c r="J1437" s="21">
        <v>16.452499230585211</v>
      </c>
      <c r="K1437" s="21">
        <v>51.506611399999997</v>
      </c>
      <c r="L1437" s="24">
        <f t="shared" si="44"/>
        <v>0.77352646369530742</v>
      </c>
    </row>
    <row r="1438" spans="1:12" x14ac:dyDescent="0.25">
      <c r="A1438" s="15">
        <f t="shared" si="45"/>
        <v>1433</v>
      </c>
      <c r="B1438" s="17">
        <v>156449</v>
      </c>
      <c r="C1438" s="18" t="s">
        <v>534</v>
      </c>
      <c r="D1438" s="20">
        <v>7.7033400000000002E-2</v>
      </c>
      <c r="E1438" s="19">
        <v>0</v>
      </c>
      <c r="F1438" s="20">
        <v>7.7033400000000002E-2</v>
      </c>
      <c r="G1438" s="21">
        <v>39.243038399999996</v>
      </c>
      <c r="H1438" s="21">
        <v>38.1143529</v>
      </c>
      <c r="I1438" s="14" t="s">
        <v>1561</v>
      </c>
      <c r="J1438" s="21">
        <v>9.6088651262733897</v>
      </c>
      <c r="K1438" s="21">
        <v>41.324069600000001</v>
      </c>
      <c r="L1438" s="24">
        <f t="shared" si="44"/>
        <v>1.0530293087601497</v>
      </c>
    </row>
    <row r="1439" spans="1:12" x14ac:dyDescent="0.25">
      <c r="A1439" s="15">
        <f t="shared" si="45"/>
        <v>1434</v>
      </c>
      <c r="B1439" s="17">
        <v>156540</v>
      </c>
      <c r="C1439" s="18" t="s">
        <v>503</v>
      </c>
      <c r="D1439" s="20" t="s">
        <v>1556</v>
      </c>
      <c r="E1439" s="19">
        <v>0</v>
      </c>
      <c r="F1439" s="20" t="s">
        <v>1556</v>
      </c>
      <c r="G1439" s="21">
        <v>0</v>
      </c>
      <c r="H1439" s="21">
        <v>0</v>
      </c>
      <c r="I1439" s="14" t="s">
        <v>1561</v>
      </c>
      <c r="J1439" s="21">
        <v>0</v>
      </c>
      <c r="K1439" s="21">
        <v>0</v>
      </c>
      <c r="L1439" s="24">
        <f t="shared" si="44"/>
        <v>0</v>
      </c>
    </row>
    <row r="1440" spans="1:12" x14ac:dyDescent="0.25">
      <c r="A1440" s="15">
        <f t="shared" si="45"/>
        <v>1435</v>
      </c>
      <c r="B1440" s="17">
        <v>156939</v>
      </c>
      <c r="C1440" s="18" t="s">
        <v>1486</v>
      </c>
      <c r="D1440" s="20" t="s">
        <v>1556</v>
      </c>
      <c r="E1440" s="19">
        <v>0</v>
      </c>
      <c r="F1440" s="20" t="s">
        <v>1556</v>
      </c>
      <c r="G1440" s="21">
        <v>0</v>
      </c>
      <c r="H1440" s="21">
        <v>0</v>
      </c>
      <c r="I1440" s="14" t="s">
        <v>1561</v>
      </c>
      <c r="J1440" s="21">
        <v>0</v>
      </c>
      <c r="K1440" s="21">
        <v>0</v>
      </c>
      <c r="L1440" s="24">
        <f t="shared" si="44"/>
        <v>0</v>
      </c>
    </row>
    <row r="1441" spans="1:12" x14ac:dyDescent="0.25">
      <c r="A1441" s="15">
        <f t="shared" si="45"/>
        <v>1436</v>
      </c>
      <c r="B1441" s="17">
        <v>157200</v>
      </c>
      <c r="C1441" s="18" t="s">
        <v>950</v>
      </c>
      <c r="D1441" s="20" t="s">
        <v>1556</v>
      </c>
      <c r="E1441" s="19">
        <v>0</v>
      </c>
      <c r="F1441" s="20" t="s">
        <v>1556</v>
      </c>
      <c r="G1441" s="21">
        <v>0</v>
      </c>
      <c r="H1441" s="21">
        <v>0</v>
      </c>
      <c r="I1441" s="14" t="s">
        <v>1561</v>
      </c>
      <c r="J1441" s="21">
        <v>0</v>
      </c>
      <c r="K1441" s="21">
        <v>0</v>
      </c>
      <c r="L1441" s="24">
        <f t="shared" si="44"/>
        <v>0</v>
      </c>
    </row>
    <row r="1442" spans="1:12" x14ac:dyDescent="0.25">
      <c r="A1442" s="15">
        <f t="shared" si="45"/>
        <v>1437</v>
      </c>
      <c r="B1442" s="17">
        <v>157215</v>
      </c>
      <c r="C1442" s="18" t="s">
        <v>1487</v>
      </c>
      <c r="D1442" s="20" t="s">
        <v>1556</v>
      </c>
      <c r="E1442" s="19">
        <v>0</v>
      </c>
      <c r="F1442" s="20" t="s">
        <v>1556</v>
      </c>
      <c r="G1442" s="21">
        <v>0</v>
      </c>
      <c r="H1442" s="21">
        <v>0</v>
      </c>
      <c r="I1442" s="14" t="s">
        <v>1561</v>
      </c>
      <c r="J1442" s="21">
        <v>0</v>
      </c>
      <c r="K1442" s="21">
        <v>0</v>
      </c>
      <c r="L1442" s="24">
        <f t="shared" si="44"/>
        <v>0</v>
      </c>
    </row>
    <row r="1443" spans="1:12" x14ac:dyDescent="0.25">
      <c r="A1443" s="15">
        <f t="shared" si="45"/>
        <v>1438</v>
      </c>
      <c r="B1443" s="17">
        <v>157305</v>
      </c>
      <c r="C1443" s="18" t="s">
        <v>535</v>
      </c>
      <c r="D1443" s="20">
        <v>1.7567599999999999E-2</v>
      </c>
      <c r="E1443" s="19">
        <v>0</v>
      </c>
      <c r="F1443" s="20">
        <v>1.7567599999999999E-2</v>
      </c>
      <c r="G1443" s="21">
        <v>18.734063899999999</v>
      </c>
      <c r="H1443" s="21">
        <v>18.245095499999998</v>
      </c>
      <c r="I1443" s="14" t="s">
        <v>1561</v>
      </c>
      <c r="J1443" s="21">
        <v>14.303898729268454</v>
      </c>
      <c r="K1443" s="21">
        <v>20.563780300000001</v>
      </c>
      <c r="L1443" s="24">
        <f t="shared" si="44"/>
        <v>1.0976678850764463</v>
      </c>
    </row>
    <row r="1444" spans="1:12" x14ac:dyDescent="0.25">
      <c r="A1444" s="15">
        <f t="shared" si="45"/>
        <v>1439</v>
      </c>
      <c r="B1444" s="17">
        <v>157375</v>
      </c>
      <c r="C1444" s="18" t="s">
        <v>1488</v>
      </c>
      <c r="D1444" s="20" t="s">
        <v>1556</v>
      </c>
      <c r="E1444" s="19">
        <v>0</v>
      </c>
      <c r="F1444" s="20" t="s">
        <v>1556</v>
      </c>
      <c r="G1444" s="21">
        <v>0</v>
      </c>
      <c r="H1444" s="21">
        <v>0</v>
      </c>
      <c r="I1444" s="14" t="s">
        <v>1561</v>
      </c>
      <c r="J1444" s="21">
        <v>0</v>
      </c>
      <c r="K1444" s="21">
        <v>0</v>
      </c>
      <c r="L1444" s="24">
        <f t="shared" si="44"/>
        <v>0</v>
      </c>
    </row>
    <row r="1445" spans="1:12" x14ac:dyDescent="0.25">
      <c r="A1445" s="15">
        <f t="shared" si="45"/>
        <v>1440</v>
      </c>
      <c r="B1445" s="17">
        <v>157439</v>
      </c>
      <c r="C1445" s="18" t="s">
        <v>1489</v>
      </c>
      <c r="D1445" s="20" t="s">
        <v>1556</v>
      </c>
      <c r="E1445" s="19">
        <v>0</v>
      </c>
      <c r="F1445" s="20" t="s">
        <v>1556</v>
      </c>
      <c r="G1445" s="21">
        <v>0</v>
      </c>
      <c r="H1445" s="21">
        <v>0</v>
      </c>
      <c r="I1445" s="14" t="s">
        <v>1561</v>
      </c>
      <c r="J1445" s="21">
        <v>0</v>
      </c>
      <c r="K1445" s="21">
        <v>0</v>
      </c>
      <c r="L1445" s="24">
        <f t="shared" si="44"/>
        <v>0</v>
      </c>
    </row>
    <row r="1446" spans="1:12" x14ac:dyDescent="0.25">
      <c r="A1446" s="15">
        <f t="shared" si="45"/>
        <v>1441</v>
      </c>
      <c r="B1446" s="17">
        <v>157801</v>
      </c>
      <c r="C1446" s="18" t="s">
        <v>1490</v>
      </c>
      <c r="D1446" s="20" t="s">
        <v>1556</v>
      </c>
      <c r="E1446" s="19">
        <v>0</v>
      </c>
      <c r="F1446" s="20" t="s">
        <v>1556</v>
      </c>
      <c r="G1446" s="21">
        <v>0</v>
      </c>
      <c r="H1446" s="21">
        <v>0</v>
      </c>
      <c r="I1446" s="14" t="s">
        <v>1561</v>
      </c>
      <c r="J1446" s="21">
        <v>0</v>
      </c>
      <c r="K1446" s="21">
        <v>0</v>
      </c>
      <c r="L1446" s="24">
        <f t="shared" si="44"/>
        <v>0</v>
      </c>
    </row>
    <row r="1447" spans="1:12" x14ac:dyDescent="0.25">
      <c r="A1447" s="15">
        <f t="shared" si="45"/>
        <v>1442</v>
      </c>
      <c r="B1447" s="17">
        <v>157924</v>
      </c>
      <c r="C1447" s="18" t="s">
        <v>1491</v>
      </c>
      <c r="D1447" s="20" t="s">
        <v>1556</v>
      </c>
      <c r="E1447" s="19">
        <v>0</v>
      </c>
      <c r="F1447" s="20" t="s">
        <v>1556</v>
      </c>
      <c r="G1447" s="21">
        <v>0</v>
      </c>
      <c r="H1447" s="21">
        <v>0</v>
      </c>
      <c r="I1447" s="14" t="s">
        <v>1561</v>
      </c>
      <c r="J1447" s="21">
        <v>0</v>
      </c>
      <c r="K1447" s="21">
        <v>0</v>
      </c>
      <c r="L1447" s="24">
        <f t="shared" si="44"/>
        <v>0</v>
      </c>
    </row>
    <row r="1448" spans="1:12" x14ac:dyDescent="0.25">
      <c r="A1448" s="15">
        <f t="shared" si="45"/>
        <v>1443</v>
      </c>
      <c r="B1448" s="17">
        <v>158138</v>
      </c>
      <c r="C1448" s="18" t="s">
        <v>951</v>
      </c>
      <c r="D1448" s="20" t="s">
        <v>1556</v>
      </c>
      <c r="E1448" s="19">
        <v>0</v>
      </c>
      <c r="F1448" s="20" t="s">
        <v>1556</v>
      </c>
      <c r="G1448" s="21">
        <v>0</v>
      </c>
      <c r="H1448" s="21">
        <v>0</v>
      </c>
      <c r="I1448" s="14" t="s">
        <v>1561</v>
      </c>
      <c r="J1448" s="21">
        <v>0</v>
      </c>
      <c r="K1448" s="21">
        <v>0</v>
      </c>
      <c r="L1448" s="24">
        <f t="shared" si="44"/>
        <v>0</v>
      </c>
    </row>
    <row r="1449" spans="1:12" x14ac:dyDescent="0.25">
      <c r="A1449" s="15">
        <f t="shared" si="45"/>
        <v>1444</v>
      </c>
      <c r="B1449" s="17">
        <v>158164</v>
      </c>
      <c r="C1449" s="18" t="s">
        <v>1492</v>
      </c>
      <c r="D1449" s="20" t="s">
        <v>1556</v>
      </c>
      <c r="E1449" s="19">
        <v>0</v>
      </c>
      <c r="F1449" s="20" t="s">
        <v>1556</v>
      </c>
      <c r="G1449" s="21">
        <v>0</v>
      </c>
      <c r="H1449" s="21">
        <v>0</v>
      </c>
      <c r="I1449" s="14" t="s">
        <v>1561</v>
      </c>
      <c r="J1449" s="21">
        <v>0</v>
      </c>
      <c r="K1449" s="21">
        <v>0</v>
      </c>
      <c r="L1449" s="24">
        <f t="shared" si="44"/>
        <v>0</v>
      </c>
    </row>
    <row r="1450" spans="1:12" x14ac:dyDescent="0.25">
      <c r="A1450" s="15">
        <f t="shared" si="45"/>
        <v>1445</v>
      </c>
      <c r="B1450" s="17">
        <v>158340</v>
      </c>
      <c r="C1450" s="18" t="s">
        <v>952</v>
      </c>
      <c r="D1450" s="20" t="s">
        <v>1556</v>
      </c>
      <c r="E1450" s="19">
        <v>0</v>
      </c>
      <c r="F1450" s="20" t="s">
        <v>1556</v>
      </c>
      <c r="G1450" s="21">
        <v>0</v>
      </c>
      <c r="H1450" s="21">
        <v>0</v>
      </c>
      <c r="I1450" s="14" t="s">
        <v>1561</v>
      </c>
      <c r="J1450" s="21">
        <v>0</v>
      </c>
      <c r="K1450" s="21">
        <v>0</v>
      </c>
      <c r="L1450" s="24">
        <f t="shared" si="44"/>
        <v>0</v>
      </c>
    </row>
    <row r="1451" spans="1:12" x14ac:dyDescent="0.25">
      <c r="A1451" s="15">
        <f t="shared" si="45"/>
        <v>1446</v>
      </c>
      <c r="B1451" s="17">
        <v>158820</v>
      </c>
      <c r="C1451" s="18" t="s">
        <v>953</v>
      </c>
      <c r="D1451" s="20" t="s">
        <v>1556</v>
      </c>
      <c r="E1451" s="19">
        <v>0</v>
      </c>
      <c r="F1451" s="20" t="s">
        <v>1556</v>
      </c>
      <c r="G1451" s="21">
        <v>0</v>
      </c>
      <c r="H1451" s="21">
        <v>0</v>
      </c>
      <c r="I1451" s="14" t="s">
        <v>1561</v>
      </c>
      <c r="J1451" s="21">
        <v>0</v>
      </c>
      <c r="K1451" s="21">
        <v>0</v>
      </c>
      <c r="L1451" s="24">
        <f t="shared" si="44"/>
        <v>0</v>
      </c>
    </row>
    <row r="1452" spans="1:12" x14ac:dyDescent="0.25">
      <c r="A1452" s="15">
        <f t="shared" si="45"/>
        <v>1447</v>
      </c>
      <c r="B1452" s="17">
        <v>159455</v>
      </c>
      <c r="C1452" s="18" t="s">
        <v>954</v>
      </c>
      <c r="D1452" s="20" t="s">
        <v>1556</v>
      </c>
      <c r="E1452" s="19">
        <v>0</v>
      </c>
      <c r="F1452" s="20" t="s">
        <v>1556</v>
      </c>
      <c r="G1452" s="21">
        <v>0</v>
      </c>
      <c r="H1452" s="21">
        <v>0</v>
      </c>
      <c r="I1452" s="14" t="s">
        <v>1561</v>
      </c>
      <c r="J1452" s="21">
        <v>0</v>
      </c>
      <c r="K1452" s="21">
        <v>0</v>
      </c>
      <c r="L1452" s="24">
        <f t="shared" si="44"/>
        <v>0</v>
      </c>
    </row>
    <row r="1453" spans="1:12" x14ac:dyDescent="0.25">
      <c r="A1453" s="15">
        <f t="shared" si="45"/>
        <v>1448</v>
      </c>
      <c r="B1453" s="17">
        <v>159576</v>
      </c>
      <c r="C1453" s="18" t="s">
        <v>536</v>
      </c>
      <c r="D1453" s="20">
        <v>0.25154090000000001</v>
      </c>
      <c r="E1453" s="19">
        <v>0</v>
      </c>
      <c r="F1453" s="20">
        <v>0.25154090000000001</v>
      </c>
      <c r="G1453" s="21">
        <v>59.4870266</v>
      </c>
      <c r="H1453" s="21">
        <v>59.4870266</v>
      </c>
      <c r="I1453" s="14" t="s">
        <v>1561</v>
      </c>
      <c r="J1453" s="21">
        <v>22.385567578146954</v>
      </c>
      <c r="K1453" s="21">
        <v>62.219410599999996</v>
      </c>
      <c r="L1453" s="24">
        <f t="shared" si="44"/>
        <v>1.0459324352916977</v>
      </c>
    </row>
    <row r="1454" spans="1:12" x14ac:dyDescent="0.25">
      <c r="A1454" s="15">
        <f t="shared" si="45"/>
        <v>1449</v>
      </c>
      <c r="B1454" s="17">
        <v>159579</v>
      </c>
      <c r="C1454" s="18" t="s">
        <v>955</v>
      </c>
      <c r="D1454" s="20" t="s">
        <v>1556</v>
      </c>
      <c r="E1454" s="19">
        <v>0</v>
      </c>
      <c r="F1454" s="20" t="s">
        <v>1556</v>
      </c>
      <c r="G1454" s="21">
        <v>0</v>
      </c>
      <c r="H1454" s="21">
        <v>0</v>
      </c>
      <c r="I1454" s="14" t="s">
        <v>1561</v>
      </c>
      <c r="J1454" s="21">
        <v>0</v>
      </c>
      <c r="K1454" s="21">
        <v>0</v>
      </c>
      <c r="L1454" s="24">
        <f t="shared" si="44"/>
        <v>0</v>
      </c>
    </row>
    <row r="1455" spans="1:12" x14ac:dyDescent="0.25">
      <c r="A1455" s="15">
        <f t="shared" si="45"/>
        <v>1450</v>
      </c>
      <c r="B1455" s="17">
        <v>159693</v>
      </c>
      <c r="C1455" s="18" t="s">
        <v>1493</v>
      </c>
      <c r="D1455" s="20">
        <v>0.16614499999999999</v>
      </c>
      <c r="E1455" s="19">
        <v>0</v>
      </c>
      <c r="F1455" s="20">
        <v>0.16614499999999999</v>
      </c>
      <c r="G1455" s="21">
        <v>286.11914400000001</v>
      </c>
      <c r="H1455" s="21">
        <v>224.26724899999999</v>
      </c>
      <c r="I1455" s="14" t="s">
        <v>1561</v>
      </c>
      <c r="J1455" s="21">
        <v>32.810616357978937</v>
      </c>
      <c r="K1455" s="21">
        <v>231.90464980000002</v>
      </c>
      <c r="L1455" s="24">
        <f t="shared" si="44"/>
        <v>0.81051776738154935</v>
      </c>
    </row>
    <row r="1456" spans="1:12" x14ac:dyDescent="0.25">
      <c r="A1456" s="15">
        <f t="shared" si="45"/>
        <v>1451</v>
      </c>
      <c r="B1456" s="17">
        <v>159794</v>
      </c>
      <c r="C1456" s="18" t="s">
        <v>1494</v>
      </c>
      <c r="D1456" s="20">
        <v>6.2000000000000003E-5</v>
      </c>
      <c r="E1456" s="19">
        <v>0</v>
      </c>
      <c r="F1456" s="20">
        <v>6.2000000000000003E-5</v>
      </c>
      <c r="G1456" s="21">
        <v>0.44997749999999997</v>
      </c>
      <c r="H1456" s="21">
        <v>0.44997749999999997</v>
      </c>
      <c r="I1456" s="14" t="s">
        <v>1561</v>
      </c>
      <c r="J1456" s="21">
        <v>3.6325742091666668E-2</v>
      </c>
      <c r="K1456" s="21">
        <v>0.47068470000000001</v>
      </c>
      <c r="L1456" s="24">
        <f t="shared" si="44"/>
        <v>1.0460183009150459</v>
      </c>
    </row>
    <row r="1457" spans="1:12" x14ac:dyDescent="0.25">
      <c r="A1457" s="15">
        <f t="shared" si="45"/>
        <v>1452</v>
      </c>
      <c r="B1457" s="17">
        <v>159953</v>
      </c>
      <c r="C1457" s="18" t="s">
        <v>1495</v>
      </c>
      <c r="D1457" s="20">
        <v>1.2544198</v>
      </c>
      <c r="E1457" s="19">
        <v>0</v>
      </c>
      <c r="F1457" s="20">
        <v>1.2544198</v>
      </c>
      <c r="G1457" s="21">
        <v>470.14649259999999</v>
      </c>
      <c r="H1457" s="21">
        <v>384.97559009999998</v>
      </c>
      <c r="I1457" s="14" t="s">
        <v>1561</v>
      </c>
      <c r="J1457" s="21">
        <v>102.06030893038651</v>
      </c>
      <c r="K1457" s="21">
        <v>399.69548409999999</v>
      </c>
      <c r="L1457" s="24">
        <f t="shared" si="44"/>
        <v>0.85015094314456663</v>
      </c>
    </row>
    <row r="1458" spans="1:12" x14ac:dyDescent="0.25">
      <c r="A1458" s="15">
        <f t="shared" si="45"/>
        <v>1453</v>
      </c>
      <c r="B1458" s="17">
        <v>159957</v>
      </c>
      <c r="C1458" s="18" t="s">
        <v>1496</v>
      </c>
      <c r="D1458" s="20">
        <v>0.26489869999999999</v>
      </c>
      <c r="E1458" s="19">
        <v>0</v>
      </c>
      <c r="F1458" s="20">
        <v>0.26489869999999999</v>
      </c>
      <c r="G1458" s="21">
        <v>19.909004499999998</v>
      </c>
      <c r="H1458" s="21">
        <v>19.909004499999998</v>
      </c>
      <c r="I1458" s="14" t="s">
        <v>1561</v>
      </c>
      <c r="J1458" s="21">
        <v>18.87530158545044</v>
      </c>
      <c r="K1458" s="21">
        <v>25.653839900000001</v>
      </c>
      <c r="L1458" s="24">
        <f t="shared" si="44"/>
        <v>1.2885546286355003</v>
      </c>
    </row>
    <row r="1459" spans="1:12" x14ac:dyDescent="0.25">
      <c r="A1459" s="15">
        <f t="shared" si="45"/>
        <v>1454</v>
      </c>
      <c r="B1459" s="17">
        <v>160239</v>
      </c>
      <c r="C1459" s="18" t="s">
        <v>1497</v>
      </c>
      <c r="D1459" s="20">
        <v>0.2557739</v>
      </c>
      <c r="E1459" s="19">
        <v>0</v>
      </c>
      <c r="F1459" s="20">
        <v>0.2557739</v>
      </c>
      <c r="G1459" s="21">
        <v>99.995000199999993</v>
      </c>
      <c r="H1459" s="21">
        <v>99.995000199999993</v>
      </c>
      <c r="I1459" s="14" t="s">
        <v>1561</v>
      </c>
      <c r="J1459" s="21">
        <v>33.762429271267827</v>
      </c>
      <c r="K1459" s="21">
        <v>99.840103400000004</v>
      </c>
      <c r="L1459" s="24">
        <f t="shared" si="44"/>
        <v>0.99845095455082578</v>
      </c>
    </row>
    <row r="1460" spans="1:12" x14ac:dyDescent="0.25">
      <c r="A1460" s="15">
        <f t="shared" si="45"/>
        <v>1455</v>
      </c>
      <c r="B1460" s="17">
        <v>160596</v>
      </c>
      <c r="C1460" s="18" t="s">
        <v>1498</v>
      </c>
      <c r="D1460" s="20" t="s">
        <v>1556</v>
      </c>
      <c r="E1460" s="19">
        <v>0</v>
      </c>
      <c r="F1460" s="20" t="s">
        <v>1556</v>
      </c>
      <c r="G1460" s="21">
        <v>0</v>
      </c>
      <c r="H1460" s="21">
        <v>0</v>
      </c>
      <c r="I1460" s="14" t="s">
        <v>1561</v>
      </c>
      <c r="J1460" s="21">
        <v>0</v>
      </c>
      <c r="K1460" s="21">
        <v>0</v>
      </c>
      <c r="L1460" s="24">
        <f t="shared" si="44"/>
        <v>0</v>
      </c>
    </row>
    <row r="1461" spans="1:12" x14ac:dyDescent="0.25">
      <c r="A1461" s="15">
        <f t="shared" si="45"/>
        <v>1456</v>
      </c>
      <c r="B1461" s="17">
        <v>161147</v>
      </c>
      <c r="C1461" s="18" t="s">
        <v>537</v>
      </c>
      <c r="D1461" s="20" t="s">
        <v>1556</v>
      </c>
      <c r="E1461" s="19">
        <v>0</v>
      </c>
      <c r="F1461" s="20" t="s">
        <v>1556</v>
      </c>
      <c r="G1461" s="21">
        <v>0</v>
      </c>
      <c r="H1461" s="21">
        <v>0</v>
      </c>
      <c r="I1461" s="14" t="s">
        <v>1561</v>
      </c>
      <c r="J1461" s="21">
        <v>0</v>
      </c>
      <c r="K1461" s="21">
        <v>0</v>
      </c>
      <c r="L1461" s="24">
        <f t="shared" si="44"/>
        <v>0</v>
      </c>
    </row>
    <row r="1462" spans="1:12" x14ac:dyDescent="0.25">
      <c r="A1462" s="15">
        <f t="shared" si="45"/>
        <v>1457</v>
      </c>
      <c r="B1462" s="17">
        <v>161706</v>
      </c>
      <c r="C1462" s="18" t="s">
        <v>1499</v>
      </c>
      <c r="D1462" s="20">
        <v>0.95793630000000007</v>
      </c>
      <c r="E1462" s="19">
        <v>0</v>
      </c>
      <c r="F1462" s="20">
        <v>0.95793630000000007</v>
      </c>
      <c r="G1462" s="21">
        <v>301.144924</v>
      </c>
      <c r="H1462" s="21">
        <v>294.03570579999996</v>
      </c>
      <c r="I1462" s="14" t="s">
        <v>1561</v>
      </c>
      <c r="J1462" s="21">
        <v>88.301917954420801</v>
      </c>
      <c r="K1462" s="21">
        <v>310.11303530000004</v>
      </c>
      <c r="L1462" s="24">
        <f t="shared" si="44"/>
        <v>1.0297800513483004</v>
      </c>
    </row>
    <row r="1463" spans="1:12" x14ac:dyDescent="0.25">
      <c r="A1463" s="15">
        <f t="shared" si="45"/>
        <v>1458</v>
      </c>
      <c r="B1463" s="17">
        <v>161878</v>
      </c>
      <c r="C1463" s="18" t="s">
        <v>956</v>
      </c>
      <c r="D1463" s="20" t="s">
        <v>1556</v>
      </c>
      <c r="E1463" s="19">
        <v>0</v>
      </c>
      <c r="F1463" s="20" t="s">
        <v>1556</v>
      </c>
      <c r="G1463" s="21">
        <v>0</v>
      </c>
      <c r="H1463" s="21">
        <v>0</v>
      </c>
      <c r="I1463" s="14" t="s">
        <v>1561</v>
      </c>
      <c r="J1463" s="21">
        <v>0</v>
      </c>
      <c r="K1463" s="21">
        <v>0</v>
      </c>
      <c r="L1463" s="24">
        <f t="shared" si="44"/>
        <v>0</v>
      </c>
    </row>
    <row r="1464" spans="1:12" x14ac:dyDescent="0.25">
      <c r="A1464" s="15">
        <f t="shared" si="45"/>
        <v>1459</v>
      </c>
      <c r="B1464" s="17">
        <v>162172</v>
      </c>
      <c r="C1464" s="18" t="s">
        <v>1500</v>
      </c>
      <c r="D1464" s="20" t="s">
        <v>1556</v>
      </c>
      <c r="E1464" s="19">
        <v>0</v>
      </c>
      <c r="F1464" s="20" t="s">
        <v>1556</v>
      </c>
      <c r="G1464" s="21">
        <v>0</v>
      </c>
      <c r="H1464" s="21">
        <v>0</v>
      </c>
      <c r="I1464" s="14" t="s">
        <v>1561</v>
      </c>
      <c r="J1464" s="21">
        <v>0</v>
      </c>
      <c r="K1464" s="21">
        <v>0</v>
      </c>
      <c r="L1464" s="24">
        <f t="shared" si="44"/>
        <v>0</v>
      </c>
    </row>
    <row r="1465" spans="1:12" x14ac:dyDescent="0.25">
      <c r="A1465" s="15">
        <f t="shared" si="45"/>
        <v>1460</v>
      </c>
      <c r="B1465" s="17">
        <v>162514</v>
      </c>
      <c r="C1465" s="18" t="s">
        <v>957</v>
      </c>
      <c r="D1465" s="20">
        <v>1.9115631</v>
      </c>
      <c r="E1465" s="19">
        <v>0</v>
      </c>
      <c r="F1465" s="20">
        <v>1.9115631</v>
      </c>
      <c r="G1465" s="21">
        <v>503.9198399</v>
      </c>
      <c r="H1465" s="21">
        <v>356.00550790000005</v>
      </c>
      <c r="I1465" s="14" t="s">
        <v>1561</v>
      </c>
      <c r="J1465" s="21">
        <v>148.85635880523844</v>
      </c>
      <c r="K1465" s="21">
        <v>381.31068299999998</v>
      </c>
      <c r="L1465" s="24">
        <f t="shared" si="44"/>
        <v>0.75668916523641716</v>
      </c>
    </row>
    <row r="1466" spans="1:12" x14ac:dyDescent="0.25">
      <c r="A1466" s="15">
        <f t="shared" si="45"/>
        <v>1461</v>
      </c>
      <c r="B1466" s="17">
        <v>162635</v>
      </c>
      <c r="C1466" s="18" t="s">
        <v>1501</v>
      </c>
      <c r="D1466" s="20" t="s">
        <v>1556</v>
      </c>
      <c r="E1466" s="19">
        <v>0</v>
      </c>
      <c r="F1466" s="20" t="s">
        <v>1556</v>
      </c>
      <c r="G1466" s="21">
        <v>0</v>
      </c>
      <c r="H1466" s="21">
        <v>0</v>
      </c>
      <c r="I1466" s="14" t="s">
        <v>1561</v>
      </c>
      <c r="J1466" s="21">
        <v>0</v>
      </c>
      <c r="K1466" s="21">
        <v>0</v>
      </c>
      <c r="L1466" s="24">
        <f t="shared" si="44"/>
        <v>0</v>
      </c>
    </row>
    <row r="1467" spans="1:12" x14ac:dyDescent="0.25">
      <c r="A1467" s="15">
        <f t="shared" si="45"/>
        <v>1462</v>
      </c>
      <c r="B1467" s="17">
        <v>163498</v>
      </c>
      <c r="C1467" s="18" t="s">
        <v>1502</v>
      </c>
      <c r="D1467" s="20" t="s">
        <v>1556</v>
      </c>
      <c r="E1467" s="19">
        <v>0</v>
      </c>
      <c r="F1467" s="20" t="s">
        <v>1556</v>
      </c>
      <c r="G1467" s="21">
        <v>0</v>
      </c>
      <c r="H1467" s="21">
        <v>0</v>
      </c>
      <c r="I1467" s="14" t="s">
        <v>1561</v>
      </c>
      <c r="J1467" s="21">
        <v>0</v>
      </c>
      <c r="K1467" s="21">
        <v>0</v>
      </c>
      <c r="L1467" s="24">
        <f t="shared" si="44"/>
        <v>0</v>
      </c>
    </row>
    <row r="1468" spans="1:12" x14ac:dyDescent="0.25">
      <c r="A1468" s="15">
        <f t="shared" si="45"/>
        <v>1463</v>
      </c>
      <c r="B1468" s="17">
        <v>163501</v>
      </c>
      <c r="C1468" s="18" t="s">
        <v>958</v>
      </c>
      <c r="D1468" s="20">
        <v>7.902350000000001E-2</v>
      </c>
      <c r="E1468" s="19">
        <v>0</v>
      </c>
      <c r="F1468" s="20">
        <v>7.902350000000001E-2</v>
      </c>
      <c r="G1468" s="21">
        <v>26.340856200000001</v>
      </c>
      <c r="H1468" s="21">
        <v>23.339543799999998</v>
      </c>
      <c r="I1468" s="14" t="s">
        <v>1561</v>
      </c>
      <c r="J1468" s="21">
        <v>5.6524235609441735</v>
      </c>
      <c r="K1468" s="21">
        <v>24.295736899999998</v>
      </c>
      <c r="L1468" s="24">
        <f t="shared" si="44"/>
        <v>0.92235942201453558</v>
      </c>
    </row>
    <row r="1469" spans="1:12" x14ac:dyDescent="0.25">
      <c r="A1469" s="15">
        <f t="shared" si="45"/>
        <v>1464</v>
      </c>
      <c r="B1469" s="17">
        <v>163615</v>
      </c>
      <c r="C1469" s="18" t="s">
        <v>1503</v>
      </c>
      <c r="D1469" s="20">
        <v>0.76554149999999999</v>
      </c>
      <c r="E1469" s="19">
        <v>0</v>
      </c>
      <c r="F1469" s="20">
        <v>0.76554149999999999</v>
      </c>
      <c r="G1469" s="21">
        <v>134.7974433</v>
      </c>
      <c r="H1469" s="21">
        <v>100.94159129999998</v>
      </c>
      <c r="I1469" s="14" t="s">
        <v>1561</v>
      </c>
      <c r="J1469" s="21">
        <v>71.968724432621769</v>
      </c>
      <c r="K1469" s="21">
        <v>133.41257110000001</v>
      </c>
      <c r="L1469" s="24">
        <f t="shared" si="44"/>
        <v>0.98972627250119372</v>
      </c>
    </row>
    <row r="1470" spans="1:12" x14ac:dyDescent="0.25">
      <c r="A1470" s="15">
        <f t="shared" si="45"/>
        <v>1465</v>
      </c>
      <c r="B1470" s="17">
        <v>163753</v>
      </c>
      <c r="C1470" s="18" t="s">
        <v>959</v>
      </c>
      <c r="D1470" s="20">
        <v>8.9529500000000012E-2</v>
      </c>
      <c r="E1470" s="19">
        <v>0</v>
      </c>
      <c r="F1470" s="20">
        <v>8.9529500000000012E-2</v>
      </c>
      <c r="G1470" s="21">
        <v>42.884053299999998</v>
      </c>
      <c r="H1470" s="21">
        <v>32.747706000000001</v>
      </c>
      <c r="I1470" s="14" t="s">
        <v>1561</v>
      </c>
      <c r="J1470" s="21">
        <v>8.8877975124889783</v>
      </c>
      <c r="K1470" s="21">
        <v>33.7200433</v>
      </c>
      <c r="L1470" s="24">
        <f t="shared" si="44"/>
        <v>0.78630727986712956</v>
      </c>
    </row>
    <row r="1471" spans="1:12" x14ac:dyDescent="0.25">
      <c r="A1471" s="15">
        <f t="shared" si="45"/>
        <v>1466</v>
      </c>
      <c r="B1471" s="17">
        <v>163765</v>
      </c>
      <c r="C1471" s="18" t="s">
        <v>538</v>
      </c>
      <c r="D1471" s="20">
        <v>5.4376443000000005</v>
      </c>
      <c r="E1471" s="19">
        <v>0</v>
      </c>
      <c r="F1471" s="20">
        <v>5.4376443000000005</v>
      </c>
      <c r="G1471" s="21">
        <v>478.11160159999997</v>
      </c>
      <c r="H1471" s="21">
        <v>466.75912369999998</v>
      </c>
      <c r="I1471" s="14" t="s">
        <v>1561</v>
      </c>
      <c r="J1471" s="21">
        <v>244.41702940900549</v>
      </c>
      <c r="K1471" s="21">
        <v>527.51661899999999</v>
      </c>
      <c r="L1471" s="24">
        <f t="shared" si="44"/>
        <v>1.1033336510443716</v>
      </c>
    </row>
    <row r="1472" spans="1:12" x14ac:dyDescent="0.25">
      <c r="A1472" s="15">
        <f t="shared" si="45"/>
        <v>1467</v>
      </c>
      <c r="B1472" s="17">
        <v>164029</v>
      </c>
      <c r="C1472" s="18" t="s">
        <v>1504</v>
      </c>
      <c r="D1472" s="20" t="s">
        <v>1556</v>
      </c>
      <c r="E1472" s="19">
        <v>0</v>
      </c>
      <c r="F1472" s="20" t="s">
        <v>1556</v>
      </c>
      <c r="G1472" s="21">
        <v>1.1099447</v>
      </c>
      <c r="H1472" s="21">
        <v>1.1099447</v>
      </c>
      <c r="I1472" s="14" t="s">
        <v>1561</v>
      </c>
      <c r="J1472" s="21">
        <v>8.4383451841666665E-2</v>
      </c>
      <c r="K1472" s="21">
        <v>1.1484714999999999</v>
      </c>
      <c r="L1472" s="24">
        <f t="shared" si="44"/>
        <v>1.0347105581025793</v>
      </c>
    </row>
    <row r="1473" spans="1:12" x14ac:dyDescent="0.25">
      <c r="A1473" s="15">
        <f t="shared" si="45"/>
        <v>1468</v>
      </c>
      <c r="B1473" s="17">
        <v>164031</v>
      </c>
      <c r="C1473" s="18" t="s">
        <v>960</v>
      </c>
      <c r="D1473" s="20">
        <v>0.2146112</v>
      </c>
      <c r="E1473" s="19">
        <v>0</v>
      </c>
      <c r="F1473" s="20">
        <v>0.2146112</v>
      </c>
      <c r="G1473" s="21">
        <v>32.448377499999999</v>
      </c>
      <c r="H1473" s="21">
        <v>32.448377499999999</v>
      </c>
      <c r="I1473" s="14" t="s">
        <v>1561</v>
      </c>
      <c r="J1473" s="21">
        <v>18.233034057181989</v>
      </c>
      <c r="K1473" s="21">
        <v>33.202223099999998</v>
      </c>
      <c r="L1473" s="24">
        <f t="shared" si="44"/>
        <v>1.0232321508217166</v>
      </c>
    </row>
    <row r="1474" spans="1:12" x14ac:dyDescent="0.25">
      <c r="A1474" s="15">
        <f t="shared" si="45"/>
        <v>1469</v>
      </c>
      <c r="B1474" s="17">
        <v>164112</v>
      </c>
      <c r="C1474" s="18" t="s">
        <v>1505</v>
      </c>
      <c r="D1474" s="20" t="s">
        <v>1556</v>
      </c>
      <c r="E1474" s="19">
        <v>0</v>
      </c>
      <c r="F1474" s="20" t="s">
        <v>1556</v>
      </c>
      <c r="G1474" s="21">
        <v>0</v>
      </c>
      <c r="H1474" s="21">
        <v>0</v>
      </c>
      <c r="I1474" s="14" t="s">
        <v>1561</v>
      </c>
      <c r="J1474" s="21">
        <v>0</v>
      </c>
      <c r="K1474" s="21">
        <v>0</v>
      </c>
      <c r="L1474" s="24">
        <f t="shared" si="44"/>
        <v>0</v>
      </c>
    </row>
    <row r="1475" spans="1:12" x14ac:dyDescent="0.25">
      <c r="A1475" s="15">
        <f t="shared" si="45"/>
        <v>1470</v>
      </c>
      <c r="B1475" s="17">
        <v>164952</v>
      </c>
      <c r="C1475" s="18" t="s">
        <v>961</v>
      </c>
      <c r="D1475" s="20" t="s">
        <v>1556</v>
      </c>
      <c r="E1475" s="19">
        <v>0</v>
      </c>
      <c r="F1475" s="20" t="s">
        <v>1556</v>
      </c>
      <c r="G1475" s="21">
        <v>0</v>
      </c>
      <c r="H1475" s="21">
        <v>0</v>
      </c>
      <c r="I1475" s="14" t="s">
        <v>1561</v>
      </c>
      <c r="J1475" s="21">
        <v>0</v>
      </c>
      <c r="K1475" s="21">
        <v>0</v>
      </c>
      <c r="L1475" s="24">
        <f t="shared" si="44"/>
        <v>0</v>
      </c>
    </row>
    <row r="1476" spans="1:12" x14ac:dyDescent="0.25">
      <c r="A1476" s="15">
        <f t="shared" si="45"/>
        <v>1471</v>
      </c>
      <c r="B1476" s="17">
        <v>164955</v>
      </c>
      <c r="C1476" s="18" t="s">
        <v>1506</v>
      </c>
      <c r="D1476" s="20">
        <v>1.4250335999999999</v>
      </c>
      <c r="E1476" s="19">
        <v>0</v>
      </c>
      <c r="F1476" s="20">
        <v>1.4250335999999999</v>
      </c>
      <c r="G1476" s="21">
        <v>351.27227329999999</v>
      </c>
      <c r="H1476" s="21">
        <v>307.98450559999998</v>
      </c>
      <c r="I1476" s="14" t="s">
        <v>1561</v>
      </c>
      <c r="J1476" s="21">
        <v>113.38608487846712</v>
      </c>
      <c r="K1476" s="21">
        <v>322.46644429999998</v>
      </c>
      <c r="L1476" s="24">
        <f t="shared" si="44"/>
        <v>0.91799572243665606</v>
      </c>
    </row>
    <row r="1477" spans="1:12" x14ac:dyDescent="0.25">
      <c r="A1477" s="15">
        <f t="shared" si="45"/>
        <v>1472</v>
      </c>
      <c r="B1477" s="17">
        <v>164990</v>
      </c>
      <c r="C1477" s="18" t="s">
        <v>962</v>
      </c>
      <c r="D1477" s="20">
        <v>6.9066599999999992E-2</v>
      </c>
      <c r="E1477" s="19">
        <v>0</v>
      </c>
      <c r="F1477" s="20">
        <v>6.9066599999999992E-2</v>
      </c>
      <c r="G1477" s="21">
        <v>88.405579799999998</v>
      </c>
      <c r="H1477" s="21">
        <v>81.632848400000015</v>
      </c>
      <c r="I1477" s="14" t="s">
        <v>1561</v>
      </c>
      <c r="J1477" s="21">
        <v>12.294633046709315</v>
      </c>
      <c r="K1477" s="21">
        <v>91.604623200000006</v>
      </c>
      <c r="L1477" s="24">
        <f t="shared" si="44"/>
        <v>1.0361859896992611</v>
      </c>
    </row>
    <row r="1478" spans="1:12" x14ac:dyDescent="0.25">
      <c r="A1478" s="15">
        <f t="shared" si="45"/>
        <v>1473</v>
      </c>
      <c r="B1478" s="17">
        <v>165114</v>
      </c>
      <c r="C1478" s="18" t="s">
        <v>1507</v>
      </c>
      <c r="D1478" s="20" t="s">
        <v>1556</v>
      </c>
      <c r="E1478" s="19">
        <v>0</v>
      </c>
      <c r="F1478" s="20" t="s">
        <v>1556</v>
      </c>
      <c r="G1478" s="21">
        <v>0</v>
      </c>
      <c r="H1478" s="21">
        <v>0</v>
      </c>
      <c r="I1478" s="14" t="s">
        <v>1561</v>
      </c>
      <c r="J1478" s="21">
        <v>0</v>
      </c>
      <c r="K1478" s="21">
        <v>0</v>
      </c>
      <c r="L1478" s="24">
        <f t="shared" si="44"/>
        <v>0</v>
      </c>
    </row>
    <row r="1479" spans="1:12" x14ac:dyDescent="0.25">
      <c r="A1479" s="15">
        <f t="shared" si="45"/>
        <v>1474</v>
      </c>
      <c r="B1479" s="17">
        <v>165254</v>
      </c>
      <c r="C1479" s="18" t="s">
        <v>1508</v>
      </c>
      <c r="D1479" s="20" t="s">
        <v>1556</v>
      </c>
      <c r="E1479" s="19">
        <v>0</v>
      </c>
      <c r="F1479" s="20" t="s">
        <v>1556</v>
      </c>
      <c r="G1479" s="21">
        <v>0</v>
      </c>
      <c r="H1479" s="21">
        <v>0</v>
      </c>
      <c r="I1479" s="14" t="s">
        <v>1561</v>
      </c>
      <c r="J1479" s="21">
        <v>0</v>
      </c>
      <c r="K1479" s="21">
        <v>0</v>
      </c>
      <c r="L1479" s="24">
        <f t="shared" ref="L1479:L1542" si="46">+IFERROR(K1479/G1479,0)</f>
        <v>0</v>
      </c>
    </row>
    <row r="1480" spans="1:12" x14ac:dyDescent="0.25">
      <c r="A1480" s="15">
        <f t="shared" ref="A1480:A1543" si="47">A1479+1</f>
        <v>1475</v>
      </c>
      <c r="B1480" s="17">
        <v>166017</v>
      </c>
      <c r="C1480" s="18" t="s">
        <v>963</v>
      </c>
      <c r="D1480" s="20">
        <v>1.686256</v>
      </c>
      <c r="E1480" s="19">
        <v>0</v>
      </c>
      <c r="F1480" s="20">
        <v>1.686256</v>
      </c>
      <c r="G1480" s="21">
        <v>299.05957850000004</v>
      </c>
      <c r="H1480" s="21">
        <v>259.58484010000001</v>
      </c>
      <c r="I1480" s="14" t="s">
        <v>1561</v>
      </c>
      <c r="J1480" s="21">
        <v>118.94876292286349</v>
      </c>
      <c r="K1480" s="21">
        <v>280.8216382</v>
      </c>
      <c r="L1480" s="24">
        <f t="shared" si="46"/>
        <v>0.93901569583065525</v>
      </c>
    </row>
    <row r="1481" spans="1:12" x14ac:dyDescent="0.25">
      <c r="A1481" s="15">
        <f t="shared" si="47"/>
        <v>1476</v>
      </c>
      <c r="B1481" s="17">
        <v>166314</v>
      </c>
      <c r="C1481" s="18" t="s">
        <v>1509</v>
      </c>
      <c r="D1481" s="20" t="s">
        <v>1556</v>
      </c>
      <c r="E1481" s="19">
        <v>0</v>
      </c>
      <c r="F1481" s="20" t="s">
        <v>1556</v>
      </c>
      <c r="G1481" s="21">
        <v>119.9940002</v>
      </c>
      <c r="H1481" s="21">
        <v>119.9940002</v>
      </c>
      <c r="I1481" s="14" t="s">
        <v>1561</v>
      </c>
      <c r="J1481" s="21">
        <v>8.9453233690833329</v>
      </c>
      <c r="K1481" s="21">
        <v>132.60490859999999</v>
      </c>
      <c r="L1481" s="24">
        <f t="shared" si="46"/>
        <v>1.1050961579660712</v>
      </c>
    </row>
    <row r="1482" spans="1:12" x14ac:dyDescent="0.25">
      <c r="A1482" s="15">
        <f t="shared" si="47"/>
        <v>1477</v>
      </c>
      <c r="B1482" s="17">
        <v>166420</v>
      </c>
      <c r="C1482" s="18" t="s">
        <v>1510</v>
      </c>
      <c r="D1482" s="20" t="s">
        <v>1556</v>
      </c>
      <c r="E1482" s="19">
        <v>0</v>
      </c>
      <c r="F1482" s="20" t="s">
        <v>1556</v>
      </c>
      <c r="G1482" s="21">
        <v>0</v>
      </c>
      <c r="H1482" s="21">
        <v>0</v>
      </c>
      <c r="I1482" s="14" t="s">
        <v>1561</v>
      </c>
      <c r="J1482" s="21">
        <v>0</v>
      </c>
      <c r="K1482" s="21">
        <v>0</v>
      </c>
      <c r="L1482" s="24">
        <f t="shared" si="46"/>
        <v>0</v>
      </c>
    </row>
    <row r="1483" spans="1:12" x14ac:dyDescent="0.25">
      <c r="A1483" s="15">
        <f t="shared" si="47"/>
        <v>1478</v>
      </c>
      <c r="B1483" s="17">
        <v>166501</v>
      </c>
      <c r="C1483" s="18" t="s">
        <v>964</v>
      </c>
      <c r="D1483" s="20">
        <v>0.23857139999999999</v>
      </c>
      <c r="E1483" s="19">
        <v>0</v>
      </c>
      <c r="F1483" s="20">
        <v>0.23857139999999999</v>
      </c>
      <c r="G1483" s="21">
        <v>70.341483699999998</v>
      </c>
      <c r="H1483" s="21">
        <v>70.341483699999998</v>
      </c>
      <c r="I1483" s="14" t="s">
        <v>1561</v>
      </c>
      <c r="J1483" s="21">
        <v>21.384776396279843</v>
      </c>
      <c r="K1483" s="21">
        <v>77.850198499999991</v>
      </c>
      <c r="L1483" s="24">
        <f t="shared" si="46"/>
        <v>1.1067466081896136</v>
      </c>
    </row>
    <row r="1484" spans="1:12" x14ac:dyDescent="0.25">
      <c r="A1484" s="15">
        <f t="shared" si="47"/>
        <v>1479</v>
      </c>
      <c r="B1484" s="17">
        <v>166805</v>
      </c>
      <c r="C1484" s="18" t="s">
        <v>1511</v>
      </c>
      <c r="D1484" s="20" t="s">
        <v>1556</v>
      </c>
      <c r="E1484" s="19">
        <v>0</v>
      </c>
      <c r="F1484" s="20" t="s">
        <v>1556</v>
      </c>
      <c r="G1484" s="21">
        <v>0</v>
      </c>
      <c r="H1484" s="21">
        <v>0</v>
      </c>
      <c r="I1484" s="14" t="s">
        <v>1561</v>
      </c>
      <c r="J1484" s="21">
        <v>0</v>
      </c>
      <c r="K1484" s="21">
        <v>0</v>
      </c>
      <c r="L1484" s="24">
        <f t="shared" si="46"/>
        <v>0</v>
      </c>
    </row>
    <row r="1485" spans="1:12" x14ac:dyDescent="0.25">
      <c r="A1485" s="15">
        <f t="shared" si="47"/>
        <v>1480</v>
      </c>
      <c r="B1485" s="17">
        <v>167127</v>
      </c>
      <c r="C1485" s="18" t="s">
        <v>965</v>
      </c>
      <c r="D1485" s="20">
        <v>3.82066E-2</v>
      </c>
      <c r="E1485" s="19">
        <v>0</v>
      </c>
      <c r="F1485" s="20">
        <v>3.82066E-2</v>
      </c>
      <c r="G1485" s="21">
        <v>10.169495400000001</v>
      </c>
      <c r="H1485" s="21">
        <v>9.5558843000000007</v>
      </c>
      <c r="I1485" s="14" t="s">
        <v>1561</v>
      </c>
      <c r="J1485" s="21">
        <v>3.2951575022364681</v>
      </c>
      <c r="K1485" s="21">
        <v>10.2904979</v>
      </c>
      <c r="L1485" s="24">
        <f t="shared" si="46"/>
        <v>1.0118985746333096</v>
      </c>
    </row>
    <row r="1486" spans="1:12" x14ac:dyDescent="0.25">
      <c r="A1486" s="15">
        <f t="shared" si="47"/>
        <v>1481</v>
      </c>
      <c r="B1486" s="17">
        <v>167196</v>
      </c>
      <c r="C1486" s="18" t="s">
        <v>966</v>
      </c>
      <c r="D1486" s="20">
        <v>0.79977520000000002</v>
      </c>
      <c r="E1486" s="19">
        <v>0</v>
      </c>
      <c r="F1486" s="20">
        <v>0.79977520000000002</v>
      </c>
      <c r="G1486" s="21">
        <v>120.89093869999999</v>
      </c>
      <c r="H1486" s="21">
        <v>91.657746099999997</v>
      </c>
      <c r="I1486" s="14" t="s">
        <v>1561</v>
      </c>
      <c r="J1486" s="21">
        <v>63.185749582093358</v>
      </c>
      <c r="K1486" s="21">
        <v>105.17420060000001</v>
      </c>
      <c r="L1486" s="24">
        <f t="shared" si="46"/>
        <v>0.86999242235183349</v>
      </c>
    </row>
    <row r="1487" spans="1:12" x14ac:dyDescent="0.25">
      <c r="A1487" s="15">
        <f t="shared" si="47"/>
        <v>1482</v>
      </c>
      <c r="B1487" s="17">
        <v>167471</v>
      </c>
      <c r="C1487" s="18" t="s">
        <v>967</v>
      </c>
      <c r="D1487" s="20" t="s">
        <v>1556</v>
      </c>
      <c r="E1487" s="19">
        <v>0</v>
      </c>
      <c r="F1487" s="20" t="s">
        <v>1556</v>
      </c>
      <c r="G1487" s="21">
        <v>0</v>
      </c>
      <c r="H1487" s="21">
        <v>0</v>
      </c>
      <c r="I1487" s="14" t="s">
        <v>1561</v>
      </c>
      <c r="J1487" s="21">
        <v>0</v>
      </c>
      <c r="K1487" s="21">
        <v>0</v>
      </c>
      <c r="L1487" s="24">
        <f t="shared" si="46"/>
        <v>0</v>
      </c>
    </row>
    <row r="1488" spans="1:12" x14ac:dyDescent="0.25">
      <c r="A1488" s="15">
        <f t="shared" si="47"/>
        <v>1483</v>
      </c>
      <c r="B1488" s="17">
        <v>167703</v>
      </c>
      <c r="C1488" s="18" t="s">
        <v>968</v>
      </c>
      <c r="D1488" s="20" t="s">
        <v>1556</v>
      </c>
      <c r="E1488" s="19">
        <v>0</v>
      </c>
      <c r="F1488" s="20" t="s">
        <v>1556</v>
      </c>
      <c r="G1488" s="21">
        <v>0</v>
      </c>
      <c r="H1488" s="21">
        <v>0</v>
      </c>
      <c r="I1488" s="14" t="s">
        <v>1561</v>
      </c>
      <c r="J1488" s="21">
        <v>0</v>
      </c>
      <c r="K1488" s="21">
        <v>0</v>
      </c>
      <c r="L1488" s="24">
        <f t="shared" si="46"/>
        <v>0</v>
      </c>
    </row>
    <row r="1489" spans="1:12" x14ac:dyDescent="0.25">
      <c r="A1489" s="15">
        <f t="shared" si="47"/>
        <v>1484</v>
      </c>
      <c r="B1489" s="17">
        <v>168005</v>
      </c>
      <c r="C1489" s="18" t="s">
        <v>969</v>
      </c>
      <c r="D1489" s="20">
        <v>0.19327159999999999</v>
      </c>
      <c r="E1489" s="19">
        <v>0</v>
      </c>
      <c r="F1489" s="20">
        <v>0.19327159999999999</v>
      </c>
      <c r="G1489" s="21">
        <v>60.896954999999998</v>
      </c>
      <c r="H1489" s="21">
        <v>59.092094100000004</v>
      </c>
      <c r="I1489" s="14" t="s">
        <v>1561</v>
      </c>
      <c r="J1489" s="21">
        <v>16.983230890772756</v>
      </c>
      <c r="K1489" s="21">
        <v>62.976582400000005</v>
      </c>
      <c r="L1489" s="24">
        <f t="shared" si="46"/>
        <v>1.0341499406661632</v>
      </c>
    </row>
    <row r="1490" spans="1:12" x14ac:dyDescent="0.25">
      <c r="A1490" s="15">
        <f t="shared" si="47"/>
        <v>1485</v>
      </c>
      <c r="B1490" s="17">
        <v>168039</v>
      </c>
      <c r="C1490" s="18" t="s">
        <v>970</v>
      </c>
      <c r="D1490" s="20" t="s">
        <v>1556</v>
      </c>
      <c r="E1490" s="19">
        <v>0</v>
      </c>
      <c r="F1490" s="20" t="s">
        <v>1556</v>
      </c>
      <c r="G1490" s="21">
        <v>0</v>
      </c>
      <c r="H1490" s="21">
        <v>0</v>
      </c>
      <c r="I1490" s="14" t="s">
        <v>1561</v>
      </c>
      <c r="J1490" s="21">
        <v>0</v>
      </c>
      <c r="K1490" s="21">
        <v>0</v>
      </c>
      <c r="L1490" s="24">
        <f t="shared" si="46"/>
        <v>0</v>
      </c>
    </row>
    <row r="1491" spans="1:12" x14ac:dyDescent="0.25">
      <c r="A1491" s="15">
        <f t="shared" si="47"/>
        <v>1486</v>
      </c>
      <c r="B1491" s="17">
        <v>168436</v>
      </c>
      <c r="C1491" s="18" t="s">
        <v>1512</v>
      </c>
      <c r="D1491" s="20" t="s">
        <v>1556</v>
      </c>
      <c r="E1491" s="19">
        <v>0</v>
      </c>
      <c r="F1491" s="20" t="s">
        <v>1556</v>
      </c>
      <c r="G1491" s="21">
        <v>5.9996999999999998</v>
      </c>
      <c r="H1491" s="21">
        <v>5.9996999999999998</v>
      </c>
      <c r="I1491" s="14" t="s">
        <v>1561</v>
      </c>
      <c r="J1491" s="21">
        <v>1.0410483713833334</v>
      </c>
      <c r="K1491" s="21">
        <v>5.7507847999999999</v>
      </c>
      <c r="L1491" s="24">
        <f t="shared" si="46"/>
        <v>0.95851205893628011</v>
      </c>
    </row>
    <row r="1492" spans="1:12" x14ac:dyDescent="0.25">
      <c r="A1492" s="15">
        <f t="shared" si="47"/>
        <v>1487</v>
      </c>
      <c r="B1492" s="17">
        <v>168440</v>
      </c>
      <c r="C1492" s="18" t="s">
        <v>1513</v>
      </c>
      <c r="D1492" s="20">
        <v>1.9808870999999999</v>
      </c>
      <c r="E1492" s="19">
        <v>0</v>
      </c>
      <c r="F1492" s="20">
        <v>1.9808870999999999</v>
      </c>
      <c r="G1492" s="21">
        <v>374.9051336</v>
      </c>
      <c r="H1492" s="21">
        <v>333.80512919999995</v>
      </c>
      <c r="I1492" s="14" t="s">
        <v>1561</v>
      </c>
      <c r="J1492" s="21">
        <v>166.48359829228693</v>
      </c>
      <c r="K1492" s="21">
        <v>368.70722960000001</v>
      </c>
      <c r="L1492" s="24">
        <f t="shared" si="46"/>
        <v>0.98346807380180401</v>
      </c>
    </row>
    <row r="1493" spans="1:12" x14ac:dyDescent="0.25">
      <c r="A1493" s="15">
        <f t="shared" si="47"/>
        <v>1488</v>
      </c>
      <c r="B1493" s="17">
        <v>168625</v>
      </c>
      <c r="C1493" s="18" t="s">
        <v>539</v>
      </c>
      <c r="D1493" s="20" t="s">
        <v>1556</v>
      </c>
      <c r="E1493" s="19">
        <v>0</v>
      </c>
      <c r="F1493" s="20" t="s">
        <v>1556</v>
      </c>
      <c r="G1493" s="21">
        <v>0</v>
      </c>
      <c r="H1493" s="21">
        <v>0</v>
      </c>
      <c r="I1493" s="14" t="s">
        <v>1561</v>
      </c>
      <c r="J1493" s="21">
        <v>0</v>
      </c>
      <c r="K1493" s="21">
        <v>0</v>
      </c>
      <c r="L1493" s="24">
        <f t="shared" si="46"/>
        <v>0</v>
      </c>
    </row>
    <row r="1494" spans="1:12" x14ac:dyDescent="0.25">
      <c r="A1494" s="15">
        <f t="shared" si="47"/>
        <v>1489</v>
      </c>
      <c r="B1494" s="17">
        <v>168707</v>
      </c>
      <c r="C1494" s="18" t="s">
        <v>1514</v>
      </c>
      <c r="D1494" s="20" t="s">
        <v>1556</v>
      </c>
      <c r="E1494" s="19">
        <v>0</v>
      </c>
      <c r="F1494" s="20" t="s">
        <v>1556</v>
      </c>
      <c r="G1494" s="21">
        <v>0</v>
      </c>
      <c r="H1494" s="21">
        <v>0</v>
      </c>
      <c r="I1494" s="14" t="s">
        <v>1561</v>
      </c>
      <c r="J1494" s="21">
        <v>0</v>
      </c>
      <c r="K1494" s="21">
        <v>0</v>
      </c>
      <c r="L1494" s="24">
        <f t="shared" si="46"/>
        <v>0</v>
      </c>
    </row>
    <row r="1495" spans="1:12" x14ac:dyDescent="0.25">
      <c r="A1495" s="15">
        <f t="shared" si="47"/>
        <v>1490</v>
      </c>
      <c r="B1495" s="17">
        <v>168722</v>
      </c>
      <c r="C1495" s="18" t="s">
        <v>540</v>
      </c>
      <c r="D1495" s="20" t="s">
        <v>1556</v>
      </c>
      <c r="E1495" s="19">
        <v>0</v>
      </c>
      <c r="F1495" s="20" t="s">
        <v>1556</v>
      </c>
      <c r="G1495" s="21">
        <v>0</v>
      </c>
      <c r="H1495" s="21">
        <v>0</v>
      </c>
      <c r="I1495" s="14" t="s">
        <v>1561</v>
      </c>
      <c r="J1495" s="21">
        <v>0</v>
      </c>
      <c r="K1495" s="21">
        <v>0</v>
      </c>
      <c r="L1495" s="24">
        <f t="shared" si="46"/>
        <v>0</v>
      </c>
    </row>
    <row r="1496" spans="1:12" x14ac:dyDescent="0.25">
      <c r="A1496" s="15">
        <f t="shared" si="47"/>
        <v>1491</v>
      </c>
      <c r="B1496" s="17">
        <v>169285</v>
      </c>
      <c r="C1496" s="18" t="s">
        <v>1515</v>
      </c>
      <c r="D1496" s="20">
        <v>1.6622429000000001</v>
      </c>
      <c r="E1496" s="19">
        <v>0</v>
      </c>
      <c r="F1496" s="20">
        <v>1.6622429000000001</v>
      </c>
      <c r="G1496" s="21">
        <v>1060.2489831</v>
      </c>
      <c r="H1496" s="21">
        <v>775.87768340000002</v>
      </c>
      <c r="I1496" s="14" t="s">
        <v>1561</v>
      </c>
      <c r="J1496" s="21">
        <v>242.95686330229506</v>
      </c>
      <c r="K1496" s="21">
        <v>802.15780189999998</v>
      </c>
      <c r="L1496" s="24">
        <f t="shared" si="46"/>
        <v>0.75657493163032108</v>
      </c>
    </row>
    <row r="1497" spans="1:12" x14ac:dyDescent="0.25">
      <c r="A1497" s="15">
        <f t="shared" si="47"/>
        <v>1492</v>
      </c>
      <c r="B1497" s="17">
        <v>169520</v>
      </c>
      <c r="C1497" s="18" t="s">
        <v>971</v>
      </c>
      <c r="D1497" s="20" t="s">
        <v>1556</v>
      </c>
      <c r="E1497" s="19">
        <v>0</v>
      </c>
      <c r="F1497" s="20" t="s">
        <v>1556</v>
      </c>
      <c r="G1497" s="21">
        <v>0</v>
      </c>
      <c r="H1497" s="21">
        <v>0</v>
      </c>
      <c r="I1497" s="14" t="s">
        <v>1561</v>
      </c>
      <c r="J1497" s="21">
        <v>0</v>
      </c>
      <c r="K1497" s="21">
        <v>0</v>
      </c>
      <c r="L1497" s="24">
        <f t="shared" si="46"/>
        <v>0</v>
      </c>
    </row>
    <row r="1498" spans="1:12" x14ac:dyDescent="0.25">
      <c r="A1498" s="15">
        <f t="shared" si="47"/>
        <v>1493</v>
      </c>
      <c r="B1498" s="17">
        <v>169849</v>
      </c>
      <c r="C1498" s="18" t="s">
        <v>541</v>
      </c>
      <c r="D1498" s="20" t="s">
        <v>1556</v>
      </c>
      <c r="E1498" s="19">
        <v>0</v>
      </c>
      <c r="F1498" s="20" t="s">
        <v>1556</v>
      </c>
      <c r="G1498" s="21">
        <v>0</v>
      </c>
      <c r="H1498" s="21">
        <v>0</v>
      </c>
      <c r="I1498" s="14" t="s">
        <v>1561</v>
      </c>
      <c r="J1498" s="21">
        <v>0</v>
      </c>
      <c r="K1498" s="21">
        <v>0</v>
      </c>
      <c r="L1498" s="24">
        <f t="shared" si="46"/>
        <v>0</v>
      </c>
    </row>
    <row r="1499" spans="1:12" x14ac:dyDescent="0.25">
      <c r="A1499" s="15">
        <f t="shared" si="47"/>
        <v>1494</v>
      </c>
      <c r="B1499" s="17">
        <v>169850</v>
      </c>
      <c r="C1499" s="18" t="s">
        <v>972</v>
      </c>
      <c r="D1499" s="20" t="s">
        <v>1556</v>
      </c>
      <c r="E1499" s="19">
        <v>0</v>
      </c>
      <c r="F1499" s="20" t="s">
        <v>1556</v>
      </c>
      <c r="G1499" s="21">
        <v>0</v>
      </c>
      <c r="H1499" s="21">
        <v>0</v>
      </c>
      <c r="I1499" s="14" t="s">
        <v>1561</v>
      </c>
      <c r="J1499" s="21">
        <v>0</v>
      </c>
      <c r="K1499" s="21">
        <v>0</v>
      </c>
      <c r="L1499" s="24">
        <f t="shared" si="46"/>
        <v>0</v>
      </c>
    </row>
    <row r="1500" spans="1:12" x14ac:dyDescent="0.25">
      <c r="A1500" s="15">
        <f t="shared" si="47"/>
        <v>1495</v>
      </c>
      <c r="B1500" s="17">
        <v>170740</v>
      </c>
      <c r="C1500" s="18" t="s">
        <v>973</v>
      </c>
      <c r="D1500" s="20" t="s">
        <v>1556</v>
      </c>
      <c r="E1500" s="19">
        <v>0</v>
      </c>
      <c r="F1500" s="20" t="s">
        <v>1556</v>
      </c>
      <c r="G1500" s="21">
        <v>0</v>
      </c>
      <c r="H1500" s="21">
        <v>0</v>
      </c>
      <c r="I1500" s="14" t="s">
        <v>1561</v>
      </c>
      <c r="J1500" s="21">
        <v>0</v>
      </c>
      <c r="K1500" s="21">
        <v>0</v>
      </c>
      <c r="L1500" s="24">
        <f t="shared" si="46"/>
        <v>0</v>
      </c>
    </row>
    <row r="1501" spans="1:12" x14ac:dyDescent="0.25">
      <c r="A1501" s="15">
        <f t="shared" si="47"/>
        <v>1496</v>
      </c>
      <c r="B1501" s="17">
        <v>171852</v>
      </c>
      <c r="C1501" s="18" t="s">
        <v>974</v>
      </c>
      <c r="D1501" s="20" t="s">
        <v>1556</v>
      </c>
      <c r="E1501" s="19">
        <v>0</v>
      </c>
      <c r="F1501" s="20" t="s">
        <v>1556</v>
      </c>
      <c r="G1501" s="21">
        <v>0</v>
      </c>
      <c r="H1501" s="21">
        <v>0</v>
      </c>
      <c r="I1501" s="14" t="s">
        <v>1561</v>
      </c>
      <c r="J1501" s="21">
        <v>0</v>
      </c>
      <c r="K1501" s="21">
        <v>0</v>
      </c>
      <c r="L1501" s="24">
        <f t="shared" si="46"/>
        <v>0</v>
      </c>
    </row>
    <row r="1502" spans="1:12" x14ac:dyDescent="0.25">
      <c r="A1502" s="15">
        <f t="shared" si="47"/>
        <v>1497</v>
      </c>
      <c r="B1502" s="17">
        <v>172057</v>
      </c>
      <c r="C1502" s="18" t="s">
        <v>1516</v>
      </c>
      <c r="D1502" s="20">
        <v>5.8108400000000004E-2</v>
      </c>
      <c r="E1502" s="19">
        <v>0</v>
      </c>
      <c r="F1502" s="20">
        <v>5.8108400000000004E-2</v>
      </c>
      <c r="G1502" s="21">
        <v>12.019399399999999</v>
      </c>
      <c r="H1502" s="21">
        <v>11.403050699999998</v>
      </c>
      <c r="I1502" s="14" t="s">
        <v>1561</v>
      </c>
      <c r="J1502" s="21">
        <v>5.8917150341447142</v>
      </c>
      <c r="K1502" s="21">
        <v>11.903970300000001</v>
      </c>
      <c r="L1502" s="24">
        <f t="shared" si="46"/>
        <v>0.99039643361880481</v>
      </c>
    </row>
    <row r="1503" spans="1:12" x14ac:dyDescent="0.25">
      <c r="A1503" s="15">
        <f t="shared" si="47"/>
        <v>1498</v>
      </c>
      <c r="B1503" s="17">
        <v>172196</v>
      </c>
      <c r="C1503" s="18" t="s">
        <v>1517</v>
      </c>
      <c r="D1503" s="20">
        <v>5.9491800000000004E-2</v>
      </c>
      <c r="E1503" s="19">
        <v>0</v>
      </c>
      <c r="F1503" s="20">
        <v>5.9491800000000004E-2</v>
      </c>
      <c r="G1503" s="21">
        <v>102.09489499999999</v>
      </c>
      <c r="H1503" s="21">
        <v>70.812528700000001</v>
      </c>
      <c r="I1503" s="14" t="s">
        <v>1561</v>
      </c>
      <c r="J1503" s="21">
        <v>27.06360985206685</v>
      </c>
      <c r="K1503" s="21">
        <v>72.902271100000007</v>
      </c>
      <c r="L1503" s="24">
        <f t="shared" si="46"/>
        <v>0.71406382366131049</v>
      </c>
    </row>
    <row r="1504" spans="1:12" x14ac:dyDescent="0.25">
      <c r="A1504" s="15">
        <f t="shared" si="47"/>
        <v>1499</v>
      </c>
      <c r="B1504" s="17">
        <v>172574</v>
      </c>
      <c r="C1504" s="18" t="s">
        <v>1518</v>
      </c>
      <c r="D1504" s="20" t="s">
        <v>1556</v>
      </c>
      <c r="E1504" s="19">
        <v>0</v>
      </c>
      <c r="F1504" s="20" t="s">
        <v>1556</v>
      </c>
      <c r="G1504" s="21">
        <v>0</v>
      </c>
      <c r="H1504" s="21">
        <v>0</v>
      </c>
      <c r="I1504" s="14" t="s">
        <v>1561</v>
      </c>
      <c r="J1504" s="21">
        <v>0</v>
      </c>
      <c r="K1504" s="21">
        <v>0</v>
      </c>
      <c r="L1504" s="24">
        <f t="shared" si="46"/>
        <v>0</v>
      </c>
    </row>
    <row r="1505" spans="1:12" x14ac:dyDescent="0.25">
      <c r="A1505" s="15">
        <f t="shared" si="47"/>
        <v>1500</v>
      </c>
      <c r="B1505" s="17">
        <v>172593</v>
      </c>
      <c r="C1505" s="18" t="s">
        <v>1519</v>
      </c>
      <c r="D1505" s="20">
        <v>2.1533411</v>
      </c>
      <c r="E1505" s="19">
        <v>0</v>
      </c>
      <c r="F1505" s="20">
        <v>2.1533411</v>
      </c>
      <c r="G1505" s="21">
        <v>199.99000050000001</v>
      </c>
      <c r="H1505" s="21">
        <v>199.99000050000001</v>
      </c>
      <c r="I1505" s="14" t="s">
        <v>1561</v>
      </c>
      <c r="J1505" s="21">
        <v>148.92326436202774</v>
      </c>
      <c r="K1505" s="21">
        <v>232.25055750000001</v>
      </c>
      <c r="L1505" s="24">
        <f t="shared" si="46"/>
        <v>1.16131085013923</v>
      </c>
    </row>
    <row r="1506" spans="1:12" x14ac:dyDescent="0.25">
      <c r="A1506" s="15">
        <f t="shared" si="47"/>
        <v>1501</v>
      </c>
      <c r="B1506" s="17">
        <v>173256</v>
      </c>
      <c r="C1506" s="18" t="s">
        <v>975</v>
      </c>
      <c r="D1506" s="20">
        <v>0.88886500000000002</v>
      </c>
      <c r="E1506" s="19">
        <v>0</v>
      </c>
      <c r="F1506" s="20">
        <v>0.88886500000000002</v>
      </c>
      <c r="G1506" s="21">
        <v>259.64989750000001</v>
      </c>
      <c r="H1506" s="21">
        <v>259.64989750000001</v>
      </c>
      <c r="I1506" s="14" t="s">
        <v>1561</v>
      </c>
      <c r="J1506" s="21">
        <v>73.557634070957874</v>
      </c>
      <c r="K1506" s="21">
        <v>275.48658929999999</v>
      </c>
      <c r="L1506" s="24">
        <f t="shared" si="46"/>
        <v>1.0609924823867878</v>
      </c>
    </row>
    <row r="1507" spans="1:12" x14ac:dyDescent="0.25">
      <c r="A1507" s="15">
        <f t="shared" si="47"/>
        <v>1502</v>
      </c>
      <c r="B1507" s="17">
        <v>173430</v>
      </c>
      <c r="C1507" s="18" t="s">
        <v>976</v>
      </c>
      <c r="D1507" s="20">
        <v>3.8192799999999999E-2</v>
      </c>
      <c r="E1507" s="19">
        <v>0</v>
      </c>
      <c r="F1507" s="20">
        <v>3.8192799999999999E-2</v>
      </c>
      <c r="G1507" s="21">
        <v>13.9993</v>
      </c>
      <c r="H1507" s="21">
        <v>13.9993</v>
      </c>
      <c r="I1507" s="14" t="s">
        <v>1561</v>
      </c>
      <c r="J1507" s="21">
        <v>4.8268660047670249</v>
      </c>
      <c r="K1507" s="21">
        <v>14.270401100000001</v>
      </c>
      <c r="L1507" s="24">
        <f t="shared" si="46"/>
        <v>1.019365332552342</v>
      </c>
    </row>
    <row r="1508" spans="1:12" x14ac:dyDescent="0.25">
      <c r="A1508" s="15">
        <f t="shared" si="47"/>
        <v>1503</v>
      </c>
      <c r="B1508" s="17">
        <v>173466</v>
      </c>
      <c r="C1508" s="18" t="s">
        <v>1520</v>
      </c>
      <c r="D1508" s="20" t="s">
        <v>1556</v>
      </c>
      <c r="E1508" s="19">
        <v>0</v>
      </c>
      <c r="F1508" s="20" t="s">
        <v>1556</v>
      </c>
      <c r="G1508" s="21">
        <v>0</v>
      </c>
      <c r="H1508" s="21">
        <v>0</v>
      </c>
      <c r="I1508" s="14" t="s">
        <v>1561</v>
      </c>
      <c r="J1508" s="21">
        <v>0</v>
      </c>
      <c r="K1508" s="21">
        <v>0</v>
      </c>
      <c r="L1508" s="24">
        <f t="shared" si="46"/>
        <v>0</v>
      </c>
    </row>
    <row r="1509" spans="1:12" x14ac:dyDescent="0.25">
      <c r="A1509" s="15">
        <f t="shared" si="47"/>
        <v>1504</v>
      </c>
      <c r="B1509" s="17">
        <v>173625</v>
      </c>
      <c r="C1509" s="18" t="s">
        <v>1521</v>
      </c>
      <c r="D1509" s="20">
        <v>12.093846299999999</v>
      </c>
      <c r="E1509" s="19">
        <v>0</v>
      </c>
      <c r="F1509" s="20">
        <v>12.093846299999999</v>
      </c>
      <c r="G1509" s="21">
        <v>1788.2618849</v>
      </c>
      <c r="H1509" s="21">
        <v>766.71389030000012</v>
      </c>
      <c r="I1509" s="14" t="s">
        <v>1561</v>
      </c>
      <c r="J1509" s="21">
        <v>831.02923652184859</v>
      </c>
      <c r="K1509" s="21">
        <v>901.56677890000003</v>
      </c>
      <c r="L1509" s="24">
        <f t="shared" si="46"/>
        <v>0.50415813618396044</v>
      </c>
    </row>
    <row r="1510" spans="1:12" x14ac:dyDescent="0.25">
      <c r="A1510" s="15">
        <f t="shared" si="47"/>
        <v>1505</v>
      </c>
      <c r="B1510" s="17">
        <v>173986</v>
      </c>
      <c r="C1510" s="18" t="s">
        <v>977</v>
      </c>
      <c r="D1510" s="20" t="s">
        <v>1556</v>
      </c>
      <c r="E1510" s="19">
        <v>0</v>
      </c>
      <c r="F1510" s="20" t="s">
        <v>1556</v>
      </c>
      <c r="G1510" s="21">
        <v>0</v>
      </c>
      <c r="H1510" s="21">
        <v>0</v>
      </c>
      <c r="I1510" s="14" t="s">
        <v>1561</v>
      </c>
      <c r="J1510" s="21">
        <v>0</v>
      </c>
      <c r="K1510" s="21">
        <v>0</v>
      </c>
      <c r="L1510" s="24">
        <f t="shared" si="46"/>
        <v>0</v>
      </c>
    </row>
    <row r="1511" spans="1:12" x14ac:dyDescent="0.25">
      <c r="A1511" s="15">
        <f t="shared" si="47"/>
        <v>1506</v>
      </c>
      <c r="B1511" s="17">
        <v>174029</v>
      </c>
      <c r="C1511" s="18" t="s">
        <v>1522</v>
      </c>
      <c r="D1511" s="20">
        <v>8.4087999999999993E-3</v>
      </c>
      <c r="E1511" s="19">
        <v>0</v>
      </c>
      <c r="F1511" s="20">
        <v>8.4087999999999993E-3</v>
      </c>
      <c r="G1511" s="21">
        <v>52.1823908</v>
      </c>
      <c r="H1511" s="21">
        <v>51.929282100000002</v>
      </c>
      <c r="I1511" s="14" t="s">
        <v>1561</v>
      </c>
      <c r="J1511" s="21">
        <v>2.6068845942138887</v>
      </c>
      <c r="K1511" s="21">
        <v>54.112886100000004</v>
      </c>
      <c r="L1511" s="24">
        <f t="shared" si="46"/>
        <v>1.0369951485626452</v>
      </c>
    </row>
    <row r="1512" spans="1:12" x14ac:dyDescent="0.25">
      <c r="A1512" s="15">
        <f t="shared" si="47"/>
        <v>1507</v>
      </c>
      <c r="B1512" s="17">
        <v>174074</v>
      </c>
      <c r="C1512" s="18" t="s">
        <v>978</v>
      </c>
      <c r="D1512" s="20" t="s">
        <v>1556</v>
      </c>
      <c r="E1512" s="19">
        <v>0</v>
      </c>
      <c r="F1512" s="20" t="s">
        <v>1556</v>
      </c>
      <c r="G1512" s="21">
        <v>0</v>
      </c>
      <c r="H1512" s="21">
        <v>0</v>
      </c>
      <c r="I1512" s="14" t="s">
        <v>1561</v>
      </c>
      <c r="J1512" s="21">
        <v>0</v>
      </c>
      <c r="K1512" s="21">
        <v>0</v>
      </c>
      <c r="L1512" s="24">
        <f t="shared" si="46"/>
        <v>0</v>
      </c>
    </row>
    <row r="1513" spans="1:12" x14ac:dyDescent="0.25">
      <c r="A1513" s="15">
        <f t="shared" si="47"/>
        <v>1508</v>
      </c>
      <c r="B1513" s="17">
        <v>174093</v>
      </c>
      <c r="C1513" s="18" t="s">
        <v>1523</v>
      </c>
      <c r="D1513" s="20">
        <v>8.1395000000000009E-3</v>
      </c>
      <c r="E1513" s="19">
        <v>0</v>
      </c>
      <c r="F1513" s="20">
        <v>8.1395000000000009E-3</v>
      </c>
      <c r="G1513" s="21">
        <v>1.6949152999999999</v>
      </c>
      <c r="H1513" s="21">
        <v>1.6949152999999999</v>
      </c>
      <c r="I1513" s="14" t="s">
        <v>1561</v>
      </c>
      <c r="J1513" s="21">
        <v>0.43477020281568096</v>
      </c>
      <c r="K1513" s="21">
        <v>1.7277665</v>
      </c>
      <c r="L1513" s="24">
        <f t="shared" si="46"/>
        <v>1.0193822074766805</v>
      </c>
    </row>
    <row r="1514" spans="1:12" x14ac:dyDescent="0.25">
      <c r="A1514" s="15">
        <f t="shared" si="47"/>
        <v>1509</v>
      </c>
      <c r="B1514" s="17">
        <v>174346</v>
      </c>
      <c r="C1514" s="18" t="s">
        <v>1524</v>
      </c>
      <c r="D1514" s="20">
        <v>5.8624999999999997E-3</v>
      </c>
      <c r="E1514" s="19">
        <v>0</v>
      </c>
      <c r="F1514" s="20">
        <v>5.8624999999999997E-3</v>
      </c>
      <c r="G1514" s="21">
        <v>3.9398029999999999</v>
      </c>
      <c r="H1514" s="21">
        <v>3.9398029999999999</v>
      </c>
      <c r="I1514" s="14" t="s">
        <v>1561</v>
      </c>
      <c r="J1514" s="21">
        <v>0.86375804025241931</v>
      </c>
      <c r="K1514" s="21">
        <v>3.9166745000000001</v>
      </c>
      <c r="L1514" s="24">
        <f t="shared" si="46"/>
        <v>0.99412952881146599</v>
      </c>
    </row>
    <row r="1515" spans="1:12" x14ac:dyDescent="0.25">
      <c r="A1515" s="15">
        <f t="shared" si="47"/>
        <v>1510</v>
      </c>
      <c r="B1515" s="17">
        <v>174484</v>
      </c>
      <c r="C1515" s="18" t="s">
        <v>1525</v>
      </c>
      <c r="D1515" s="20">
        <v>1.6871E-3</v>
      </c>
      <c r="E1515" s="19">
        <v>0</v>
      </c>
      <c r="F1515" s="20">
        <v>1.6871E-3</v>
      </c>
      <c r="G1515" s="21">
        <v>2.2498874999999998</v>
      </c>
      <c r="H1515" s="21">
        <v>2.2498874999999998</v>
      </c>
      <c r="I1515" s="14" t="s">
        <v>1561</v>
      </c>
      <c r="J1515" s="21">
        <v>0.28450997274946244</v>
      </c>
      <c r="K1515" s="21">
        <v>2.2930891</v>
      </c>
      <c r="L1515" s="24">
        <f t="shared" si="46"/>
        <v>1.019201671194671</v>
      </c>
    </row>
    <row r="1516" spans="1:12" x14ac:dyDescent="0.25">
      <c r="A1516" s="15">
        <f t="shared" si="47"/>
        <v>1511</v>
      </c>
      <c r="B1516" s="17">
        <v>174863</v>
      </c>
      <c r="C1516" s="18" t="s">
        <v>1526</v>
      </c>
      <c r="D1516" s="20" t="s">
        <v>1556</v>
      </c>
      <c r="E1516" s="19">
        <v>0</v>
      </c>
      <c r="F1516" s="20" t="s">
        <v>1556</v>
      </c>
      <c r="G1516" s="21">
        <v>0</v>
      </c>
      <c r="H1516" s="21">
        <v>0</v>
      </c>
      <c r="I1516" s="14" t="s">
        <v>1561</v>
      </c>
      <c r="J1516" s="21">
        <v>0</v>
      </c>
      <c r="K1516" s="21">
        <v>0</v>
      </c>
      <c r="L1516" s="24">
        <f t="shared" si="46"/>
        <v>0</v>
      </c>
    </row>
    <row r="1517" spans="1:12" x14ac:dyDescent="0.25">
      <c r="A1517" s="15">
        <f t="shared" si="47"/>
        <v>1512</v>
      </c>
      <c r="B1517" s="17">
        <v>175137</v>
      </c>
      <c r="C1517" s="18" t="s">
        <v>1527</v>
      </c>
      <c r="D1517" s="20" t="s">
        <v>1556</v>
      </c>
      <c r="E1517" s="19">
        <v>0</v>
      </c>
      <c r="F1517" s="20" t="s">
        <v>1556</v>
      </c>
      <c r="G1517" s="21">
        <v>0</v>
      </c>
      <c r="H1517" s="21">
        <v>0</v>
      </c>
      <c r="I1517" s="14" t="s">
        <v>1561</v>
      </c>
      <c r="J1517" s="21">
        <v>0</v>
      </c>
      <c r="K1517" s="21">
        <v>0</v>
      </c>
      <c r="L1517" s="24">
        <f t="shared" si="46"/>
        <v>0</v>
      </c>
    </row>
    <row r="1518" spans="1:12" x14ac:dyDescent="0.25">
      <c r="A1518" s="15">
        <f t="shared" si="47"/>
        <v>1513</v>
      </c>
      <c r="B1518" s="17">
        <v>175312</v>
      </c>
      <c r="C1518" s="18" t="s">
        <v>1528</v>
      </c>
      <c r="D1518" s="20">
        <v>3.47335E-2</v>
      </c>
      <c r="E1518" s="19">
        <v>0</v>
      </c>
      <c r="F1518" s="20">
        <v>3.47335E-2</v>
      </c>
      <c r="G1518" s="21">
        <v>12.6442643</v>
      </c>
      <c r="H1518" s="21">
        <v>8.139358099999999</v>
      </c>
      <c r="I1518" s="14" t="s">
        <v>1561</v>
      </c>
      <c r="J1518" s="21">
        <v>2.4594827666481187</v>
      </c>
      <c r="K1518" s="21">
        <v>8.5428146999999992</v>
      </c>
      <c r="L1518" s="24">
        <f t="shared" si="46"/>
        <v>0.67562765988686269</v>
      </c>
    </row>
    <row r="1519" spans="1:12" x14ac:dyDescent="0.25">
      <c r="A1519" s="15">
        <f t="shared" si="47"/>
        <v>1514</v>
      </c>
      <c r="B1519" s="17">
        <v>176173</v>
      </c>
      <c r="C1519" s="18" t="s">
        <v>1529</v>
      </c>
      <c r="D1519" s="20" t="s">
        <v>1556</v>
      </c>
      <c r="E1519" s="19">
        <v>0</v>
      </c>
      <c r="F1519" s="20" t="s">
        <v>1556</v>
      </c>
      <c r="G1519" s="21">
        <v>0</v>
      </c>
      <c r="H1519" s="21">
        <v>0</v>
      </c>
      <c r="I1519" s="14" t="s">
        <v>1561</v>
      </c>
      <c r="J1519" s="21">
        <v>0</v>
      </c>
      <c r="K1519" s="21">
        <v>0</v>
      </c>
      <c r="L1519" s="24">
        <f t="shared" si="46"/>
        <v>0</v>
      </c>
    </row>
    <row r="1520" spans="1:12" x14ac:dyDescent="0.25">
      <c r="A1520" s="15">
        <f t="shared" si="47"/>
        <v>1515</v>
      </c>
      <c r="B1520" s="17">
        <v>176472</v>
      </c>
      <c r="C1520" s="18" t="s">
        <v>1530</v>
      </c>
      <c r="D1520" s="20" t="s">
        <v>1556</v>
      </c>
      <c r="E1520" s="19">
        <v>0</v>
      </c>
      <c r="F1520" s="20" t="s">
        <v>1556</v>
      </c>
      <c r="G1520" s="21">
        <v>0</v>
      </c>
      <c r="H1520" s="21">
        <v>0</v>
      </c>
      <c r="I1520" s="14" t="s">
        <v>1561</v>
      </c>
      <c r="J1520" s="21">
        <v>0</v>
      </c>
      <c r="K1520" s="21">
        <v>0</v>
      </c>
      <c r="L1520" s="24">
        <f t="shared" si="46"/>
        <v>0</v>
      </c>
    </row>
    <row r="1521" spans="1:12" x14ac:dyDescent="0.25">
      <c r="A1521" s="15">
        <f t="shared" si="47"/>
        <v>1516</v>
      </c>
      <c r="B1521" s="17">
        <v>176666</v>
      </c>
      <c r="C1521" s="18" t="s">
        <v>1531</v>
      </c>
      <c r="D1521" s="20" t="s">
        <v>1556</v>
      </c>
      <c r="E1521" s="19">
        <v>0</v>
      </c>
      <c r="F1521" s="20" t="s">
        <v>1556</v>
      </c>
      <c r="G1521" s="21">
        <v>0</v>
      </c>
      <c r="H1521" s="21">
        <v>0</v>
      </c>
      <c r="I1521" s="14" t="s">
        <v>1561</v>
      </c>
      <c r="J1521" s="21">
        <v>0</v>
      </c>
      <c r="K1521" s="21">
        <v>0</v>
      </c>
      <c r="L1521" s="24">
        <f t="shared" si="46"/>
        <v>0</v>
      </c>
    </row>
    <row r="1522" spans="1:12" x14ac:dyDescent="0.25">
      <c r="A1522" s="15">
        <f t="shared" si="47"/>
        <v>1517</v>
      </c>
      <c r="B1522" s="17">
        <v>176981</v>
      </c>
      <c r="C1522" s="18" t="s">
        <v>1532</v>
      </c>
      <c r="D1522" s="20" t="s">
        <v>1556</v>
      </c>
      <c r="E1522" s="19">
        <v>0</v>
      </c>
      <c r="F1522" s="20" t="s">
        <v>1556</v>
      </c>
      <c r="G1522" s="21">
        <v>0</v>
      </c>
      <c r="H1522" s="21">
        <v>0</v>
      </c>
      <c r="I1522" s="14" t="s">
        <v>1561</v>
      </c>
      <c r="J1522" s="21">
        <v>0</v>
      </c>
      <c r="K1522" s="21">
        <v>0</v>
      </c>
      <c r="L1522" s="24">
        <f t="shared" si="46"/>
        <v>0</v>
      </c>
    </row>
    <row r="1523" spans="1:12" x14ac:dyDescent="0.25">
      <c r="A1523" s="15">
        <f t="shared" si="47"/>
        <v>1518</v>
      </c>
      <c r="B1523" s="17">
        <v>177080</v>
      </c>
      <c r="C1523" s="18" t="s">
        <v>1533</v>
      </c>
      <c r="D1523" s="20">
        <v>0.18513560000000001</v>
      </c>
      <c r="E1523" s="19">
        <v>0</v>
      </c>
      <c r="F1523" s="20">
        <v>0.18513560000000001</v>
      </c>
      <c r="G1523" s="21">
        <v>61.091747400000003</v>
      </c>
      <c r="H1523" s="21">
        <v>53.968492900000001</v>
      </c>
      <c r="I1523" s="14" t="s">
        <v>1561</v>
      </c>
      <c r="J1523" s="21">
        <v>19.649501187257155</v>
      </c>
      <c r="K1523" s="21">
        <v>54.951594800000002</v>
      </c>
      <c r="L1523" s="24">
        <f t="shared" si="46"/>
        <v>0.89949292889271648</v>
      </c>
    </row>
    <row r="1524" spans="1:12" x14ac:dyDescent="0.25">
      <c r="A1524" s="15">
        <f t="shared" si="47"/>
        <v>1519</v>
      </c>
      <c r="B1524" s="17">
        <v>179229</v>
      </c>
      <c r="C1524" s="18" t="s">
        <v>1534</v>
      </c>
      <c r="D1524" s="20">
        <v>2.3710358999999999</v>
      </c>
      <c r="E1524" s="19">
        <v>0</v>
      </c>
      <c r="F1524" s="20">
        <v>2.3710358999999999</v>
      </c>
      <c r="G1524" s="21">
        <v>382.15089549999999</v>
      </c>
      <c r="H1524" s="21">
        <v>382.15089549999999</v>
      </c>
      <c r="I1524" s="14" t="s">
        <v>1561</v>
      </c>
      <c r="J1524" s="21">
        <v>167.79513373245229</v>
      </c>
      <c r="K1524" s="21">
        <v>425.3231682</v>
      </c>
      <c r="L1524" s="24">
        <f t="shared" si="46"/>
        <v>1.1129717951949689</v>
      </c>
    </row>
    <row r="1525" spans="1:12" x14ac:dyDescent="0.25">
      <c r="A1525" s="15">
        <f t="shared" si="47"/>
        <v>1520</v>
      </c>
      <c r="B1525" s="17">
        <v>179272</v>
      </c>
      <c r="C1525" s="18" t="s">
        <v>1535</v>
      </c>
      <c r="D1525" s="20">
        <v>3.0579556000000001</v>
      </c>
      <c r="E1525" s="19">
        <v>0</v>
      </c>
      <c r="F1525" s="20">
        <v>3.0579556000000001</v>
      </c>
      <c r="G1525" s="21">
        <v>1695.1364130000002</v>
      </c>
      <c r="H1525" s="21">
        <v>911.74534770000014</v>
      </c>
      <c r="I1525" s="14" t="s">
        <v>1561</v>
      </c>
      <c r="J1525" s="21">
        <v>276.15855646682786</v>
      </c>
      <c r="K1525" s="21">
        <v>953.170613</v>
      </c>
      <c r="L1525" s="24">
        <f t="shared" si="46"/>
        <v>0.56229729105583193</v>
      </c>
    </row>
    <row r="1526" spans="1:12" x14ac:dyDescent="0.25">
      <c r="A1526" s="15">
        <f t="shared" si="47"/>
        <v>1521</v>
      </c>
      <c r="B1526" s="17">
        <v>179273</v>
      </c>
      <c r="C1526" s="18" t="s">
        <v>1536</v>
      </c>
      <c r="D1526" s="20">
        <v>5.29933E-2</v>
      </c>
      <c r="E1526" s="19">
        <v>0</v>
      </c>
      <c r="F1526" s="20">
        <v>5.29933E-2</v>
      </c>
      <c r="G1526" s="21">
        <v>17.134145400000001</v>
      </c>
      <c r="H1526" s="21">
        <v>17.009362100000001</v>
      </c>
      <c r="I1526" s="14" t="s">
        <v>1561</v>
      </c>
      <c r="J1526" s="21">
        <v>3.544400806106184</v>
      </c>
      <c r="K1526" s="21">
        <v>17.355843199999999</v>
      </c>
      <c r="L1526" s="24">
        <f t="shared" si="46"/>
        <v>1.0129389470454708</v>
      </c>
    </row>
    <row r="1527" spans="1:12" x14ac:dyDescent="0.25">
      <c r="A1527" s="15">
        <f t="shared" si="47"/>
        <v>1522</v>
      </c>
      <c r="B1527" s="17">
        <v>179774</v>
      </c>
      <c r="C1527" s="18" t="s">
        <v>1537</v>
      </c>
      <c r="D1527" s="20" t="s">
        <v>1556</v>
      </c>
      <c r="E1527" s="19">
        <v>0</v>
      </c>
      <c r="F1527" s="20" t="s">
        <v>1556</v>
      </c>
      <c r="G1527" s="21">
        <v>0</v>
      </c>
      <c r="H1527" s="21">
        <v>0</v>
      </c>
      <c r="I1527" s="14" t="s">
        <v>1561</v>
      </c>
      <c r="J1527" s="21">
        <v>0</v>
      </c>
      <c r="K1527" s="21">
        <v>0</v>
      </c>
      <c r="L1527" s="24">
        <f t="shared" si="46"/>
        <v>0</v>
      </c>
    </row>
    <row r="1528" spans="1:12" x14ac:dyDescent="0.25">
      <c r="A1528" s="15">
        <f t="shared" si="47"/>
        <v>1523</v>
      </c>
      <c r="B1528" s="17">
        <v>180193</v>
      </c>
      <c r="C1528" s="18" t="s">
        <v>1538</v>
      </c>
      <c r="D1528" s="20" t="s">
        <v>1556</v>
      </c>
      <c r="E1528" s="19">
        <v>0</v>
      </c>
      <c r="F1528" s="20" t="s">
        <v>1556</v>
      </c>
      <c r="G1528" s="21">
        <v>0</v>
      </c>
      <c r="H1528" s="21">
        <v>0</v>
      </c>
      <c r="I1528" s="14" t="s">
        <v>1561</v>
      </c>
      <c r="J1528" s="21">
        <v>0</v>
      </c>
      <c r="K1528" s="21">
        <v>0</v>
      </c>
      <c r="L1528" s="24">
        <f t="shared" si="46"/>
        <v>0</v>
      </c>
    </row>
    <row r="1529" spans="1:12" x14ac:dyDescent="0.25">
      <c r="A1529" s="15">
        <f t="shared" si="47"/>
        <v>1524</v>
      </c>
      <c r="B1529" s="17">
        <v>180325</v>
      </c>
      <c r="C1529" s="18" t="s">
        <v>1539</v>
      </c>
      <c r="D1529" s="20">
        <v>7.3246199999999997E-2</v>
      </c>
      <c r="E1529" s="19">
        <v>0</v>
      </c>
      <c r="F1529" s="20">
        <v>7.3246199999999997E-2</v>
      </c>
      <c r="G1529" s="21">
        <v>85.465726899999993</v>
      </c>
      <c r="H1529" s="21">
        <v>79.7031767</v>
      </c>
      <c r="I1529" s="14" t="s">
        <v>1561</v>
      </c>
      <c r="J1529" s="21">
        <v>12.307483655047941</v>
      </c>
      <c r="K1529" s="21">
        <v>81.859783100000001</v>
      </c>
      <c r="L1529" s="24">
        <f t="shared" si="46"/>
        <v>0.9578083059631709</v>
      </c>
    </row>
    <row r="1530" spans="1:12" x14ac:dyDescent="0.25">
      <c r="A1530" s="15">
        <f t="shared" si="47"/>
        <v>1525</v>
      </c>
      <c r="B1530" s="17">
        <v>180349</v>
      </c>
      <c r="C1530" s="18" t="s">
        <v>1540</v>
      </c>
      <c r="D1530" s="20">
        <v>3.2466399999999999E-2</v>
      </c>
      <c r="E1530" s="19">
        <v>0</v>
      </c>
      <c r="F1530" s="20">
        <v>3.2466399999999999E-2</v>
      </c>
      <c r="G1530" s="21">
        <v>105.48133619999999</v>
      </c>
      <c r="H1530" s="21">
        <v>80.873311999999999</v>
      </c>
      <c r="I1530" s="14" t="s">
        <v>1561</v>
      </c>
      <c r="J1530" s="21">
        <v>7.1405620803487455</v>
      </c>
      <c r="K1530" s="21">
        <v>83.411391800000004</v>
      </c>
      <c r="L1530" s="24">
        <f t="shared" si="46"/>
        <v>0.79076919960367376</v>
      </c>
    </row>
    <row r="1531" spans="1:12" x14ac:dyDescent="0.25">
      <c r="A1531" s="15">
        <f t="shared" si="47"/>
        <v>1526</v>
      </c>
      <c r="B1531" s="17">
        <v>181211</v>
      </c>
      <c r="C1531" s="18" t="s">
        <v>1541</v>
      </c>
      <c r="D1531" s="20">
        <v>3.2649999999999997E-4</v>
      </c>
      <c r="E1531" s="19">
        <v>0</v>
      </c>
      <c r="F1531" s="20">
        <v>3.2649999999999997E-4</v>
      </c>
      <c r="G1531" s="21">
        <v>0.499975</v>
      </c>
      <c r="H1531" s="21">
        <v>0.499975</v>
      </c>
      <c r="I1531" s="14" t="s">
        <v>1561</v>
      </c>
      <c r="J1531" s="21">
        <v>7.4630236491666654E-2</v>
      </c>
      <c r="K1531" s="21">
        <v>0.4986546</v>
      </c>
      <c r="L1531" s="24">
        <f t="shared" si="46"/>
        <v>0.99735906795339768</v>
      </c>
    </row>
    <row r="1532" spans="1:12" x14ac:dyDescent="0.25">
      <c r="A1532" s="15">
        <f t="shared" si="47"/>
        <v>1527</v>
      </c>
      <c r="B1532" s="17">
        <v>181278</v>
      </c>
      <c r="C1532" s="18" t="s">
        <v>1542</v>
      </c>
      <c r="D1532" s="20" t="s">
        <v>1556</v>
      </c>
      <c r="E1532" s="19">
        <v>0</v>
      </c>
      <c r="F1532" s="20" t="s">
        <v>1556</v>
      </c>
      <c r="G1532" s="21">
        <v>8.3295835</v>
      </c>
      <c r="H1532" s="21">
        <v>8.3295835</v>
      </c>
      <c r="I1532" s="14" t="s">
        <v>1561</v>
      </c>
      <c r="J1532" s="21">
        <v>0.18904767958333335</v>
      </c>
      <c r="K1532" s="21">
        <v>8.6719808999999994</v>
      </c>
      <c r="L1532" s="24">
        <f t="shared" si="46"/>
        <v>1.0411061849611087</v>
      </c>
    </row>
    <row r="1533" spans="1:12" x14ac:dyDescent="0.25">
      <c r="A1533" s="15">
        <f t="shared" si="47"/>
        <v>1528</v>
      </c>
      <c r="B1533" s="17">
        <v>183038</v>
      </c>
      <c r="C1533" s="18" t="s">
        <v>1543</v>
      </c>
      <c r="D1533" s="20">
        <v>3.1939200000000001E-2</v>
      </c>
      <c r="E1533" s="19">
        <v>0</v>
      </c>
      <c r="F1533" s="20">
        <v>3.1939200000000001E-2</v>
      </c>
      <c r="G1533" s="21">
        <v>45.2177395</v>
      </c>
      <c r="H1533" s="21">
        <v>45.2177395</v>
      </c>
      <c r="I1533" s="14" t="s">
        <v>1561</v>
      </c>
      <c r="J1533" s="21">
        <v>4.3664533177623657</v>
      </c>
      <c r="K1533" s="21">
        <v>47.329478499999993</v>
      </c>
      <c r="L1533" s="24">
        <f t="shared" si="46"/>
        <v>1.0467015605678385</v>
      </c>
    </row>
    <row r="1534" spans="1:12" x14ac:dyDescent="0.25">
      <c r="A1534" s="15">
        <f t="shared" si="47"/>
        <v>1529</v>
      </c>
      <c r="B1534" s="17">
        <v>184136</v>
      </c>
      <c r="C1534" s="18" t="s">
        <v>1544</v>
      </c>
      <c r="D1534" s="20">
        <v>0.21074310000000002</v>
      </c>
      <c r="E1534" s="19">
        <v>0</v>
      </c>
      <c r="F1534" s="20">
        <v>0.21074310000000002</v>
      </c>
      <c r="G1534" s="21">
        <v>120.3299282</v>
      </c>
      <c r="H1534" s="21">
        <v>89.143983200000008</v>
      </c>
      <c r="I1534" s="14" t="s">
        <v>1561</v>
      </c>
      <c r="J1534" s="21">
        <v>25.170132535675545</v>
      </c>
      <c r="K1534" s="21">
        <v>95.496531300000015</v>
      </c>
      <c r="L1534" s="24">
        <f t="shared" si="46"/>
        <v>0.79362244063900322</v>
      </c>
    </row>
    <row r="1535" spans="1:12" x14ac:dyDescent="0.25">
      <c r="A1535" s="15">
        <f t="shared" si="47"/>
        <v>1530</v>
      </c>
      <c r="B1535" s="17">
        <v>184155</v>
      </c>
      <c r="C1535" s="18" t="s">
        <v>1545</v>
      </c>
      <c r="D1535" s="20">
        <v>5.7973E-3</v>
      </c>
      <c r="E1535" s="19">
        <v>0</v>
      </c>
      <c r="F1535" s="20">
        <v>5.7973E-3</v>
      </c>
      <c r="G1535" s="21">
        <v>2.4998749999999998</v>
      </c>
      <c r="H1535" s="21">
        <v>2.4998749999999998</v>
      </c>
      <c r="I1535" s="14" t="s">
        <v>1561</v>
      </c>
      <c r="J1535" s="21">
        <v>0.66818151605107512</v>
      </c>
      <c r="K1535" s="21">
        <v>2.7968202</v>
      </c>
      <c r="L1535" s="24">
        <f t="shared" si="46"/>
        <v>1.1187840192009602</v>
      </c>
    </row>
    <row r="1536" spans="1:12" x14ac:dyDescent="0.25">
      <c r="A1536" s="15">
        <f t="shared" si="47"/>
        <v>1531</v>
      </c>
      <c r="B1536" s="17">
        <v>184294</v>
      </c>
      <c r="C1536" s="18" t="s">
        <v>1546</v>
      </c>
      <c r="D1536" s="20" t="s">
        <v>1556</v>
      </c>
      <c r="E1536" s="19">
        <v>0</v>
      </c>
      <c r="F1536" s="20" t="s">
        <v>1556</v>
      </c>
      <c r="G1536" s="21">
        <v>0</v>
      </c>
      <c r="H1536" s="21">
        <v>0</v>
      </c>
      <c r="I1536" s="14" t="s">
        <v>1561</v>
      </c>
      <c r="J1536" s="21">
        <v>0</v>
      </c>
      <c r="K1536" s="21">
        <v>0</v>
      </c>
      <c r="L1536" s="24">
        <f t="shared" si="46"/>
        <v>0</v>
      </c>
    </row>
    <row r="1537" spans="1:12" x14ac:dyDescent="0.25">
      <c r="A1537" s="15">
        <f t="shared" si="47"/>
        <v>1532</v>
      </c>
      <c r="B1537" s="17">
        <v>184633</v>
      </c>
      <c r="C1537" s="18" t="s">
        <v>1547</v>
      </c>
      <c r="D1537" s="20" t="s">
        <v>1556</v>
      </c>
      <c r="E1537" s="19">
        <v>0</v>
      </c>
      <c r="F1537" s="20" t="s">
        <v>1556</v>
      </c>
      <c r="G1537" s="21">
        <v>0</v>
      </c>
      <c r="H1537" s="21">
        <v>0</v>
      </c>
      <c r="I1537" s="14" t="s">
        <v>1561</v>
      </c>
      <c r="J1537" s="21">
        <v>0</v>
      </c>
      <c r="K1537" s="21">
        <v>0</v>
      </c>
      <c r="L1537" s="24">
        <f t="shared" si="46"/>
        <v>0</v>
      </c>
    </row>
    <row r="1538" spans="1:12" x14ac:dyDescent="0.25">
      <c r="A1538" s="15">
        <f t="shared" si="47"/>
        <v>1533</v>
      </c>
      <c r="B1538" s="17">
        <v>186386</v>
      </c>
      <c r="C1538" s="18" t="s">
        <v>1548</v>
      </c>
      <c r="D1538" s="20" t="s">
        <v>1556</v>
      </c>
      <c r="E1538" s="19">
        <v>0</v>
      </c>
      <c r="F1538" s="20" t="s">
        <v>1556</v>
      </c>
      <c r="G1538" s="21">
        <v>0</v>
      </c>
      <c r="H1538" s="21">
        <v>0</v>
      </c>
      <c r="I1538" s="14" t="s">
        <v>1561</v>
      </c>
      <c r="J1538" s="21">
        <v>0</v>
      </c>
      <c r="K1538" s="21">
        <v>0</v>
      </c>
      <c r="L1538" s="24">
        <f t="shared" si="46"/>
        <v>0</v>
      </c>
    </row>
    <row r="1539" spans="1:12" x14ac:dyDescent="0.25">
      <c r="A1539" s="15">
        <f t="shared" si="47"/>
        <v>1534</v>
      </c>
      <c r="B1539" s="17">
        <v>186911</v>
      </c>
      <c r="C1539" s="18" t="s">
        <v>1549</v>
      </c>
      <c r="D1539" s="20" t="s">
        <v>1556</v>
      </c>
      <c r="E1539" s="19">
        <v>0</v>
      </c>
      <c r="F1539" s="20" t="s">
        <v>1556</v>
      </c>
      <c r="G1539" s="21">
        <v>0</v>
      </c>
      <c r="H1539" s="21">
        <v>0</v>
      </c>
      <c r="I1539" s="14" t="s">
        <v>1561</v>
      </c>
      <c r="J1539" s="21">
        <v>0</v>
      </c>
      <c r="K1539" s="21">
        <v>0</v>
      </c>
      <c r="L1539" s="24">
        <f t="shared" si="46"/>
        <v>0</v>
      </c>
    </row>
    <row r="1540" spans="1:12" x14ac:dyDescent="0.25">
      <c r="A1540" s="15">
        <f t="shared" si="47"/>
        <v>1535</v>
      </c>
      <c r="B1540" s="17">
        <v>187441</v>
      </c>
      <c r="C1540" s="18" t="s">
        <v>1550</v>
      </c>
      <c r="D1540" s="20" t="s">
        <v>1556</v>
      </c>
      <c r="E1540" s="19">
        <v>0</v>
      </c>
      <c r="F1540" s="20" t="s">
        <v>1556</v>
      </c>
      <c r="G1540" s="21">
        <v>0</v>
      </c>
      <c r="H1540" s="21">
        <v>0</v>
      </c>
      <c r="I1540" s="14" t="s">
        <v>1561</v>
      </c>
      <c r="J1540" s="21">
        <v>0</v>
      </c>
      <c r="K1540" s="21">
        <v>0</v>
      </c>
      <c r="L1540" s="24">
        <f t="shared" si="46"/>
        <v>0</v>
      </c>
    </row>
    <row r="1541" spans="1:12" x14ac:dyDescent="0.25">
      <c r="A1541" s="15">
        <f t="shared" si="47"/>
        <v>1536</v>
      </c>
      <c r="B1541" s="17">
        <v>187821</v>
      </c>
      <c r="C1541" s="18" t="s">
        <v>1551</v>
      </c>
      <c r="D1541" s="20" t="s">
        <v>1556</v>
      </c>
      <c r="E1541" s="19">
        <v>0</v>
      </c>
      <c r="F1541" s="20" t="s">
        <v>1556</v>
      </c>
      <c r="G1541" s="21">
        <v>0</v>
      </c>
      <c r="H1541" s="21">
        <v>0</v>
      </c>
      <c r="I1541" s="14" t="s">
        <v>1561</v>
      </c>
      <c r="J1541" s="21">
        <v>0</v>
      </c>
      <c r="K1541" s="21">
        <v>0</v>
      </c>
      <c r="L1541" s="24">
        <f t="shared" si="46"/>
        <v>0</v>
      </c>
    </row>
    <row r="1542" spans="1:12" x14ac:dyDescent="0.25">
      <c r="A1542" s="15">
        <f t="shared" si="47"/>
        <v>1537</v>
      </c>
      <c r="B1542" s="17">
        <v>188281</v>
      </c>
      <c r="C1542" s="18" t="s">
        <v>1552</v>
      </c>
      <c r="D1542" s="20">
        <v>1.3935E-3</v>
      </c>
      <c r="E1542" s="19">
        <v>0</v>
      </c>
      <c r="F1542" s="20">
        <v>1.3935E-3</v>
      </c>
      <c r="G1542" s="21">
        <v>0.93995300000000004</v>
      </c>
      <c r="H1542" s="21">
        <v>0.93995300000000004</v>
      </c>
      <c r="I1542" s="14" t="s">
        <v>1561</v>
      </c>
      <c r="J1542" s="21">
        <v>0.15101703850000003</v>
      </c>
      <c r="K1542" s="21">
        <v>1.1559071999999999</v>
      </c>
      <c r="L1542" s="24">
        <f t="shared" si="46"/>
        <v>1.2297499981382047</v>
      </c>
    </row>
    <row r="1543" spans="1:12" x14ac:dyDescent="0.25">
      <c r="A1543" s="15">
        <f t="shared" si="47"/>
        <v>1538</v>
      </c>
      <c r="B1543" s="17">
        <v>189009</v>
      </c>
      <c r="C1543" s="18" t="s">
        <v>1553</v>
      </c>
      <c r="D1543" s="20" t="s">
        <v>1556</v>
      </c>
      <c r="E1543" s="19">
        <v>0</v>
      </c>
      <c r="F1543" s="20" t="s">
        <v>1556</v>
      </c>
      <c r="G1543" s="21">
        <v>0</v>
      </c>
      <c r="H1543" s="21">
        <v>0</v>
      </c>
      <c r="I1543" s="14" t="s">
        <v>1561</v>
      </c>
      <c r="J1543" s="21">
        <v>0</v>
      </c>
      <c r="K1543" s="21">
        <v>0</v>
      </c>
      <c r="L1543" s="24">
        <f t="shared" ref="L1543:L1549" si="48">+IFERROR(K1543/G1543,0)</f>
        <v>0</v>
      </c>
    </row>
    <row r="1544" spans="1:12" x14ac:dyDescent="0.25">
      <c r="A1544" s="15">
        <f t="shared" ref="A1544:A1549" si="49">A1543+1</f>
        <v>1539</v>
      </c>
      <c r="B1544" s="17">
        <v>192973</v>
      </c>
      <c r="C1544" s="18" t="s">
        <v>1554</v>
      </c>
      <c r="D1544" s="20">
        <v>2.6393140999999996</v>
      </c>
      <c r="E1544" s="19">
        <v>0</v>
      </c>
      <c r="F1544" s="20">
        <v>2.6393140999999996</v>
      </c>
      <c r="G1544" s="21">
        <v>3612.6522308999997</v>
      </c>
      <c r="H1544" s="21">
        <v>3602.7021801000001</v>
      </c>
      <c r="I1544" s="14" t="s">
        <v>1561</v>
      </c>
      <c r="J1544" s="21">
        <v>406.80443421576649</v>
      </c>
      <c r="K1544" s="21">
        <v>3763.3481024000002</v>
      </c>
      <c r="L1544" s="24">
        <f t="shared" si="48"/>
        <v>1.0417133623355876</v>
      </c>
    </row>
    <row r="1545" spans="1:12" x14ac:dyDescent="0.25">
      <c r="A1545" s="15">
        <f t="shared" si="49"/>
        <v>1540</v>
      </c>
      <c r="B1545" s="17">
        <v>193389</v>
      </c>
      <c r="C1545" s="18" t="s">
        <v>1555</v>
      </c>
      <c r="D1545" s="20" t="s">
        <v>1556</v>
      </c>
      <c r="E1545" s="19">
        <v>0</v>
      </c>
      <c r="F1545" s="20" t="s">
        <v>1556</v>
      </c>
      <c r="G1545" s="21">
        <v>0</v>
      </c>
      <c r="H1545" s="21">
        <v>0</v>
      </c>
      <c r="I1545" s="14" t="s">
        <v>1561</v>
      </c>
      <c r="J1545" s="21">
        <v>0</v>
      </c>
      <c r="K1545" s="21">
        <v>0</v>
      </c>
      <c r="L1545" s="24">
        <f t="shared" si="48"/>
        <v>0</v>
      </c>
    </row>
    <row r="1546" spans="1:12" x14ac:dyDescent="0.25">
      <c r="A1546" s="15">
        <f t="shared" si="49"/>
        <v>1541</v>
      </c>
      <c r="B1546" s="17">
        <v>199433</v>
      </c>
      <c r="C1546" s="12" t="s">
        <v>1557</v>
      </c>
      <c r="D1546" s="20" t="s">
        <v>1556</v>
      </c>
      <c r="E1546" s="19">
        <v>0</v>
      </c>
      <c r="F1546" s="20" t="s">
        <v>1556</v>
      </c>
      <c r="G1546" s="21">
        <v>1986.9846525</v>
      </c>
      <c r="H1546" s="21">
        <v>1597.2938011000001</v>
      </c>
      <c r="I1546" s="14" t="s">
        <v>1561</v>
      </c>
      <c r="J1546" s="21">
        <v>80.206479961208373</v>
      </c>
      <c r="K1546" s="21">
        <v>1925.6705087</v>
      </c>
      <c r="L1546" s="24">
        <f t="shared" si="48"/>
        <v>0.96914211505214432</v>
      </c>
    </row>
    <row r="1547" spans="1:12" x14ac:dyDescent="0.25">
      <c r="A1547" s="15">
        <f t="shared" si="49"/>
        <v>1542</v>
      </c>
      <c r="B1547" s="17" t="s">
        <v>153</v>
      </c>
      <c r="C1547" s="12" t="s">
        <v>1558</v>
      </c>
      <c r="D1547" s="20" t="s">
        <v>1556</v>
      </c>
      <c r="E1547" s="19">
        <v>0</v>
      </c>
      <c r="F1547" s="20" t="s">
        <v>1556</v>
      </c>
      <c r="G1547" s="21">
        <v>65.846708200000009</v>
      </c>
      <c r="H1547" s="21">
        <v>47.870983299999999</v>
      </c>
      <c r="I1547" s="14" t="s">
        <v>1561</v>
      </c>
      <c r="J1547" s="21">
        <v>22.787867153298116</v>
      </c>
      <c r="K1547" s="21">
        <v>55.339652199999996</v>
      </c>
      <c r="L1547" s="24">
        <f t="shared" si="48"/>
        <v>0.84043156769376648</v>
      </c>
    </row>
    <row r="1548" spans="1:12" x14ac:dyDescent="0.25">
      <c r="A1548" s="15">
        <f t="shared" si="49"/>
        <v>1543</v>
      </c>
      <c r="B1548" s="17" t="s">
        <v>979</v>
      </c>
      <c r="C1548" s="12" t="s">
        <v>1559</v>
      </c>
      <c r="D1548" s="20" t="s">
        <v>1556</v>
      </c>
      <c r="E1548" s="19">
        <v>0</v>
      </c>
      <c r="F1548" s="20" t="s">
        <v>1556</v>
      </c>
      <c r="G1548" s="21">
        <v>3.499825</v>
      </c>
      <c r="H1548" s="21">
        <v>3.499825</v>
      </c>
      <c r="I1548" s="14" t="s">
        <v>1561</v>
      </c>
      <c r="J1548" s="21">
        <v>3.8122050541666661E-2</v>
      </c>
      <c r="K1548" s="21">
        <v>3.5774397999999996</v>
      </c>
      <c r="L1548" s="24">
        <f t="shared" si="48"/>
        <v>1.022176765981156</v>
      </c>
    </row>
    <row r="1549" spans="1:12" x14ac:dyDescent="0.25">
      <c r="A1549" s="15">
        <f t="shared" si="49"/>
        <v>1544</v>
      </c>
      <c r="B1549" s="17" t="s">
        <v>430</v>
      </c>
      <c r="C1549" s="12" t="s">
        <v>1560</v>
      </c>
      <c r="D1549" s="20" t="s">
        <v>1556</v>
      </c>
      <c r="E1549" s="19">
        <v>0</v>
      </c>
      <c r="F1549" s="20" t="s">
        <v>1556</v>
      </c>
      <c r="G1549" s="21">
        <v>0</v>
      </c>
      <c r="H1549" s="21">
        <v>0</v>
      </c>
      <c r="I1549" s="14" t="s">
        <v>1561</v>
      </c>
      <c r="J1549" s="21">
        <v>0</v>
      </c>
      <c r="K1549" s="21">
        <v>0</v>
      </c>
      <c r="L1549" s="24">
        <f t="shared" si="48"/>
        <v>0</v>
      </c>
    </row>
    <row r="1550" spans="1:12" x14ac:dyDescent="0.25">
      <c r="A1550" s="14"/>
      <c r="B1550" s="14"/>
      <c r="C1550" s="22" t="s">
        <v>1563</v>
      </c>
      <c r="D1550" s="23">
        <f>SUM(D6:D1549)</f>
        <v>1753.8304611000024</v>
      </c>
      <c r="E1550" s="12"/>
      <c r="F1550" s="23">
        <f>SUM(F6:F1549)</f>
        <v>1753.8304611000024</v>
      </c>
      <c r="G1550" s="23">
        <f>SUM(G6:G1549)</f>
        <v>248782.99557629987</v>
      </c>
      <c r="H1550" s="23">
        <f>SUM(H6:H1549)</f>
        <v>191210.18804039989</v>
      </c>
      <c r="I1550" s="12"/>
      <c r="J1550" s="23">
        <f>SUM(J6:J1549)</f>
        <v>126884.32790517148</v>
      </c>
      <c r="K1550" s="23">
        <f>SUM(K6:K1549)</f>
        <v>244814.65876670007</v>
      </c>
      <c r="L1550" s="12"/>
    </row>
  </sheetData>
  <sortState ref="B5:I5">
    <sortCondition ref="B5"/>
  </sortState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Drishti Shah</cp:lastModifiedBy>
  <cp:lastPrinted>2015-05-15T10:08:35Z</cp:lastPrinted>
  <dcterms:created xsi:type="dcterms:W3CDTF">2015-05-15T09:36:07Z</dcterms:created>
  <dcterms:modified xsi:type="dcterms:W3CDTF">2023-07-14T12:23:53Z</dcterms:modified>
</cp:coreProperties>
</file>