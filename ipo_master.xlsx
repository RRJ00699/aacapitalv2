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cb0e45ed5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O_Data_Collection" sheetId="1" r:id="Rf21ab23e519b4f4c"/>
    <x:sheet xmlns:r="http://schemas.openxmlformats.org/officeDocument/2006/relationships" name="Instructions" sheetId="2" r:id="R7665dfa2e91942b6"/>
    <x:sheet xmlns:r="http://schemas.openxmlformats.org/officeDocument/2006/relationships" name="Source_Map" sheetId="3" r:id="R3973ec809f6f4b9f"/>
    <x:sheet xmlns:r="http://schemas.openxmlformats.org/officeDocument/2006/relationships" name="AACapital_Scoring_Input" sheetId="4" r:id="R6c2b6d195e6e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11827"/>
      </x:patternFill>
    </x:fill>
    <x:fill>
      <x:patternFill patternType="solid">
        <x:fgColor rgb="FF1D4ED8"/>
      </x:patternFill>
    </x:fill>
    <x:fill>
      <x:patternFill patternType="solid">
        <x:fgColor rgb="FF065F4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aab64b5eb4482" /><Relationship Type="http://schemas.openxmlformats.org/officeDocument/2006/relationships/theme" Target="/xl/theme/theme1.xml" Id="R26c91f80e4644921" /><Relationship Type="http://schemas.openxmlformats.org/officeDocument/2006/relationships/sharedStrings" Target="/xl/sharedStrings.xml" Id="R43999160859141df" /><Relationship Type="http://schemas.openxmlformats.org/officeDocument/2006/relationships/worksheet" Target="/xl/worksheets/sheet1.xml" Id="Rf21ab23e519b4f4c" /><Relationship Type="http://schemas.openxmlformats.org/officeDocument/2006/relationships/worksheet" Target="/xl/worksheets/sheet2.xml" Id="R7665dfa2e91942b6" /><Relationship Type="http://schemas.openxmlformats.org/officeDocument/2006/relationships/worksheet" Target="/xl/worksheets/sheet3.xml" Id="R3973ec809f6f4b9f" /><Relationship Type="http://schemas.openxmlformats.org/officeDocument/2006/relationships/worksheet" Target="/xl/worksheets/sheet4.xml" Id="R6c2b6d195e6e466d" /></Relationships>
</file>

<file path=xl/tables/table1.xml><?xml version="1.0" encoding="utf-8"?>
<x:table xmlns:x="http://schemas.openxmlformats.org/spreadsheetml/2006/main" id="1" name="IPODataCollectionTable" displayName="IPODataCollectionTable" ref="A1:AC305" headerRowCount="1">
  <x:tableColumns count="29">
    <x:tableColumn id="1" name="id"/>
    <x:tableColumn id="2" name="ipo_name"/>
    <x:tableColumn id="3" name="status"/>
    <x:tableColumn id="4" name="qib_x"/>
    <x:tableColumn id="5" name="nii_x"/>
    <x:tableColumn id="6" name="retail_x"/>
    <x:tableColumn id="7" name="total_x"/>
    <x:tableColumn id="8" name="gmp_t1"/>
    <x:tableColumn id="9" name="issue_price"/>
    <x:tableColumn id="10" name="gmp_pct_of_issue"/>
    <x:tableColumn id="11" name="gmp_direction"/>
    <x:tableColumn id="12" name="gmp_min"/>
    <x:tableColumn id="13" name="gmp_max"/>
    <x:tableColumn id="14" name="fresh_issue_amt_cr"/>
    <x:tableColumn id="15" name="ofs_amt_cr"/>
    <x:tableColumn id="16" name="total_issue_amt_cr"/>
    <x:tableColumn id="17" name="ofs_pct"/>
    <x:tableColumn id="18" name="brlm_names"/>
    <x:tableColumn id="19" name="anchor_quality"/>
    <x:tableColumn id="20" name="ipo_pe"/>
    <x:tableColumn id="21" name="peer_median_pe"/>
    <x:tableColumn id="22" name="valuation_gap_pct"/>
    <x:tableColumn id="23" name="source_subscription"/>
    <x:tableColumn id="24" name="source_gmp"/>
    <x:tableColumn id="25" name="source_ofs"/>
    <x:tableColumn id="26" name="source_brlm_pe"/>
    <x:tableColumn id="27" name="confidence"/>
    <x:tableColumn id="28" name="notes"/>
    <x:tableColumn id="29" name="last_updated"/>
  </x:tableColumns>
  <x:tableStyleInfo name="TableStyleMedium2" showRowStripes="1"/>
</x:table>
</file>

<file path=xl/tables/table2.xml><?xml version="1.0" encoding="utf-8"?>
<x:table xmlns:x="http://schemas.openxmlformats.org/spreadsheetml/2006/main" id="2" name="SourceMapTable" displayName="SourceMapTable" ref="A1:D12" headerRowCount="1">
  <x:tableColumns count="4">
    <x:tableColumn id="1" name="field"/>
    <x:tableColumn id="2" name="primary_source"/>
    <x:tableColumn id="3" name="fallback_source"/>
    <x:tableColumn id="4" name="validation_notes"/>
  </x:tableColumns>
  <x:tableStyleInfo name="TableStyleMedium2" showRowStripes="1"/>
</x:table>
</file>

<file path=xl/tables/table3.xml><?xml version="1.0" encoding="utf-8"?>
<x:table xmlns:x="http://schemas.openxmlformats.org/spreadsheetml/2006/main" id="3" name="AACapitalScoringInputTable" displayName="AACapitalScoringInputTable" ref="A1:M305" headerRowCount="1">
  <x:tableColumns count="13">
    <x:tableColumn id="1" name="ipo_name"/>
    <x:tableColumn id="2" name="qib_x"/>
    <x:tableColumn id="3" name="nii_x"/>
    <x:tableColumn id="4" name="retail_x"/>
    <x:tableColumn id="5" name="total_x"/>
    <x:tableColumn id="6" name="qib_retail_ratio"/>
    <x:tableColumn id="7" name="gmp_pct_of_issue"/>
    <x:tableColumn id="8" name="gmp_direction"/>
    <x:tableColumn id="9" name="ofs_pct"/>
    <x:tableColumn id="10" name="anchor_quality"/>
    <x:tableColumn id="11" name="ipo_pe"/>
    <x:tableColumn id="12" name="peer_median_pe"/>
    <x:tableColumn id="13" name="score_read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50735182d043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c218e7d19143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9e970bb8224fab" /></Relationships>
</file>

<file path=xl/worksheets/sheet1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28" hidden="0" customWidth="1"/>
    <x:col min="3" max="3" width="14" hidden="0" customWidth="1"/>
    <x:col min="4" max="4" width="4.75" hidden="0" customWidth="1"/>
    <x:col min="5" max="5" width="4.25" hidden="0" customWidth="1"/>
    <x:col min="6" max="6" width="6.25" hidden="0" customWidth="1"/>
    <x:col min="7" max="7" width="5.880000114440918" hidden="0" customWidth="1"/>
    <x:col min="8" max="8" width="6.380000114440918" hidden="0" customWidth="1"/>
    <x:col min="9" max="9" width="9.130000114440918" hidden="0" customWidth="1"/>
    <x:col min="10" max="10" width="14.380000114440918" hidden="0" customWidth="1"/>
    <x:col min="11" max="11" width="11.630000114440918" hidden="0" customWidth="1"/>
    <x:col min="12" max="12" width="7.75" hidden="0" customWidth="1"/>
    <x:col min="13" max="13" width="8" hidden="0" customWidth="1"/>
    <x:col min="14" max="14" width="15.380000114440918" hidden="0" customWidth="1"/>
    <x:col min="15" max="15" width="9.130000114440918" hidden="0" customWidth="1"/>
    <x:col min="16" max="16" width="15.130000114440918" hidden="0" customWidth="1"/>
    <x:col min="17" max="17" width="6.130000114440918" hidden="0" customWidth="1"/>
    <x:col min="18" max="18" width="36" hidden="0" customWidth="1"/>
    <x:col min="19" max="19" width="18" hidden="0" customWidth="1"/>
    <x:col min="20" max="20" width="5.75" hidden="0" customWidth="1"/>
    <x:col min="21" max="21" width="13.5" hidden="0" customWidth="1"/>
    <x:col min="22" max="22" width="14.630000114440918" hidden="0" customWidth="1"/>
    <x:col min="23" max="23" width="35" hidden="0" customWidth="1"/>
    <x:col min="24" max="24" width="35" hidden="0" customWidth="1"/>
    <x:col min="25" max="25" width="35" hidden="0" customWidth="1"/>
    <x:col min="26" max="26" width="35" hidden="0" customWidth="1"/>
    <x:col min="27" max="27" width="8.880000114440918" hidden="0" customWidth="1"/>
    <x:col min="28" max="28" width="40" hidden="0" customWidth="1"/>
    <x:col min="29" max="29" width="10.5" hidden="0" customWidth="1"/>
  </x:cols>
  <x:sheetData>
    <x:row r="1">
      <x:c r="A1" s="6" t="str">
        <x:v>id</x:v>
      </x:c>
      <x:c r="B1" s="6" t="str">
        <x:v>ipo_name</x:v>
      </x:c>
      <x:c r="C1" s="6" t="str">
        <x:v>status</x:v>
      </x:c>
      <x:c r="D1" s="6" t="str">
        <x:v>qib_x</x:v>
      </x:c>
      <x:c r="E1" s="6" t="str">
        <x:v>nii_x</x:v>
      </x:c>
      <x:c r="F1" s="6" t="str">
        <x:v>retail_x</x:v>
      </x:c>
      <x:c r="G1" s="6" t="str">
        <x:v>total_x</x:v>
      </x:c>
      <x:c r="H1" s="6" t="str">
        <x:v>gmp_t1</x:v>
      </x:c>
      <x:c r="I1" s="6" t="str">
        <x:v>issue_price</x:v>
      </x:c>
      <x:c r="J1" s="6" t="str">
        <x:v>gmp_pct_of_issue</x:v>
      </x:c>
      <x:c r="K1" s="6" t="str">
        <x:v>gmp_direction</x:v>
      </x:c>
      <x:c r="L1" s="6" t="str">
        <x:v>gmp_min</x:v>
      </x:c>
      <x:c r="M1" s="6" t="str">
        <x:v>gmp_max</x:v>
      </x:c>
      <x:c r="N1" s="6" t="str">
        <x:v>fresh_issue_amt_cr</x:v>
      </x:c>
      <x:c r="O1" s="6" t="str">
        <x:v>ofs_amt_cr</x:v>
      </x:c>
      <x:c r="P1" s="6" t="str">
        <x:v>total_issue_amt_cr</x:v>
      </x:c>
      <x:c r="Q1" s="6" t="str">
        <x:v>ofs_pct</x:v>
      </x:c>
      <x:c r="R1" s="6" t="str">
        <x:v>brlm_names</x:v>
      </x:c>
      <x:c r="S1" s="6" t="str">
        <x:v>anchor_quality</x:v>
      </x:c>
      <x:c r="T1" s="6" t="str">
        <x:v>ipo_pe</x:v>
      </x:c>
      <x:c r="U1" s="6" t="str">
        <x:v>peer_median_pe</x:v>
      </x:c>
      <x:c r="V1" s="6" t="str">
        <x:v>valuation_gap_pct</x:v>
      </x:c>
      <x:c r="W1" s="6" t="str">
        <x:v>source_subscription</x:v>
      </x:c>
      <x:c r="X1" s="6" t="str">
        <x:v>source_gmp</x:v>
      </x:c>
      <x:c r="Y1" s="6" t="str">
        <x:v>source_ofs</x:v>
      </x:c>
      <x:c r="Z1" s="6" t="str">
        <x:v>source_brlm_pe</x:v>
      </x:c>
      <x:c r="AA1" s="6" t="str">
        <x:v>confidence</x:v>
      </x:c>
      <x:c r="AB1" s="6" t="str">
        <x:v>notes</x:v>
      </x:c>
      <x:c r="AC1" s="6" t="str">
        <x:v>last_updated</x:v>
      </x:c>
    </x:row>
    <x:row r="2">
      <x:c r="A2" t="n">
        <x:v>1</x:v>
      </x:c>
      <x:c r="B2" t="str">
        <x:v>AGS Transact</x:v>
      </x:c>
      <x:c r="C2" t="str">
        <x:v>Not Started</x:v>
      </x:c>
      <x:c r="D2" s="12"/>
      <x:c r="E2" s="12"/>
      <x:c r="F2" s="12"/>
      <x:c r="G2" s="12"/>
      <x:c r="H2" s="12"/>
      <x:c r="I2" s="12"/>
      <x:c r="J2" s="14" t="str">
        <x:f>IFERROR(H2/I2,"")</x:f>
      </x:c>
      <x:c r="K2"/>
      <x:c r="L2"/>
      <x:c r="M2"/>
      <x:c r="N2"/>
      <x:c r="O2"/>
      <x:c r="P2"/>
      <x:c r="Q2" t="str">
        <x:f>IFERROR(O2/P2,"")</x:f>
      </x:c>
      <x:c r="R2"/>
      <x:c r="S2"/>
      <x:c r="T2"/>
      <x:c r="U2"/>
      <x:c r="V2" t="str">
        <x:f>IFERROR((T2-U2)/U2,"")</x:f>
      </x:c>
      <x:c r="W2"/>
      <x:c r="X2"/>
      <x:c r="Y2"/>
      <x:c r="Z2"/>
      <x:c r="AA2" t="str"/>
      <x:c r="AB2" t="str"/>
      <x:c r="AC2" t="str">
        <x:v>2026-06-15</x:v>
      </x:c>
    </x:row>
    <x:row r="3">
      <x:c r="A3" t="n">
        <x:v>2</x:v>
      </x:c>
      <x:c r="B3" t="str">
        <x:v>Abans Holdings</x:v>
      </x:c>
      <x:c r="C3" t="str">
        <x:v>Not Started</x:v>
      </x:c>
      <x:c r="D3" s="12"/>
      <x:c r="E3" s="12"/>
      <x:c r="F3" s="12"/>
      <x:c r="G3" s="12"/>
      <x:c r="H3" s="12"/>
      <x:c r="I3" s="12"/>
      <x:c r="J3" s="14" t="str">
        <x:f>IFERROR(H3/I3,"")</x:f>
      </x:c>
      <x:c r="K3"/>
      <x:c r="L3"/>
      <x:c r="M3"/>
      <x:c r="N3"/>
      <x:c r="O3"/>
      <x:c r="P3"/>
      <x:c r="Q3" t="str">
        <x:f>IFERROR(O3/P3,"")</x:f>
      </x:c>
      <x:c r="R3"/>
      <x:c r="S3"/>
      <x:c r="T3"/>
      <x:c r="U3"/>
      <x:c r="V3" t="str">
        <x:f>IFERROR((T3-U3)/U3,"")</x:f>
      </x:c>
      <x:c r="W3"/>
      <x:c r="X3"/>
      <x:c r="Y3"/>
      <x:c r="Z3"/>
      <x:c r="AA3" t="str"/>
      <x:c r="AB3" t="str"/>
      <x:c r="AC3" t="str">
        <x:v>2026-06-15</x:v>
      </x:c>
    </x:row>
    <x:row r="4">
      <x:c r="A4" t="n">
        <x:v>3</x:v>
      </x:c>
      <x:c r="B4" t="str">
        <x:v>Adani Wilmar</x:v>
      </x:c>
      <x:c r="C4" t="str">
        <x:v>Not Started</x:v>
      </x:c>
      <x:c r="D4" s="12"/>
      <x:c r="E4" s="12"/>
      <x:c r="F4" s="12"/>
      <x:c r="G4" s="12"/>
      <x:c r="H4" s="12"/>
      <x:c r="I4" s="12"/>
      <x:c r="J4" s="14" t="str">
        <x:f>IFERROR(H4/I4,"")</x:f>
      </x:c>
      <x:c r="K4"/>
      <x:c r="L4"/>
      <x:c r="M4"/>
      <x:c r="N4"/>
      <x:c r="O4"/>
      <x:c r="P4"/>
      <x:c r="Q4" t="str">
        <x:f>IFERROR(O4/P4,"")</x:f>
      </x:c>
      <x:c r="R4"/>
      <x:c r="S4"/>
      <x:c r="T4"/>
      <x:c r="U4"/>
      <x:c r="V4" t="str">
        <x:f>IFERROR((T4-U4)/U4,"")</x:f>
      </x:c>
      <x:c r="W4"/>
      <x:c r="X4"/>
      <x:c r="Y4"/>
      <x:c r="Z4"/>
      <x:c r="AA4" t="str"/>
      <x:c r="AB4" t="str"/>
      <x:c r="AC4" t="str">
        <x:v>2026-06-15</x:v>
      </x:c>
    </x:row>
    <x:row r="5">
      <x:c r="A5" t="n">
        <x:v>4</x:v>
      </x:c>
      <x:c r="B5" t="str">
        <x:v>Aditya Birla AMC</x:v>
      </x:c>
      <x:c r="C5" t="str">
        <x:v>Not Started</x:v>
      </x:c>
      <x:c r="D5" s="12"/>
      <x:c r="E5" s="12"/>
      <x:c r="F5" s="12"/>
      <x:c r="G5" s="12"/>
      <x:c r="H5" s="12"/>
      <x:c r="I5" s="12"/>
      <x:c r="J5" s="14" t="str">
        <x:f>IFERROR(H5/I5,"")</x:f>
      </x:c>
      <x:c r="K5"/>
      <x:c r="L5"/>
      <x:c r="M5"/>
      <x:c r="N5"/>
      <x:c r="O5"/>
      <x:c r="P5"/>
      <x:c r="Q5" t="str">
        <x:f>IFERROR(O5/P5,"")</x:f>
      </x:c>
      <x:c r="R5"/>
      <x:c r="S5"/>
      <x:c r="T5"/>
      <x:c r="U5"/>
      <x:c r="V5" t="str">
        <x:f>IFERROR((T5-U5)/U5,"")</x:f>
      </x:c>
      <x:c r="W5"/>
      <x:c r="X5"/>
      <x:c r="Y5"/>
      <x:c r="Z5"/>
      <x:c r="AA5" t="str"/>
      <x:c r="AB5" t="str"/>
      <x:c r="AC5" t="str">
        <x:v>2026-06-15</x:v>
      </x:c>
    </x:row>
    <x:row r="6">
      <x:c r="A6" t="n">
        <x:v>5</x:v>
      </x:c>
      <x:c r="B6" t="str">
        <x:v>Aditya Infotech Ltd</x:v>
      </x:c>
      <x:c r="C6" t="str">
        <x:v>Not Started</x:v>
      </x:c>
      <x:c r="D6" s="12"/>
      <x:c r="E6" s="12"/>
      <x:c r="F6" s="12"/>
      <x:c r="G6" s="12"/>
      <x:c r="H6" s="12"/>
      <x:c r="I6" s="12"/>
      <x:c r="J6" s="14" t="str">
        <x:f>IFERROR(H6/I6,"")</x:f>
      </x:c>
      <x:c r="K6"/>
      <x:c r="L6"/>
      <x:c r="M6"/>
      <x:c r="N6"/>
      <x:c r="O6"/>
      <x:c r="P6"/>
      <x:c r="Q6" t="str">
        <x:f>IFERROR(O6/P6,"")</x:f>
      </x:c>
      <x:c r="R6"/>
      <x:c r="S6"/>
      <x:c r="T6"/>
      <x:c r="U6"/>
      <x:c r="V6" t="str">
        <x:f>IFERROR((T6-U6)/U6,"")</x:f>
      </x:c>
      <x:c r="W6"/>
      <x:c r="X6"/>
      <x:c r="Y6"/>
      <x:c r="Z6"/>
      <x:c r="AA6" t="str"/>
      <x:c r="AB6" t="str"/>
      <x:c r="AC6" t="str">
        <x:v>2026-06-15</x:v>
      </x:c>
    </x:row>
    <x:row r="7">
      <x:c r="A7" t="n">
        <x:v>6</x:v>
      </x:c>
      <x:c r="B7" t="str">
        <x:v>Advance Agrolife Ltd</x:v>
      </x:c>
      <x:c r="C7" t="str">
        <x:v>Not Started</x:v>
      </x:c>
      <x:c r="D7" s="12"/>
      <x:c r="E7" s="12"/>
      <x:c r="F7" s="12"/>
      <x:c r="G7" s="12"/>
      <x:c r="H7" s="12"/>
      <x:c r="I7" s="12"/>
      <x:c r="J7" s="14" t="str">
        <x:f>IFERROR(H7/I7,"")</x:f>
      </x:c>
      <x:c r="K7"/>
      <x:c r="L7"/>
      <x:c r="M7"/>
      <x:c r="N7"/>
      <x:c r="O7"/>
      <x:c r="P7"/>
      <x:c r="Q7" t="str">
        <x:f>IFERROR(O7/P7,"")</x:f>
      </x:c>
      <x:c r="R7"/>
      <x:c r="S7"/>
      <x:c r="T7"/>
      <x:c r="U7"/>
      <x:c r="V7" t="str">
        <x:f>IFERROR((T7-U7)/U7,"")</x:f>
      </x:c>
      <x:c r="W7"/>
      <x:c r="X7"/>
      <x:c r="Y7"/>
      <x:c r="Z7"/>
      <x:c r="AA7" t="str"/>
      <x:c r="AB7" t="str"/>
      <x:c r="AC7" t="str">
        <x:v>2026-06-15</x:v>
      </x:c>
    </x:row>
    <x:row r="8">
      <x:c r="A8" t="n">
        <x:v>7</x:v>
      </x:c>
      <x:c r="B8" t="str">
        <x:v>Aegis Vopak Terminals Limited</x:v>
      </x:c>
      <x:c r="C8" t="str">
        <x:v>Not Started</x:v>
      </x:c>
      <x:c r="D8" s="12"/>
      <x:c r="E8" s="12"/>
      <x:c r="F8" s="12"/>
      <x:c r="G8" s="12"/>
      <x:c r="H8" s="12"/>
      <x:c r="I8" s="12"/>
      <x:c r="J8" s="14" t="str">
        <x:f>IFERROR(H8/I8,"")</x:f>
      </x:c>
      <x:c r="K8"/>
      <x:c r="L8"/>
      <x:c r="M8"/>
      <x:c r="N8"/>
      <x:c r="O8"/>
      <x:c r="P8"/>
      <x:c r="Q8" t="str">
        <x:f>IFERROR(O8/P8,"")</x:f>
      </x:c>
      <x:c r="R8"/>
      <x:c r="S8"/>
      <x:c r="T8"/>
      <x:c r="U8"/>
      <x:c r="V8" t="str">
        <x:f>IFERROR((T8-U8)/U8,"")</x:f>
      </x:c>
      <x:c r="W8"/>
      <x:c r="X8"/>
      <x:c r="Y8"/>
      <x:c r="Z8"/>
      <x:c r="AA8" t="str"/>
      <x:c r="AB8" t="str"/>
      <x:c r="AC8" t="str">
        <x:v>2026-06-15</x:v>
      </x:c>
    </x:row>
    <x:row r="9">
      <x:c r="A9" t="n">
        <x:v>8</x:v>
      </x:c>
      <x:c r="B9" t="str">
        <x:v>Aequs Ltd</x:v>
      </x:c>
      <x:c r="C9" t="str">
        <x:v>Not Started</x:v>
      </x:c>
      <x:c r="D9" s="12"/>
      <x:c r="E9" s="12"/>
      <x:c r="F9" s="12"/>
      <x:c r="G9" s="12"/>
      <x:c r="H9" s="12"/>
      <x:c r="I9" s="12"/>
      <x:c r="J9" s="14" t="str">
        <x:f>IFERROR(H9/I9,"")</x:f>
      </x:c>
      <x:c r="K9"/>
      <x:c r="L9"/>
      <x:c r="M9"/>
      <x:c r="N9"/>
      <x:c r="O9"/>
      <x:c r="P9"/>
      <x:c r="Q9" t="str">
        <x:f>IFERROR(O9/P9,"")</x:f>
      </x:c>
      <x:c r="R9"/>
      <x:c r="S9"/>
      <x:c r="T9"/>
      <x:c r="U9"/>
      <x:c r="V9" t="str">
        <x:f>IFERROR((T9-U9)/U9,"")</x:f>
      </x:c>
      <x:c r="W9"/>
      <x:c r="X9"/>
      <x:c r="Y9"/>
      <x:c r="Z9"/>
      <x:c r="AA9" t="str"/>
      <x:c r="AB9" t="str"/>
      <x:c r="AC9" t="str">
        <x:v>2026-06-15</x:v>
      </x:c>
    </x:row>
    <x:row r="10">
      <x:c r="A10" t="n">
        <x:v>9</x:v>
      </x:c>
      <x:c r="B10" t="str">
        <x:v>Aeroflex Industries</x:v>
      </x:c>
      <x:c r="C10" t="str">
        <x:v>Not Started</x:v>
      </x:c>
      <x:c r="D10" s="12"/>
      <x:c r="E10" s="12"/>
      <x:c r="F10" s="12"/>
      <x:c r="G10" s="12"/>
      <x:c r="H10" s="12"/>
      <x:c r="I10" s="12"/>
      <x:c r="J10" s="14" t="str">
        <x:f>IFERROR(H10/I10,"")</x:f>
      </x:c>
      <x:c r="K10"/>
      <x:c r="L10"/>
      <x:c r="M10"/>
      <x:c r="N10"/>
      <x:c r="O10"/>
      <x:c r="P10"/>
      <x:c r="Q10" t="str">
        <x:f>IFERROR(O10/P10,"")</x:f>
      </x:c>
      <x:c r="R10"/>
      <x:c r="S10"/>
      <x:c r="T10"/>
      <x:c r="U10"/>
      <x:c r="V10" t="str">
        <x:f>IFERROR((T10-U10)/U10,"")</x:f>
      </x:c>
      <x:c r="W10"/>
      <x:c r="X10"/>
      <x:c r="Y10"/>
      <x:c r="Z10"/>
      <x:c r="AA10" t="str"/>
      <x:c r="AB10" t="str"/>
      <x:c r="AC10" t="str">
        <x:v>2026-06-15</x:v>
      </x:c>
    </x:row>
    <x:row r="11">
      <x:c r="A11" t="n">
        <x:v>10</x:v>
      </x:c>
      <x:c r="B11" t="str">
        <x:v>Aether Industries</x:v>
      </x:c>
      <x:c r="C11" t="str">
        <x:v>Not Started</x:v>
      </x:c>
      <x:c r="D11" s="12"/>
      <x:c r="E11" s="12"/>
      <x:c r="F11" s="12"/>
      <x:c r="G11" s="12"/>
      <x:c r="H11" s="12"/>
      <x:c r="I11" s="12"/>
      <x:c r="J11" s="14" t="str">
        <x:f>IFERROR(H11/I11,"")</x:f>
      </x:c>
      <x:c r="K11"/>
      <x:c r="L11"/>
      <x:c r="M11"/>
      <x:c r="N11"/>
      <x:c r="O11"/>
      <x:c r="P11"/>
      <x:c r="Q11" t="str">
        <x:f>IFERROR(O11/P11,"")</x:f>
      </x:c>
      <x:c r="R11"/>
      <x:c r="S11"/>
      <x:c r="T11"/>
      <x:c r="U11"/>
      <x:c r="V11" t="str">
        <x:f>IFERROR((T11-U11)/U11,"")</x:f>
      </x:c>
      <x:c r="W11"/>
      <x:c r="X11"/>
      <x:c r="Y11"/>
      <x:c r="Z11"/>
      <x:c r="AA11" t="str"/>
      <x:c r="AB11" t="str"/>
      <x:c r="AC11" t="str">
        <x:v>2026-06-15</x:v>
      </x:c>
    </x:row>
    <x:row r="12">
      <x:c r="A12" t="n">
        <x:v>11</x:v>
      </x:c>
      <x:c r="B12" t="str">
        <x:v>All Time Plastics Ltd</x:v>
      </x:c>
      <x:c r="C12" t="str">
        <x:v>Not Started</x:v>
      </x:c>
      <x:c r="D12" s="12"/>
      <x:c r="E12" s="12"/>
      <x:c r="F12" s="12"/>
      <x:c r="G12" s="12"/>
      <x:c r="H12" s="12"/>
      <x:c r="I12" s="12"/>
      <x:c r="J12" s="14" t="str">
        <x:f>IFERROR(H12/I12,"")</x:f>
      </x:c>
      <x:c r="K12"/>
      <x:c r="L12"/>
      <x:c r="M12"/>
      <x:c r="N12"/>
      <x:c r="O12"/>
      <x:c r="P12"/>
      <x:c r="Q12" t="str">
        <x:f>IFERROR(O12/P12,"")</x:f>
      </x:c>
      <x:c r="R12"/>
      <x:c r="S12"/>
      <x:c r="T12"/>
      <x:c r="U12"/>
      <x:c r="V12" t="str">
        <x:f>IFERROR((T12-U12)/U12,"")</x:f>
      </x:c>
      <x:c r="W12"/>
      <x:c r="X12"/>
      <x:c r="Y12"/>
      <x:c r="Z12"/>
      <x:c r="AA12" t="str"/>
      <x:c r="AB12" t="str"/>
      <x:c r="AC12" t="str">
        <x:v>2026-06-15</x:v>
      </x:c>
    </x:row>
    <x:row r="13">
      <x:c r="A13" t="n">
        <x:v>12</x:v>
      </x:c>
      <x:c r="B13" t="str">
        <x:v>Amagi Media Labs Ltd</x:v>
      </x:c>
      <x:c r="C13" t="str">
        <x:v>Not Started</x:v>
      </x:c>
      <x:c r="D13" s="12"/>
      <x:c r="E13" s="12"/>
      <x:c r="F13" s="12"/>
      <x:c r="G13" s="12"/>
      <x:c r="H13" s="12"/>
      <x:c r="I13" s="12"/>
      <x:c r="J13" s="14" t="str">
        <x:f>IFERROR(H13/I13,"")</x:f>
      </x:c>
      <x:c r="K13"/>
      <x:c r="L13"/>
      <x:c r="M13"/>
      <x:c r="N13"/>
      <x:c r="O13"/>
      <x:c r="P13"/>
      <x:c r="Q13" t="str">
        <x:f>IFERROR(O13/P13,"")</x:f>
      </x:c>
      <x:c r="R13"/>
      <x:c r="S13"/>
      <x:c r="T13"/>
      <x:c r="U13"/>
      <x:c r="V13" t="str">
        <x:f>IFERROR((T13-U13)/U13,"")</x:f>
      </x:c>
      <x:c r="W13"/>
      <x:c r="X13"/>
      <x:c r="Y13"/>
      <x:c r="Z13"/>
      <x:c r="AA13" t="str"/>
      <x:c r="AB13" t="str"/>
      <x:c r="AC13" t="str">
        <x:v>2026-06-15</x:v>
      </x:c>
    </x:row>
    <x:row r="14">
      <x:c r="A14" t="n">
        <x:v>13</x:v>
      </x:c>
      <x:c r="B14" t="str">
        <x:v>Amanta Healthcare Ltd</x:v>
      </x:c>
      <x:c r="C14" t="str">
        <x:v>Not Started</x:v>
      </x:c>
      <x:c r="D14" s="12"/>
      <x:c r="E14" s="12"/>
      <x:c r="F14" s="12"/>
      <x:c r="G14" s="12"/>
      <x:c r="H14" s="12"/>
      <x:c r="I14" s="12"/>
      <x:c r="J14" s="14" t="str">
        <x:f>IFERROR(H14/I14,"")</x:f>
      </x:c>
      <x:c r="K14"/>
      <x:c r="L14"/>
      <x:c r="M14"/>
      <x:c r="N14"/>
      <x:c r="O14"/>
      <x:c r="P14"/>
      <x:c r="Q14" t="str">
        <x:f>IFERROR(O14/P14,"")</x:f>
      </x:c>
      <x:c r="R14"/>
      <x:c r="S14"/>
      <x:c r="T14"/>
      <x:c r="U14"/>
      <x:c r="V14" t="str">
        <x:f>IFERROR((T14-U14)/U14,"")</x:f>
      </x:c>
      <x:c r="W14"/>
      <x:c r="X14"/>
      <x:c r="Y14"/>
      <x:c r="Z14"/>
      <x:c r="AA14" t="str"/>
      <x:c r="AB14" t="str"/>
      <x:c r="AC14" t="str">
        <x:v>2026-06-15</x:v>
      </x:c>
    </x:row>
    <x:row r="15">
      <x:c r="A15" t="n">
        <x:v>14</x:v>
      </x:c>
      <x:c r="B15" t="str">
        <x:v>Ami Organics</x:v>
      </x:c>
      <x:c r="C15" t="str">
        <x:v>Not Started</x:v>
      </x:c>
      <x:c r="D15" s="12"/>
      <x:c r="E15" s="12"/>
      <x:c r="F15" s="12"/>
      <x:c r="G15" s="12"/>
      <x:c r="H15" s="12"/>
      <x:c r="I15" s="12"/>
      <x:c r="J15" s="14" t="str">
        <x:f>IFERROR(H15/I15,"")</x:f>
      </x:c>
      <x:c r="K15"/>
      <x:c r="L15"/>
      <x:c r="M15"/>
      <x:c r="N15"/>
      <x:c r="O15"/>
      <x:c r="P15"/>
      <x:c r="Q15" t="str">
        <x:f>IFERROR(O15/P15,"")</x:f>
      </x:c>
      <x:c r="R15"/>
      <x:c r="S15"/>
      <x:c r="T15"/>
      <x:c r="U15"/>
      <x:c r="V15" t="str">
        <x:f>IFERROR((T15-U15)/U15,"")</x:f>
      </x:c>
      <x:c r="W15"/>
      <x:c r="X15"/>
      <x:c r="Y15"/>
      <x:c r="Z15"/>
      <x:c r="AA15" t="str"/>
      <x:c r="AB15" t="str"/>
      <x:c r="AC15" t="str">
        <x:v>2026-06-15</x:v>
      </x:c>
    </x:row>
    <x:row r="16">
      <x:c r="A16" t="n">
        <x:v>15</x:v>
      </x:c>
      <x:c r="B16" t="str">
        <x:v>Amir Chand Jagdish Kumar Exports Ltd</x:v>
      </x:c>
      <x:c r="C16" t="str">
        <x:v>Not Started</x:v>
      </x:c>
      <x:c r="D16" s="12"/>
      <x:c r="E16" s="12"/>
      <x:c r="F16" s="12"/>
      <x:c r="G16" s="12"/>
      <x:c r="H16" s="12"/>
      <x:c r="I16" s="12"/>
      <x:c r="J16" s="14" t="str">
        <x:f>IFERROR(H16/I16,"")</x:f>
      </x:c>
      <x:c r="K16"/>
      <x:c r="L16"/>
      <x:c r="M16"/>
      <x:c r="N16"/>
      <x:c r="O16"/>
      <x:c r="P16"/>
      <x:c r="Q16" t="str">
        <x:f>IFERROR(O16/P16,"")</x:f>
      </x:c>
      <x:c r="R16"/>
      <x:c r="S16"/>
      <x:c r="T16"/>
      <x:c r="U16"/>
      <x:c r="V16" t="str">
        <x:f>IFERROR((T16-U16)/U16,"")</x:f>
      </x:c>
      <x:c r="W16"/>
      <x:c r="X16"/>
      <x:c r="Y16"/>
      <x:c r="Z16"/>
      <x:c r="AA16" t="str"/>
      <x:c r="AB16" t="str"/>
      <x:c r="AC16" t="str">
        <x:v>2026-06-15</x:v>
      </x:c>
    </x:row>
    <x:row r="17">
      <x:c r="A17" t="n">
        <x:v>16</x:v>
      </x:c>
      <x:c r="B17" t="str">
        <x:v>Anand Rathi Share and Stock Brokers Ltd</x:v>
      </x:c>
      <x:c r="C17" t="str">
        <x:v>Not Started</x:v>
      </x:c>
      <x:c r="D17" s="12"/>
      <x:c r="E17" s="12"/>
      <x:c r="F17" s="12"/>
      <x:c r="G17" s="12"/>
      <x:c r="H17" s="12"/>
      <x:c r="I17" s="12"/>
      <x:c r="J17" s="14" t="str">
        <x:f>IFERROR(H17/I17,"")</x:f>
      </x:c>
      <x:c r="K17"/>
      <x:c r="L17"/>
      <x:c r="M17"/>
      <x:c r="N17"/>
      <x:c r="O17"/>
      <x:c r="P17"/>
      <x:c r="Q17" t="str">
        <x:f>IFERROR(O17/P17,"")</x:f>
      </x:c>
      <x:c r="R17"/>
      <x:c r="S17"/>
      <x:c r="T17"/>
      <x:c r="U17"/>
      <x:c r="V17" t="str">
        <x:f>IFERROR((T17-U17)/U17,"")</x:f>
      </x:c>
      <x:c r="W17"/>
      <x:c r="X17"/>
      <x:c r="Y17"/>
      <x:c r="Z17"/>
      <x:c r="AA17" t="str"/>
      <x:c r="AB17" t="str"/>
      <x:c r="AC17" t="str">
        <x:v>2026-06-15</x:v>
      </x:c>
    </x:row>
    <x:row r="18">
      <x:c r="A18" t="n">
        <x:v>17</x:v>
      </x:c>
      <x:c r="B18" t="str">
        <x:v>Anand Rathi Wealth</x:v>
      </x:c>
      <x:c r="C18" t="str">
        <x:v>Not Started</x:v>
      </x:c>
      <x:c r="D18" s="12"/>
      <x:c r="E18" s="12"/>
      <x:c r="F18" s="12"/>
      <x:c r="G18" s="12"/>
      <x:c r="H18" s="12"/>
      <x:c r="I18" s="12"/>
      <x:c r="J18" s="14" t="str">
        <x:f>IFERROR(H18/I18,"")</x:f>
      </x:c>
      <x:c r="K18"/>
      <x:c r="L18"/>
      <x:c r="M18"/>
      <x:c r="N18"/>
      <x:c r="O18"/>
      <x:c r="P18"/>
      <x:c r="Q18" t="str">
        <x:f>IFERROR(O18/P18,"")</x:f>
      </x:c>
      <x:c r="R18"/>
      <x:c r="S18"/>
      <x:c r="T18"/>
      <x:c r="U18"/>
      <x:c r="V18" t="str">
        <x:f>IFERROR((T18-U18)/U18,"")</x:f>
      </x:c>
      <x:c r="W18"/>
      <x:c r="X18"/>
      <x:c r="Y18"/>
      <x:c r="Z18"/>
      <x:c r="AA18" t="str"/>
      <x:c r="AB18" t="str"/>
      <x:c r="AC18" t="str">
        <x:v>2026-06-15</x:v>
      </x:c>
    </x:row>
    <x:row r="19">
      <x:c r="A19" t="n">
        <x:v>18</x:v>
      </x:c>
      <x:c r="B19" t="str">
        <x:v>Angel Broking</x:v>
      </x:c>
      <x:c r="C19" t="str">
        <x:v>Not Started</x:v>
      </x:c>
      <x:c r="D19" s="12"/>
      <x:c r="E19" s="12"/>
      <x:c r="F19" s="12"/>
      <x:c r="G19" s="12"/>
      <x:c r="H19" s="12"/>
      <x:c r="I19" s="12"/>
      <x:c r="J19" s="14" t="str">
        <x:f>IFERROR(H19/I19,"")</x:f>
      </x:c>
      <x:c r="K19"/>
      <x:c r="L19"/>
      <x:c r="M19"/>
      <x:c r="N19"/>
      <x:c r="O19"/>
      <x:c r="P19"/>
      <x:c r="Q19" t="str">
        <x:f>IFERROR(O19/P19,"")</x:f>
      </x:c>
      <x:c r="R19"/>
      <x:c r="S19"/>
      <x:c r="T19"/>
      <x:c r="U19"/>
      <x:c r="V19" t="str">
        <x:f>IFERROR((T19-U19)/U19,"")</x:f>
      </x:c>
      <x:c r="W19"/>
      <x:c r="X19"/>
      <x:c r="Y19"/>
      <x:c r="Z19"/>
      <x:c r="AA19" t="str"/>
      <x:c r="AB19" t="str"/>
      <x:c r="AC19" t="str">
        <x:v>2026-06-15</x:v>
      </x:c>
    </x:row>
    <x:row r="20">
      <x:c r="A20" t="n">
        <x:v>19</x:v>
      </x:c>
      <x:c r="B20" t="str">
        <x:v>Anlon Healthcare Ltd</x:v>
      </x:c>
      <x:c r="C20" t="str">
        <x:v>Not Started</x:v>
      </x:c>
      <x:c r="D20" s="12"/>
      <x:c r="E20" s="12"/>
      <x:c r="F20" s="12"/>
      <x:c r="G20" s="12"/>
      <x:c r="H20" s="12"/>
      <x:c r="I20" s="12"/>
      <x:c r="J20" s="14" t="str">
        <x:f>IFERROR(H20/I20,"")</x:f>
      </x:c>
      <x:c r="K20"/>
      <x:c r="L20"/>
      <x:c r="M20"/>
      <x:c r="N20"/>
      <x:c r="O20"/>
      <x:c r="P20"/>
      <x:c r="Q20" t="str">
        <x:f>IFERROR(O20/P20,"")</x:f>
      </x:c>
      <x:c r="R20"/>
      <x:c r="S20"/>
      <x:c r="T20"/>
      <x:c r="U20"/>
      <x:c r="V20" t="str">
        <x:f>IFERROR((T20-U20)/U20,"")</x:f>
      </x:c>
      <x:c r="W20"/>
      <x:c r="X20"/>
      <x:c r="Y20"/>
      <x:c r="Z20"/>
      <x:c r="AA20" t="str"/>
      <x:c r="AB20" t="str"/>
      <x:c r="AC20" t="str">
        <x:v>2026-06-15</x:v>
      </x:c>
    </x:row>
    <x:row r="21">
      <x:c r="A21" t="n">
        <x:v>20</x:v>
      </x:c>
      <x:c r="B21" t="str">
        <x:v>Anthem Biosciences Ltd</x:v>
      </x:c>
      <x:c r="C21" t="str">
        <x:v>Not Started</x:v>
      </x:c>
      <x:c r="D21" s="12"/>
      <x:c r="E21" s="12"/>
      <x:c r="F21" s="12"/>
      <x:c r="G21" s="12"/>
      <x:c r="H21" s="12"/>
      <x:c r="I21" s="12"/>
      <x:c r="J21" s="14" t="str">
        <x:f>IFERROR(H21/I21,"")</x:f>
      </x:c>
      <x:c r="K21"/>
      <x:c r="L21"/>
      <x:c r="M21"/>
      <x:c r="N21"/>
      <x:c r="O21"/>
      <x:c r="P21"/>
      <x:c r="Q21" t="str">
        <x:f>IFERROR(O21/P21,"")</x:f>
      </x:c>
      <x:c r="R21"/>
      <x:c r="S21"/>
      <x:c r="T21"/>
      <x:c r="U21"/>
      <x:c r="V21" t="str">
        <x:f>IFERROR((T21-U21)/U21,"")</x:f>
      </x:c>
      <x:c r="W21"/>
      <x:c r="X21"/>
      <x:c r="Y21"/>
      <x:c r="Z21"/>
      <x:c r="AA21" t="str"/>
      <x:c r="AB21" t="str"/>
      <x:c r="AC21" t="str">
        <x:v>2026-06-15</x:v>
      </x:c>
    </x:row>
    <x:row r="22">
      <x:c r="A22" t="n">
        <x:v>21</x:v>
      </x:c>
      <x:c r="B22" t="str">
        <x:v>Antony Waste Handling Cell</x:v>
      </x:c>
      <x:c r="C22" t="str">
        <x:v>Not Started</x:v>
      </x:c>
      <x:c r="D22" s="12"/>
      <x:c r="E22" s="12"/>
      <x:c r="F22" s="12"/>
      <x:c r="G22" s="12"/>
      <x:c r="H22" s="12"/>
      <x:c r="I22" s="12"/>
      <x:c r="J22" s="14" t="str">
        <x:f>IFERROR(H22/I22,"")</x:f>
      </x:c>
      <x:c r="K22"/>
      <x:c r="L22"/>
      <x:c r="M22"/>
      <x:c r="N22"/>
      <x:c r="O22"/>
      <x:c r="P22"/>
      <x:c r="Q22" t="str">
        <x:f>IFERROR(O22/P22,"")</x:f>
      </x:c>
      <x:c r="R22"/>
      <x:c r="S22"/>
      <x:c r="T22"/>
      <x:c r="U22"/>
      <x:c r="V22" t="str">
        <x:f>IFERROR((T22-U22)/U22,"")</x:f>
      </x:c>
      <x:c r="W22"/>
      <x:c r="X22"/>
      <x:c r="Y22"/>
      <x:c r="Z22"/>
      <x:c r="AA22" t="str"/>
      <x:c r="AB22" t="str"/>
      <x:c r="AC22" t="str">
        <x:v>2026-06-15</x:v>
      </x:c>
    </x:row>
    <x:row r="23">
      <x:c r="A23" t="n">
        <x:v>22</x:v>
      </x:c>
      <x:c r="B23" t="str">
        <x:v>Anupam Rasayan</x:v>
      </x:c>
      <x:c r="C23" t="str">
        <x:v>Not Started</x:v>
      </x:c>
      <x:c r="D23" s="12"/>
      <x:c r="E23" s="12"/>
      <x:c r="F23" s="12"/>
      <x:c r="G23" s="12"/>
      <x:c r="H23" s="12"/>
      <x:c r="I23" s="12"/>
      <x:c r="J23" s="14" t="str">
        <x:f>IFERROR(H23/I23,"")</x:f>
      </x:c>
      <x:c r="K23"/>
      <x:c r="L23"/>
      <x:c r="M23"/>
      <x:c r="N23"/>
      <x:c r="O23"/>
      <x:c r="P23"/>
      <x:c r="Q23" t="str">
        <x:f>IFERROR(O23/P23,"")</x:f>
      </x:c>
      <x:c r="R23"/>
      <x:c r="S23"/>
      <x:c r="T23"/>
      <x:c r="U23"/>
      <x:c r="V23" t="str">
        <x:f>IFERROR((T23-U23)/U23,"")</x:f>
      </x:c>
      <x:c r="W23"/>
      <x:c r="X23"/>
      <x:c r="Y23"/>
      <x:c r="Z23"/>
      <x:c r="AA23" t="str"/>
      <x:c r="AB23" t="str"/>
      <x:c r="AC23" t="str">
        <x:v>2026-06-15</x:v>
      </x:c>
    </x:row>
    <x:row r="24">
      <x:c r="A24" t="n">
        <x:v>23</x:v>
      </x:c>
      <x:c r="B24" t="str">
        <x:v>Aptus Value Housing Finance</x:v>
      </x:c>
      <x:c r="C24" t="str">
        <x:v>Not Started</x:v>
      </x:c>
      <x:c r="D24" s="12"/>
      <x:c r="E24" s="12"/>
      <x:c r="F24" s="12"/>
      <x:c r="G24" s="12"/>
      <x:c r="H24" s="12"/>
      <x:c r="I24" s="12"/>
      <x:c r="J24" s="14" t="str">
        <x:f>IFERROR(H24/I24,"")</x:f>
      </x:c>
      <x:c r="K24"/>
      <x:c r="L24"/>
      <x:c r="M24"/>
      <x:c r="N24"/>
      <x:c r="O24"/>
      <x:c r="P24"/>
      <x:c r="Q24" t="str">
        <x:f>IFERROR(O24/P24,"")</x:f>
      </x:c>
      <x:c r="R24"/>
      <x:c r="S24"/>
      <x:c r="T24"/>
      <x:c r="U24"/>
      <x:c r="V24" t="str">
        <x:f>IFERROR((T24-U24)/U24,"")</x:f>
      </x:c>
      <x:c r="W24"/>
      <x:c r="X24"/>
      <x:c r="Y24"/>
      <x:c r="Z24"/>
      <x:c r="AA24" t="str"/>
      <x:c r="AB24" t="str"/>
      <x:c r="AC24" t="str">
        <x:v>2026-06-15</x:v>
      </x:c>
    </x:row>
    <x:row r="25">
      <x:c r="A25" t="n">
        <x:v>24</x:v>
      </x:c>
      <x:c r="B25" t="str">
        <x:v>Archean Chemical</x:v>
      </x:c>
      <x:c r="C25" t="str">
        <x:v>Not Started</x:v>
      </x:c>
      <x:c r="D25" s="12"/>
      <x:c r="E25" s="12"/>
      <x:c r="F25" s="12"/>
      <x:c r="G25" s="12"/>
      <x:c r="H25" s="12"/>
      <x:c r="I25" s="12"/>
      <x:c r="J25" s="14" t="str">
        <x:f>IFERROR(H25/I25,"")</x:f>
      </x:c>
      <x:c r="K25"/>
      <x:c r="L25"/>
      <x:c r="M25"/>
      <x:c r="N25"/>
      <x:c r="O25"/>
      <x:c r="P25"/>
      <x:c r="Q25" t="str">
        <x:f>IFERROR(O25/P25,"")</x:f>
      </x:c>
      <x:c r="R25"/>
      <x:c r="S25"/>
      <x:c r="T25"/>
      <x:c r="U25"/>
      <x:c r="V25" t="str">
        <x:f>IFERROR((T25-U25)/U25,"")</x:f>
      </x:c>
      <x:c r="W25"/>
      <x:c r="X25"/>
      <x:c r="Y25"/>
      <x:c r="Z25"/>
      <x:c r="AA25" t="str"/>
      <x:c r="AB25" t="str"/>
      <x:c r="AC25" t="str">
        <x:v>2026-06-15</x:v>
      </x:c>
    </x:row>
    <x:row r="26">
      <x:c r="A26" t="n">
        <x:v>25</x:v>
      </x:c>
      <x:c r="B26" t="str">
        <x:v>Arisinfra Solutions Limited</x:v>
      </x:c>
      <x:c r="C26" t="str">
        <x:v>Not Started</x:v>
      </x:c>
      <x:c r="D26" s="12"/>
      <x:c r="E26" s="12"/>
      <x:c r="F26" s="12"/>
      <x:c r="G26" s="12"/>
      <x:c r="H26" s="12"/>
      <x:c r="I26" s="12"/>
      <x:c r="J26" s="14" t="str">
        <x:f>IFERROR(H26/I26,"")</x:f>
      </x:c>
      <x:c r="K26"/>
      <x:c r="L26"/>
      <x:c r="M26"/>
      <x:c r="N26"/>
      <x:c r="O26"/>
      <x:c r="P26"/>
      <x:c r="Q26" t="str">
        <x:f>IFERROR(O26/P26,"")</x:f>
      </x:c>
      <x:c r="R26"/>
      <x:c r="S26"/>
      <x:c r="T26"/>
      <x:c r="U26"/>
      <x:c r="V26" t="str">
        <x:f>IFERROR((T26-U26)/U26,"")</x:f>
      </x:c>
      <x:c r="W26"/>
      <x:c r="X26"/>
      <x:c r="Y26"/>
      <x:c r="Z26"/>
      <x:c r="AA26" t="str"/>
      <x:c r="AB26" t="str"/>
      <x:c r="AC26" t="str">
        <x:v>2026-06-15</x:v>
      </x:c>
    </x:row>
    <x:row r="27">
      <x:c r="A27" t="n">
        <x:v>26</x:v>
      </x:c>
      <x:c r="B27" t="str">
        <x:v>ASK Automotive</x:v>
      </x:c>
      <x:c r="C27" t="str">
        <x:v>Not Started</x:v>
      </x:c>
      <x:c r="D27" s="12"/>
      <x:c r="E27" s="12"/>
      <x:c r="F27" s="12"/>
      <x:c r="G27" s="12"/>
      <x:c r="H27" s="12"/>
      <x:c r="I27" s="12"/>
      <x:c r="J27" s="14" t="str">
        <x:f>IFERROR(H27/I27,"")</x:f>
      </x:c>
      <x:c r="K27"/>
      <x:c r="L27"/>
      <x:c r="M27"/>
      <x:c r="N27"/>
      <x:c r="O27"/>
      <x:c r="P27"/>
      <x:c r="Q27" t="str">
        <x:f>IFERROR(O27/P27,"")</x:f>
      </x:c>
      <x:c r="R27"/>
      <x:c r="S27"/>
      <x:c r="T27"/>
      <x:c r="U27"/>
      <x:c r="V27" t="str">
        <x:f>IFERROR((T27-U27)/U27,"")</x:f>
      </x:c>
      <x:c r="W27"/>
      <x:c r="X27"/>
      <x:c r="Y27"/>
      <x:c r="Z27"/>
      <x:c r="AA27" t="str"/>
      <x:c r="AB27" t="str"/>
      <x:c r="AC27" t="str">
        <x:v>2026-06-15</x:v>
      </x:c>
    </x:row>
    <x:row r="28">
      <x:c r="A28" t="n">
        <x:v>27</x:v>
      </x:c>
      <x:c r="B28" t="str">
        <x:v>Ather Energy Limited</x:v>
      </x:c>
      <x:c r="C28" t="str">
        <x:v>Not Started</x:v>
      </x:c>
      <x:c r="D28" s="12"/>
      <x:c r="E28" s="12"/>
      <x:c r="F28" s="12"/>
      <x:c r="G28" s="12"/>
      <x:c r="H28" s="12"/>
      <x:c r="I28" s="12"/>
      <x:c r="J28" s="14" t="str">
        <x:f>IFERROR(H28/I28,"")</x:f>
      </x:c>
      <x:c r="K28"/>
      <x:c r="L28"/>
      <x:c r="M28"/>
      <x:c r="N28"/>
      <x:c r="O28"/>
      <x:c r="P28"/>
      <x:c r="Q28" t="str">
        <x:f>IFERROR(O28/P28,"")</x:f>
      </x:c>
      <x:c r="R28"/>
      <x:c r="S28"/>
      <x:c r="T28"/>
      <x:c r="U28"/>
      <x:c r="V28" t="str">
        <x:f>IFERROR((T28-U28)/U28,"")</x:f>
      </x:c>
      <x:c r="W28"/>
      <x:c r="X28"/>
      <x:c r="Y28"/>
      <x:c r="Z28"/>
      <x:c r="AA28" t="str"/>
      <x:c r="AB28" t="str"/>
      <x:c r="AC28" t="str">
        <x:v>2026-06-15</x:v>
      </x:c>
    </x:row>
    <x:row r="29">
      <x:c r="A29" t="n">
        <x:v>28</x:v>
      </x:c>
      <x:c r="B29" t="str">
        <x:v>Atlanta Electricals Ltd</x:v>
      </x:c>
      <x:c r="C29" t="str">
        <x:v>Not Started</x:v>
      </x:c>
      <x:c r="D29" s="12"/>
      <x:c r="E29" s="12"/>
      <x:c r="F29" s="12"/>
      <x:c r="G29" s="12"/>
      <x:c r="H29" s="12"/>
      <x:c r="I29" s="12"/>
      <x:c r="J29" s="14" t="str">
        <x:f>IFERROR(H29/I29,"")</x:f>
      </x:c>
      <x:c r="K29"/>
      <x:c r="L29"/>
      <x:c r="M29"/>
      <x:c r="N29"/>
      <x:c r="O29"/>
      <x:c r="P29"/>
      <x:c r="Q29" t="str">
        <x:f>IFERROR(O29/P29,"")</x:f>
      </x:c>
      <x:c r="R29"/>
      <x:c r="S29"/>
      <x:c r="T29"/>
      <x:c r="U29"/>
      <x:c r="V29" t="str">
        <x:f>IFERROR((T29-U29)/U29,"")</x:f>
      </x:c>
      <x:c r="W29"/>
      <x:c r="X29"/>
      <x:c r="Y29"/>
      <x:c r="Z29"/>
      <x:c r="AA29" t="str"/>
      <x:c r="AB29" t="str"/>
      <x:c r="AC29" t="str">
        <x:v>2026-06-15</x:v>
      </x:c>
    </x:row>
    <x:row r="30">
      <x:c r="A30" t="n">
        <x:v>29</x:v>
      </x:c>
      <x:c r="B30" t="str">
        <x:v>Avalon Technologies</x:v>
      </x:c>
      <x:c r="C30" t="str">
        <x:v>Not Started</x:v>
      </x:c>
      <x:c r="D30" s="12"/>
      <x:c r="E30" s="12"/>
      <x:c r="F30" s="12"/>
      <x:c r="G30" s="12"/>
      <x:c r="H30" s="12"/>
      <x:c r="I30" s="12"/>
      <x:c r="J30" s="14" t="str">
        <x:f>IFERROR(H30/I30,"")</x:f>
      </x:c>
      <x:c r="K30"/>
      <x:c r="L30"/>
      <x:c r="M30"/>
      <x:c r="N30"/>
      <x:c r="O30"/>
      <x:c r="P30"/>
      <x:c r="Q30" t="str">
        <x:f>IFERROR(O30/P30,"")</x:f>
      </x:c>
      <x:c r="R30"/>
      <x:c r="S30"/>
      <x:c r="T30"/>
      <x:c r="U30"/>
      <x:c r="V30" t="str">
        <x:f>IFERROR((T30-U30)/U30,"")</x:f>
      </x:c>
      <x:c r="W30"/>
      <x:c r="X30"/>
      <x:c r="Y30"/>
      <x:c r="Z30"/>
      <x:c r="AA30" t="str"/>
      <x:c r="AB30" t="str"/>
      <x:c r="AC30" t="str">
        <x:v>2026-06-15</x:v>
      </x:c>
    </x:row>
    <x:row r="31">
      <x:c r="A31" t="n">
        <x:v>30</x:v>
      </x:c>
      <x:c r="B31" t="str">
        <x:v>Aye Finance Ltd</x:v>
      </x:c>
      <x:c r="C31" t="str">
        <x:v>Not Started</x:v>
      </x:c>
      <x:c r="D31" s="12"/>
      <x:c r="E31" s="12"/>
      <x:c r="F31" s="12"/>
      <x:c r="G31" s="12"/>
      <x:c r="H31" s="12"/>
      <x:c r="I31" s="12"/>
      <x:c r="J31" s="14" t="str">
        <x:f>IFERROR(H31/I31,"")</x:f>
      </x:c>
      <x:c r="K31"/>
      <x:c r="L31"/>
      <x:c r="M31"/>
      <x:c r="N31"/>
      <x:c r="O31"/>
      <x:c r="P31"/>
      <x:c r="Q31" t="str">
        <x:f>IFERROR(O31/P31,"")</x:f>
      </x:c>
      <x:c r="R31"/>
      <x:c r="S31"/>
      <x:c r="T31"/>
      <x:c r="U31"/>
      <x:c r="V31" t="str">
        <x:f>IFERROR((T31-U31)/U31,"")</x:f>
      </x:c>
      <x:c r="W31"/>
      <x:c r="X31"/>
      <x:c r="Y31"/>
      <x:c r="Z31"/>
      <x:c r="AA31" t="str"/>
      <x:c r="AB31" t="str"/>
      <x:c r="AC31" t="str">
        <x:v>2026-06-15</x:v>
      </x:c>
    </x:row>
    <x:row r="32">
      <x:c r="A32" t="n">
        <x:v>31</x:v>
      </x:c>
      <x:c r="B32" t="str">
        <x:v>Azad Engineering</x:v>
      </x:c>
      <x:c r="C32" t="str">
        <x:v>Not Started</x:v>
      </x:c>
      <x:c r="D32" s="12"/>
      <x:c r="E32" s="12"/>
      <x:c r="F32" s="12"/>
      <x:c r="G32" s="12"/>
      <x:c r="H32" s="12"/>
      <x:c r="I32" s="12"/>
      <x:c r="J32" s="14" t="str">
        <x:f>IFERROR(H32/I32,"")</x:f>
      </x:c>
      <x:c r="K32"/>
      <x:c r="L32"/>
      <x:c r="M32"/>
      <x:c r="N32"/>
      <x:c r="O32"/>
      <x:c r="P32"/>
      <x:c r="Q32" t="str">
        <x:f>IFERROR(O32/P32,"")</x:f>
      </x:c>
      <x:c r="R32"/>
      <x:c r="S32"/>
      <x:c r="T32"/>
      <x:c r="U32"/>
      <x:c r="V32" t="str">
        <x:f>IFERROR((T32-U32)/U32,"")</x:f>
      </x:c>
      <x:c r="W32"/>
      <x:c r="X32"/>
      <x:c r="Y32"/>
      <x:c r="Z32"/>
      <x:c r="AA32" t="str"/>
      <x:c r="AB32" t="str"/>
      <x:c r="AC32" t="str">
        <x:v>2026-06-15</x:v>
      </x:c>
    </x:row>
    <x:row r="33">
      <x:c r="A33" t="n">
        <x:v>32</x:v>
      </x:c>
      <x:c r="B33" t="str">
        <x:v>BLS E-Services</x:v>
      </x:c>
      <x:c r="C33" t="str">
        <x:v>Not Started</x:v>
      </x:c>
      <x:c r="D33" s="12"/>
      <x:c r="E33" s="12"/>
      <x:c r="F33" s="12"/>
      <x:c r="G33" s="12"/>
      <x:c r="H33" s="12"/>
      <x:c r="I33" s="12"/>
      <x:c r="J33" s="14" t="str">
        <x:f>IFERROR(H33/I33,"")</x:f>
      </x:c>
      <x:c r="K33"/>
      <x:c r="L33"/>
      <x:c r="M33"/>
      <x:c r="N33"/>
      <x:c r="O33"/>
      <x:c r="P33"/>
      <x:c r="Q33" t="str">
        <x:f>IFERROR(O33/P33,"")</x:f>
      </x:c>
      <x:c r="R33"/>
      <x:c r="S33"/>
      <x:c r="T33"/>
      <x:c r="U33"/>
      <x:c r="V33" t="str">
        <x:f>IFERROR((T33-U33)/U33,"")</x:f>
      </x:c>
      <x:c r="W33"/>
      <x:c r="X33"/>
      <x:c r="Y33"/>
      <x:c r="Z33"/>
      <x:c r="AA33" t="str"/>
      <x:c r="AB33" t="str"/>
      <x:c r="AC33" t="str">
        <x:v>2026-06-15</x:v>
      </x:c>
    </x:row>
    <x:row r="34">
      <x:c r="A34" t="n">
        <x:v>33</x:v>
      </x:c>
      <x:c r="B34" t="str">
        <x:v>BMW Ventures Ltd</x:v>
      </x:c>
      <x:c r="C34" t="str">
        <x:v>Not Started</x:v>
      </x:c>
      <x:c r="D34" s="12"/>
      <x:c r="E34" s="12"/>
      <x:c r="F34" s="12"/>
      <x:c r="G34" s="12"/>
      <x:c r="H34" s="12"/>
      <x:c r="I34" s="12"/>
      <x:c r="J34" s="14" t="str">
        <x:f>IFERROR(H34/I34,"")</x:f>
      </x:c>
      <x:c r="K34"/>
      <x:c r="L34"/>
      <x:c r="M34"/>
      <x:c r="N34"/>
      <x:c r="O34"/>
      <x:c r="P34"/>
      <x:c r="Q34" t="str">
        <x:f>IFERROR(O34/P34,"")</x:f>
      </x:c>
      <x:c r="R34"/>
      <x:c r="S34"/>
      <x:c r="T34"/>
      <x:c r="U34"/>
      <x:c r="V34" t="str">
        <x:f>IFERROR((T34-U34)/U34,"")</x:f>
      </x:c>
      <x:c r="W34"/>
      <x:c r="X34"/>
      <x:c r="Y34"/>
      <x:c r="Z34"/>
      <x:c r="AA34" t="str"/>
      <x:c r="AB34" t="str"/>
      <x:c r="AC34" t="str">
        <x:v>2026-06-15</x:v>
      </x:c>
    </x:row>
    <x:row r="35">
      <x:c r="A35" t="n">
        <x:v>34</x:v>
      </x:c>
      <x:c r="B35" t="str">
        <x:v>Bagmane Prime Office REIT</x:v>
      </x:c>
      <x:c r="C35" t="str">
        <x:v>Not Started</x:v>
      </x:c>
      <x:c r="D35" s="12"/>
      <x:c r="E35" s="12"/>
      <x:c r="F35" s="12"/>
      <x:c r="G35" s="12"/>
      <x:c r="H35" s="12"/>
      <x:c r="I35" s="12"/>
      <x:c r="J35" s="14" t="str">
        <x:f>IFERROR(H35/I35,"")</x:f>
      </x:c>
      <x:c r="K35"/>
      <x:c r="L35"/>
      <x:c r="M35"/>
      <x:c r="N35"/>
      <x:c r="O35"/>
      <x:c r="P35"/>
      <x:c r="Q35" t="str">
        <x:f>IFERROR(O35/P35,"")</x:f>
      </x:c>
      <x:c r="R35"/>
      <x:c r="S35"/>
      <x:c r="T35"/>
      <x:c r="U35"/>
      <x:c r="V35" t="str">
        <x:f>IFERROR((T35-U35)/U35,"")</x:f>
      </x:c>
      <x:c r="W35"/>
      <x:c r="X35"/>
      <x:c r="Y35"/>
      <x:c r="Z35"/>
      <x:c r="AA35" t="str"/>
      <x:c r="AB35" t="str"/>
      <x:c r="AC35" t="str">
        <x:v>2026-06-15</x:v>
      </x:c>
    </x:row>
    <x:row r="36">
      <x:c r="A36" t="n">
        <x:v>35</x:v>
      </x:c>
      <x:c r="B36" t="str">
        <x:v>Bansal Wire</x:v>
      </x:c>
      <x:c r="C36" t="str">
        <x:v>Not Started</x:v>
      </x:c>
      <x:c r="D36" s="12"/>
      <x:c r="E36" s="12"/>
      <x:c r="F36" s="12"/>
      <x:c r="G36" s="12"/>
      <x:c r="H36" s="12"/>
      <x:c r="I36" s="12"/>
      <x:c r="J36" s="14" t="str">
        <x:f>IFERROR(H36/I36,"")</x:f>
      </x:c>
      <x:c r="K36"/>
      <x:c r="L36"/>
      <x:c r="M36"/>
      <x:c r="N36"/>
      <x:c r="O36"/>
      <x:c r="P36"/>
      <x:c r="Q36" t="str">
        <x:f>IFERROR(O36/P36,"")</x:f>
      </x:c>
      <x:c r="R36"/>
      <x:c r="S36"/>
      <x:c r="T36"/>
      <x:c r="U36"/>
      <x:c r="V36" t="str">
        <x:f>IFERROR((T36-U36)/U36,"")</x:f>
      </x:c>
      <x:c r="W36"/>
      <x:c r="X36"/>
      <x:c r="Y36"/>
      <x:c r="Z36"/>
      <x:c r="AA36" t="str"/>
      <x:c r="AB36" t="str"/>
      <x:c r="AC36" t="str">
        <x:v>2026-06-15</x:v>
      </x:c>
    </x:row>
    <x:row r="37">
      <x:c r="A37" t="n">
        <x:v>36</x:v>
      </x:c>
      <x:c r="B37" t="str">
        <x:v>Barbeque Nation</x:v>
      </x:c>
      <x:c r="C37" t="str">
        <x:v>Not Started</x:v>
      </x:c>
      <x:c r="D37" s="12"/>
      <x:c r="E37" s="12"/>
      <x:c r="F37" s="12"/>
      <x:c r="G37" s="12"/>
      <x:c r="H37" s="12"/>
      <x:c r="I37" s="12"/>
      <x:c r="J37" s="14" t="str">
        <x:f>IFERROR(H37/I37,"")</x:f>
      </x:c>
      <x:c r="K37"/>
      <x:c r="L37"/>
      <x:c r="M37"/>
      <x:c r="N37"/>
      <x:c r="O37"/>
      <x:c r="P37"/>
      <x:c r="Q37" t="str">
        <x:f>IFERROR(O37/P37,"")</x:f>
      </x:c>
      <x:c r="R37"/>
      <x:c r="S37"/>
      <x:c r="T37"/>
      <x:c r="U37"/>
      <x:c r="V37" t="str">
        <x:f>IFERROR((T37-U37)/U37,"")</x:f>
      </x:c>
      <x:c r="W37"/>
      <x:c r="X37"/>
      <x:c r="Y37"/>
      <x:c r="Z37"/>
      <x:c r="AA37" t="str"/>
      <x:c r="AB37" t="str"/>
      <x:c r="AC37" t="str">
        <x:v>2026-06-15</x:v>
      </x:c>
    </x:row>
    <x:row r="38">
      <x:c r="A38" t="n">
        <x:v>37</x:v>
      </x:c>
      <x:c r="B38" t="str">
        <x:v>Belrise Industries Limited</x:v>
      </x:c>
      <x:c r="C38" t="str">
        <x:v>Not Started</x:v>
      </x:c>
      <x:c r="D38" s="12"/>
      <x:c r="E38" s="12"/>
      <x:c r="F38" s="12"/>
      <x:c r="G38" s="12"/>
      <x:c r="H38" s="12"/>
      <x:c r="I38" s="12"/>
      <x:c r="J38" s="14" t="str">
        <x:f>IFERROR(H38/I38,"")</x:f>
      </x:c>
      <x:c r="K38"/>
      <x:c r="L38"/>
      <x:c r="M38"/>
      <x:c r="N38"/>
      <x:c r="O38"/>
      <x:c r="P38"/>
      <x:c r="Q38" t="str">
        <x:f>IFERROR(O38/P38,"")</x:f>
      </x:c>
      <x:c r="R38"/>
      <x:c r="S38"/>
      <x:c r="T38"/>
      <x:c r="U38"/>
      <x:c r="V38" t="str">
        <x:f>IFERROR((T38-U38)/U38,"")</x:f>
      </x:c>
      <x:c r="W38"/>
      <x:c r="X38"/>
      <x:c r="Y38"/>
      <x:c r="Z38"/>
      <x:c r="AA38" t="str"/>
      <x:c r="AB38" t="str"/>
      <x:c r="AC38" t="str">
        <x:v>2026-06-15</x:v>
      </x:c>
    </x:row>
    <x:row r="39">
      <x:c r="A39" t="n">
        <x:v>38</x:v>
      </x:c>
      <x:c r="B39" t="str">
        <x:v>Bharat Coking Coal Ltd</x:v>
      </x:c>
      <x:c r="C39" t="str">
        <x:v>Not Started</x:v>
      </x:c>
      <x:c r="D39" s="12"/>
      <x:c r="E39" s="12"/>
      <x:c r="F39" s="12"/>
      <x:c r="G39" s="12"/>
      <x:c r="H39" s="12"/>
      <x:c r="I39" s="12"/>
      <x:c r="J39" s="14" t="str">
        <x:f>IFERROR(H39/I39,"")</x:f>
      </x:c>
      <x:c r="K39"/>
      <x:c r="L39"/>
      <x:c r="M39"/>
      <x:c r="N39"/>
      <x:c r="O39"/>
      <x:c r="P39"/>
      <x:c r="Q39" t="str">
        <x:f>IFERROR(O39/P39,"")</x:f>
      </x:c>
      <x:c r="R39"/>
      <x:c r="S39"/>
      <x:c r="T39"/>
      <x:c r="U39"/>
      <x:c r="V39" t="str">
        <x:f>IFERROR((T39-U39)/U39,"")</x:f>
      </x:c>
      <x:c r="W39"/>
      <x:c r="X39"/>
      <x:c r="Y39"/>
      <x:c r="Z39"/>
      <x:c r="AA39" t="str"/>
      <x:c r="AB39" t="str"/>
      <x:c r="AC39" t="str">
        <x:v>2026-06-15</x:v>
      </x:c>
    </x:row>
    <x:row r="40">
      <x:c r="A40" t="n">
        <x:v>39</x:v>
      </x:c>
      <x:c r="B40" t="str">
        <x:v>Bharti Hexacom</x:v>
      </x:c>
      <x:c r="C40" t="str">
        <x:v>Not Started</x:v>
      </x:c>
      <x:c r="D40" s="12"/>
      <x:c r="E40" s="12"/>
      <x:c r="F40" s="12"/>
      <x:c r="G40" s="12"/>
      <x:c r="H40" s="12"/>
      <x:c r="I40" s="12"/>
      <x:c r="J40" s="14" t="str">
        <x:f>IFERROR(H40/I40,"")</x:f>
      </x:c>
      <x:c r="K40"/>
      <x:c r="L40"/>
      <x:c r="M40"/>
      <x:c r="N40"/>
      <x:c r="O40"/>
      <x:c r="P40"/>
      <x:c r="Q40" t="str">
        <x:f>IFERROR(O40/P40,"")</x:f>
      </x:c>
      <x:c r="R40"/>
      <x:c r="S40"/>
      <x:c r="T40"/>
      <x:c r="U40"/>
      <x:c r="V40" t="str">
        <x:f>IFERROR((T40-U40)/U40,"")</x:f>
      </x:c>
      <x:c r="W40"/>
      <x:c r="X40"/>
      <x:c r="Y40"/>
      <x:c r="Z40"/>
      <x:c r="AA40" t="str"/>
      <x:c r="AB40" t="str"/>
      <x:c r="AC40" t="str">
        <x:v>2026-06-15</x:v>
      </x:c>
    </x:row>
    <x:row r="41">
      <x:c r="A41" t="n">
        <x:v>40</x:v>
      </x:c>
      <x:c r="B41" t="str">
        <x:v>Bikaji Foods</x:v>
      </x:c>
      <x:c r="C41" t="str">
        <x:v>Not Started</x:v>
      </x:c>
      <x:c r="D41" s="12"/>
      <x:c r="E41" s="12"/>
      <x:c r="F41" s="12"/>
      <x:c r="G41" s="12"/>
      <x:c r="H41" s="12"/>
      <x:c r="I41" s="12"/>
      <x:c r="J41" s="14" t="str">
        <x:f>IFERROR(H41/I41,"")</x:f>
      </x:c>
      <x:c r="K41"/>
      <x:c r="L41"/>
      <x:c r="M41"/>
      <x:c r="N41"/>
      <x:c r="O41"/>
      <x:c r="P41"/>
      <x:c r="Q41" t="str">
        <x:f>IFERROR(O41/P41,"")</x:f>
      </x:c>
      <x:c r="R41"/>
      <x:c r="S41"/>
      <x:c r="T41"/>
      <x:c r="U41"/>
      <x:c r="V41" t="str">
        <x:f>IFERROR((T41-U41)/U41,"")</x:f>
      </x:c>
      <x:c r="W41"/>
      <x:c r="X41"/>
      <x:c r="Y41"/>
      <x:c r="Z41"/>
      <x:c r="AA41" t="str"/>
      <x:c r="AB41" t="str"/>
      <x:c r="AC41" t="str">
        <x:v>2026-06-15</x:v>
      </x:c>
    </x:row>
    <x:row r="42">
      <x:c r="A42" t="n">
        <x:v>41</x:v>
      </x:c>
      <x:c r="B42" t="str">
        <x:v>Billionbrains Garage Ventures Ltd</x:v>
      </x:c>
      <x:c r="C42" t="str">
        <x:v>Not Started</x:v>
      </x:c>
      <x:c r="D42" s="12"/>
      <x:c r="E42" s="12"/>
      <x:c r="F42" s="12"/>
      <x:c r="G42" s="12"/>
      <x:c r="H42" s="12"/>
      <x:c r="I42" s="12"/>
      <x:c r="J42" s="14" t="str">
        <x:f>IFERROR(H42/I42,"")</x:f>
      </x:c>
      <x:c r="K42"/>
      <x:c r="L42"/>
      <x:c r="M42"/>
      <x:c r="N42"/>
      <x:c r="O42"/>
      <x:c r="P42"/>
      <x:c r="Q42" t="str">
        <x:f>IFERROR(O42/P42,"")</x:f>
      </x:c>
      <x:c r="R42"/>
      <x:c r="S42"/>
      <x:c r="T42"/>
      <x:c r="U42"/>
      <x:c r="V42" t="str">
        <x:f>IFERROR((T42-U42)/U42,"")</x:f>
      </x:c>
      <x:c r="W42"/>
      <x:c r="X42"/>
      <x:c r="Y42"/>
      <x:c r="Z42"/>
      <x:c r="AA42" t="str"/>
      <x:c r="AB42" t="str"/>
      <x:c r="AC42" t="str">
        <x:v>2026-06-15</x:v>
      </x:c>
    </x:row>
    <x:row r="43">
      <x:c r="A43" t="n">
        <x:v>42</x:v>
      </x:c>
      <x:c r="B43" t="str">
        <x:v>BlueStone Jewellery and Lifestyle Ltd</x:v>
      </x:c>
      <x:c r="C43" t="str">
        <x:v>Not Started</x:v>
      </x:c>
      <x:c r="D43" s="12"/>
      <x:c r="E43" s="12"/>
      <x:c r="F43" s="12"/>
      <x:c r="G43" s="12"/>
      <x:c r="H43" s="12"/>
      <x:c r="I43" s="12"/>
      <x:c r="J43" s="14" t="str">
        <x:f>IFERROR(H43/I43,"")</x:f>
      </x:c>
      <x:c r="K43"/>
      <x:c r="L43"/>
      <x:c r="M43"/>
      <x:c r="N43"/>
      <x:c r="O43"/>
      <x:c r="P43"/>
      <x:c r="Q43" t="str">
        <x:f>IFERROR(O43/P43,"")</x:f>
      </x:c>
      <x:c r="R43"/>
      <x:c r="S43"/>
      <x:c r="T43"/>
      <x:c r="U43"/>
      <x:c r="V43" t="str">
        <x:f>IFERROR((T43-U43)/U43,"")</x:f>
      </x:c>
      <x:c r="W43"/>
      <x:c r="X43"/>
      <x:c r="Y43"/>
      <x:c r="Z43"/>
      <x:c r="AA43" t="str"/>
      <x:c r="AB43" t="str"/>
      <x:c r="AC43" t="str">
        <x:v>2026-06-15</x:v>
      </x:c>
    </x:row>
    <x:row r="44">
      <x:c r="A44" t="n">
        <x:v>43</x:v>
      </x:c>
      <x:c r="B44" t="str">
        <x:v>Blue Jet Healthcare</x:v>
      </x:c>
      <x:c r="C44" t="str">
        <x:v>Not Started</x:v>
      </x:c>
      <x:c r="D44" s="12"/>
      <x:c r="E44" s="12"/>
      <x:c r="F44" s="12"/>
      <x:c r="G44" s="12"/>
      <x:c r="H44" s="12"/>
      <x:c r="I44" s="12"/>
      <x:c r="J44" s="14" t="str">
        <x:f>IFERROR(H44/I44,"")</x:f>
      </x:c>
      <x:c r="K44"/>
      <x:c r="L44"/>
      <x:c r="M44"/>
      <x:c r="N44"/>
      <x:c r="O44"/>
      <x:c r="P44"/>
      <x:c r="Q44" t="str">
        <x:f>IFERROR(O44/P44,"")</x:f>
      </x:c>
      <x:c r="R44"/>
      <x:c r="S44"/>
      <x:c r="T44"/>
      <x:c r="U44"/>
      <x:c r="V44" t="str">
        <x:f>IFERROR((T44-U44)/U44,"")</x:f>
      </x:c>
      <x:c r="W44"/>
      <x:c r="X44"/>
      <x:c r="Y44"/>
      <x:c r="Z44"/>
      <x:c r="AA44" t="str"/>
      <x:c r="AB44" t="str"/>
      <x:c r="AC44" t="str">
        <x:v>2026-06-15</x:v>
      </x:c>
    </x:row>
    <x:row r="45">
      <x:c r="A45" t="n">
        <x:v>44</x:v>
      </x:c>
      <x:c r="B45" t="str">
        <x:v>Borana Weaves Limited</x:v>
      </x:c>
      <x:c r="C45" t="str">
        <x:v>Not Started</x:v>
      </x:c>
      <x:c r="D45" s="12"/>
      <x:c r="E45" s="12"/>
      <x:c r="F45" s="12"/>
      <x:c r="G45" s="12"/>
      <x:c r="H45" s="12"/>
      <x:c r="I45" s="12"/>
      <x:c r="J45" s="14" t="str">
        <x:f>IFERROR(H45/I45,"")</x:f>
      </x:c>
      <x:c r="K45"/>
      <x:c r="L45"/>
      <x:c r="M45"/>
      <x:c r="N45"/>
      <x:c r="O45"/>
      <x:c r="P45"/>
      <x:c r="Q45" t="str">
        <x:f>IFERROR(O45/P45,"")</x:f>
      </x:c>
      <x:c r="R45"/>
      <x:c r="S45"/>
      <x:c r="T45"/>
      <x:c r="U45"/>
      <x:c r="V45" t="str">
        <x:f>IFERROR((T45-U45)/U45,"")</x:f>
      </x:c>
      <x:c r="W45"/>
      <x:c r="X45"/>
      <x:c r="Y45"/>
      <x:c r="Z45"/>
      <x:c r="AA45" t="str"/>
      <x:c r="AB45" t="str"/>
      <x:c r="AC45" t="str">
        <x:v>2026-06-15</x:v>
      </x:c>
    </x:row>
    <x:row r="46">
      <x:c r="A46" t="n">
        <x:v>45</x:v>
      </x:c>
      <x:c r="B46" t="str">
        <x:v>Brigade Hotel Ventures Ltd</x:v>
      </x:c>
      <x:c r="C46" t="str">
        <x:v>Not Started</x:v>
      </x:c>
      <x:c r="D46" s="12"/>
      <x:c r="E46" s="12"/>
      <x:c r="F46" s="12"/>
      <x:c r="G46" s="12"/>
      <x:c r="H46" s="12"/>
      <x:c r="I46" s="12"/>
      <x:c r="J46" s="14" t="str">
        <x:f>IFERROR(H46/I46,"")</x:f>
      </x:c>
      <x:c r="K46"/>
      <x:c r="L46"/>
      <x:c r="M46"/>
      <x:c r="N46"/>
      <x:c r="O46"/>
      <x:c r="P46"/>
      <x:c r="Q46" t="str">
        <x:f>IFERROR(O46/P46,"")</x:f>
      </x:c>
      <x:c r="R46"/>
      <x:c r="S46"/>
      <x:c r="T46"/>
      <x:c r="U46"/>
      <x:c r="V46" t="str">
        <x:f>IFERROR((T46-U46)/U46,"")</x:f>
      </x:c>
      <x:c r="W46"/>
      <x:c r="X46"/>
      <x:c r="Y46"/>
      <x:c r="Z46"/>
      <x:c r="AA46" t="str"/>
      <x:c r="AB46" t="str"/>
      <x:c r="AC46" t="str">
        <x:v>2026-06-15</x:v>
      </x:c>
    </x:row>
    <x:row r="47">
      <x:c r="A47" t="n">
        <x:v>46</x:v>
      </x:c>
      <x:c r="B47" t="str">
        <x:v>Burger King</x:v>
      </x:c>
      <x:c r="C47" t="str">
        <x:v>Not Started</x:v>
      </x:c>
      <x:c r="D47" s="12"/>
      <x:c r="E47" s="12"/>
      <x:c r="F47" s="12"/>
      <x:c r="G47" s="12"/>
      <x:c r="H47" s="12"/>
      <x:c r="I47" s="12"/>
      <x:c r="J47" s="14" t="str">
        <x:f>IFERROR(H47/I47,"")</x:f>
      </x:c>
      <x:c r="K47"/>
      <x:c r="L47"/>
      <x:c r="M47"/>
      <x:c r="N47"/>
      <x:c r="O47"/>
      <x:c r="P47"/>
      <x:c r="Q47" t="str">
        <x:f>IFERROR(O47/P47,"")</x:f>
      </x:c>
      <x:c r="R47"/>
      <x:c r="S47"/>
      <x:c r="T47"/>
      <x:c r="U47"/>
      <x:c r="V47" t="str">
        <x:f>IFERROR((T47-U47)/U47,"")</x:f>
      </x:c>
      <x:c r="W47"/>
      <x:c r="X47"/>
      <x:c r="Y47"/>
      <x:c r="Z47"/>
      <x:c r="AA47" t="str"/>
      <x:c r="AB47" t="str"/>
      <x:c r="AC47" t="str">
        <x:v>2026-06-15</x:v>
      </x:c>
    </x:row>
    <x:row r="48">
      <x:c r="A48" t="n">
        <x:v>47</x:v>
      </x:c>
      <x:c r="B48" t="str">
        <x:v>CAMS</x:v>
      </x:c>
      <x:c r="C48" t="str">
        <x:v>Not Started</x:v>
      </x:c>
      <x:c r="D48" s="12"/>
      <x:c r="E48" s="12"/>
      <x:c r="F48" s="12"/>
      <x:c r="G48" s="12"/>
      <x:c r="H48" s="12"/>
      <x:c r="I48" s="12"/>
      <x:c r="J48" s="14" t="str">
        <x:f>IFERROR(H48/I48,"")</x:f>
      </x:c>
      <x:c r="K48"/>
      <x:c r="L48"/>
      <x:c r="M48"/>
      <x:c r="N48"/>
      <x:c r="O48"/>
      <x:c r="P48"/>
      <x:c r="Q48" t="str">
        <x:f>IFERROR(O48/P48,"")</x:f>
      </x:c>
      <x:c r="R48"/>
      <x:c r="S48"/>
      <x:c r="T48"/>
      <x:c r="U48"/>
      <x:c r="V48" t="str">
        <x:f>IFERROR((T48-U48)/U48,"")</x:f>
      </x:c>
      <x:c r="W48"/>
      <x:c r="X48"/>
      <x:c r="Y48"/>
      <x:c r="Z48"/>
      <x:c r="AA48" t="str"/>
      <x:c r="AB48" t="str"/>
      <x:c r="AC48" t="str">
        <x:v>2026-06-15</x:v>
      </x:c>
    </x:row>
    <x:row r="49">
      <x:c r="A49" t="n">
        <x:v>48</x:v>
      </x:c>
      <x:c r="B49" t="str">
        <x:v>CE Infosystems</x:v>
      </x:c>
      <x:c r="C49" t="str">
        <x:v>Not Started</x:v>
      </x:c>
      <x:c r="D49" s="12"/>
      <x:c r="E49" s="12"/>
      <x:c r="F49" s="12"/>
      <x:c r="G49" s="12"/>
      <x:c r="H49" s="12"/>
      <x:c r="I49" s="12"/>
      <x:c r="J49" s="14" t="str">
        <x:f>IFERROR(H49/I49,"")</x:f>
      </x:c>
      <x:c r="K49"/>
      <x:c r="L49"/>
      <x:c r="M49"/>
      <x:c r="N49"/>
      <x:c r="O49"/>
      <x:c r="P49"/>
      <x:c r="Q49" t="str">
        <x:f>IFERROR(O49/P49,"")</x:f>
      </x:c>
      <x:c r="R49"/>
      <x:c r="S49"/>
      <x:c r="T49"/>
      <x:c r="U49"/>
      <x:c r="V49" t="str">
        <x:f>IFERROR((T49-U49)/U49,"")</x:f>
      </x:c>
      <x:c r="W49"/>
      <x:c r="X49"/>
      <x:c r="Y49"/>
      <x:c r="Z49"/>
      <x:c r="AA49" t="str"/>
      <x:c r="AB49" t="str"/>
      <x:c r="AC49" t="str">
        <x:v>2026-06-15</x:v>
      </x:c>
    </x:row>
    <x:row r="50">
      <x:c r="A50" t="n">
        <x:v>49</x:v>
      </x:c>
      <x:c r="B50" t="str">
        <x:v>CMS Infosystems</x:v>
      </x:c>
      <x:c r="C50" t="str">
        <x:v>Not Started</x:v>
      </x:c>
      <x:c r="D50" s="12"/>
      <x:c r="E50" s="12"/>
      <x:c r="F50" s="12"/>
      <x:c r="G50" s="12"/>
      <x:c r="H50" s="12"/>
      <x:c r="I50" s="12"/>
      <x:c r="J50" s="14" t="str">
        <x:f>IFERROR(H50/I50,"")</x:f>
      </x:c>
      <x:c r="K50"/>
      <x:c r="L50"/>
      <x:c r="M50"/>
      <x:c r="N50"/>
      <x:c r="O50"/>
      <x:c r="P50"/>
      <x:c r="Q50" t="str">
        <x:f>IFERROR(O50/P50,"")</x:f>
      </x:c>
      <x:c r="R50"/>
      <x:c r="S50"/>
      <x:c r="T50"/>
      <x:c r="U50"/>
      <x:c r="V50" t="str">
        <x:f>IFERROR((T50-U50)/U50,"")</x:f>
      </x:c>
      <x:c r="W50"/>
      <x:c r="X50"/>
      <x:c r="Y50"/>
      <x:c r="Z50"/>
      <x:c r="AA50" t="str"/>
      <x:c r="AB50" t="str"/>
      <x:c r="AC50" t="str">
        <x:v>2026-06-15</x:v>
      </x:c>
    </x:row>
    <x:row r="51">
      <x:c r="A51" t="n">
        <x:v>50</x:v>
      </x:c>
      <x:c r="B51" t="str">
        <x:v>Campus Shoes</x:v>
      </x:c>
      <x:c r="C51" t="str">
        <x:v>Not Started</x:v>
      </x:c>
      <x:c r="D51" s="12"/>
      <x:c r="E51" s="12"/>
      <x:c r="F51" s="12"/>
      <x:c r="G51" s="12"/>
      <x:c r="H51" s="12"/>
      <x:c r="I51" s="12"/>
      <x:c r="J51" s="14" t="str">
        <x:f>IFERROR(H51/I51,"")</x:f>
      </x:c>
      <x:c r="K51"/>
      <x:c r="L51"/>
      <x:c r="M51"/>
      <x:c r="N51"/>
      <x:c r="O51"/>
      <x:c r="P51"/>
      <x:c r="Q51" t="str">
        <x:f>IFERROR(O51/P51,"")</x:f>
      </x:c>
      <x:c r="R51"/>
      <x:c r="S51"/>
      <x:c r="T51"/>
      <x:c r="U51"/>
      <x:c r="V51" t="str">
        <x:f>IFERROR((T51-U51)/U51,"")</x:f>
      </x:c>
      <x:c r="W51"/>
      <x:c r="X51"/>
      <x:c r="Y51"/>
      <x:c r="Z51"/>
      <x:c r="AA51" t="str"/>
      <x:c r="AB51" t="str"/>
      <x:c r="AC51" t="str">
        <x:v>2026-06-15</x:v>
      </x:c>
    </x:row>
    <x:row r="52">
      <x:c r="A52" t="n">
        <x:v>51</x:v>
      </x:c>
      <x:c r="B52" t="str">
        <x:v>Canara HSBC Life Insurance Co Ltd</x:v>
      </x:c>
      <x:c r="C52" t="str">
        <x:v>Not Started</x:v>
      </x:c>
      <x:c r="D52" s="12"/>
      <x:c r="E52" s="12"/>
      <x:c r="F52" s="12"/>
      <x:c r="G52" s="12"/>
      <x:c r="H52" s="12"/>
      <x:c r="I52" s="12"/>
      <x:c r="J52" s="14" t="str">
        <x:f>IFERROR(H52/I52,"")</x:f>
      </x:c>
      <x:c r="K52"/>
      <x:c r="L52"/>
      <x:c r="M52"/>
      <x:c r="N52"/>
      <x:c r="O52"/>
      <x:c r="P52"/>
      <x:c r="Q52" t="str">
        <x:f>IFERROR(O52/P52,"")</x:f>
      </x:c>
      <x:c r="R52"/>
      <x:c r="S52"/>
      <x:c r="T52"/>
      <x:c r="U52"/>
      <x:c r="V52" t="str">
        <x:f>IFERROR((T52-U52)/U52,"")</x:f>
      </x:c>
      <x:c r="W52"/>
      <x:c r="X52"/>
      <x:c r="Y52"/>
      <x:c r="Z52"/>
      <x:c r="AA52" t="str"/>
      <x:c r="AB52" t="str"/>
      <x:c r="AC52" t="str">
        <x:v>2026-06-15</x:v>
      </x:c>
    </x:row>
    <x:row r="53">
      <x:c r="A53" t="n">
        <x:v>52</x:v>
      </x:c>
      <x:c r="B53" t="str">
        <x:v>Canara Robeco Asset Management Co Ltd</x:v>
      </x:c>
      <x:c r="C53" t="str">
        <x:v>Not Started</x:v>
      </x:c>
      <x:c r="D53" s="12"/>
      <x:c r="E53" s="12"/>
      <x:c r="F53" s="12"/>
      <x:c r="G53" s="12"/>
      <x:c r="H53" s="12"/>
      <x:c r="I53" s="12"/>
      <x:c r="J53" s="14" t="str">
        <x:f>IFERROR(H53/I53,"")</x:f>
      </x:c>
      <x:c r="K53"/>
      <x:c r="L53"/>
      <x:c r="M53"/>
      <x:c r="N53"/>
      <x:c r="O53"/>
      <x:c r="P53"/>
      <x:c r="Q53" t="str">
        <x:f>IFERROR(O53/P53,"")</x:f>
      </x:c>
      <x:c r="R53"/>
      <x:c r="S53"/>
      <x:c r="T53"/>
      <x:c r="U53"/>
      <x:c r="V53" t="str">
        <x:f>IFERROR((T53-U53)/U53,"")</x:f>
      </x:c>
      <x:c r="W53"/>
      <x:c r="X53"/>
      <x:c r="Y53"/>
      <x:c r="Z53"/>
      <x:c r="AA53" t="str"/>
      <x:c r="AB53" t="str"/>
      <x:c r="AC53" t="str">
        <x:v>2026-06-15</x:v>
      </x:c>
    </x:row>
    <x:row r="54">
      <x:c r="A54" t="n">
        <x:v>53</x:v>
      </x:c>
      <x:c r="B54" t="str">
        <x:v>Capillary Technologies India Ltd</x:v>
      </x:c>
      <x:c r="C54" t="str">
        <x:v>Not Started</x:v>
      </x:c>
      <x:c r="D54" s="12"/>
      <x:c r="E54" s="12"/>
      <x:c r="F54" s="12"/>
      <x:c r="G54" s="12"/>
      <x:c r="H54" s="12"/>
      <x:c r="I54" s="12"/>
      <x:c r="J54" s="14" t="str">
        <x:f>IFERROR(H54/I54,"")</x:f>
      </x:c>
      <x:c r="K54"/>
      <x:c r="L54"/>
      <x:c r="M54"/>
      <x:c r="N54"/>
      <x:c r="O54"/>
      <x:c r="P54"/>
      <x:c r="Q54" t="str">
        <x:f>IFERROR(O54/P54,"")</x:f>
      </x:c>
      <x:c r="R54"/>
      <x:c r="S54"/>
      <x:c r="T54"/>
      <x:c r="U54"/>
      <x:c r="V54" t="str">
        <x:f>IFERROR((T54-U54)/U54,"")</x:f>
      </x:c>
      <x:c r="W54"/>
      <x:c r="X54"/>
      <x:c r="Y54"/>
      <x:c r="Z54"/>
      <x:c r="AA54" t="str"/>
      <x:c r="AB54" t="str"/>
      <x:c r="AC54" t="str">
        <x:v>2026-06-15</x:v>
      </x:c>
    </x:row>
    <x:row r="55">
      <x:c r="A55" t="n">
        <x:v>54</x:v>
      </x:c>
      <x:c r="B55" t="str">
        <x:v>CarTrade Tech</x:v>
      </x:c>
      <x:c r="C55" t="str">
        <x:v>Not Started</x:v>
      </x:c>
      <x:c r="D55" s="12"/>
      <x:c r="E55" s="12"/>
      <x:c r="F55" s="12"/>
      <x:c r="G55" s="12"/>
      <x:c r="H55" s="12"/>
      <x:c r="I55" s="12"/>
      <x:c r="J55" s="14" t="str">
        <x:f>IFERROR(H55/I55,"")</x:f>
      </x:c>
      <x:c r="K55"/>
      <x:c r="L55"/>
      <x:c r="M55"/>
      <x:c r="N55"/>
      <x:c r="O55"/>
      <x:c r="P55"/>
      <x:c r="Q55" t="str">
        <x:f>IFERROR(O55/P55,"")</x:f>
      </x:c>
      <x:c r="R55"/>
      <x:c r="S55"/>
      <x:c r="T55"/>
      <x:c r="U55"/>
      <x:c r="V55" t="str">
        <x:f>IFERROR((T55-U55)/U55,"")</x:f>
      </x:c>
      <x:c r="W55"/>
      <x:c r="X55"/>
      <x:c r="Y55"/>
      <x:c r="Z55"/>
      <x:c r="AA55" t="str"/>
      <x:c r="AB55" t="str"/>
      <x:c r="AC55" t="str">
        <x:v>2026-06-15</x:v>
      </x:c>
    </x:row>
    <x:row r="56">
      <x:c r="A56" t="n">
        <x:v>55</x:v>
      </x:c>
      <x:c r="B56" t="str">
        <x:v>Carraro India</x:v>
      </x:c>
      <x:c r="C56" t="str">
        <x:v>Not Started</x:v>
      </x:c>
      <x:c r="D56" s="12"/>
      <x:c r="E56" s="12"/>
      <x:c r="F56" s="12"/>
      <x:c r="G56" s="12"/>
      <x:c r="H56" s="12"/>
      <x:c r="I56" s="12"/>
      <x:c r="J56" s="14" t="str">
        <x:f>IFERROR(H56/I56,"")</x:f>
      </x:c>
      <x:c r="K56"/>
      <x:c r="L56"/>
      <x:c r="M56"/>
      <x:c r="N56"/>
      <x:c r="O56"/>
      <x:c r="P56"/>
      <x:c r="Q56" t="str">
        <x:f>IFERROR(O56/P56,"")</x:f>
      </x:c>
      <x:c r="R56"/>
      <x:c r="S56"/>
      <x:c r="T56"/>
      <x:c r="U56"/>
      <x:c r="V56" t="str">
        <x:f>IFERROR((T56-U56)/U56,"")</x:f>
      </x:c>
      <x:c r="W56"/>
      <x:c r="X56"/>
      <x:c r="Y56"/>
      <x:c r="Z56"/>
      <x:c r="AA56" t="str"/>
      <x:c r="AB56" t="str"/>
      <x:c r="AC56" t="str">
        <x:v>2026-06-15</x:v>
      </x:c>
    </x:row>
    <x:row r="57">
      <x:c r="A57" t="n">
        <x:v>56</x:v>
      </x:c>
      <x:c r="B57" t="str">
        <x:v>Cello World</x:v>
      </x:c>
      <x:c r="C57" t="str">
        <x:v>Not Started</x:v>
      </x:c>
      <x:c r="D57" s="12"/>
      <x:c r="E57" s="12"/>
      <x:c r="F57" s="12"/>
      <x:c r="G57" s="12"/>
      <x:c r="H57" s="12"/>
      <x:c r="I57" s="12"/>
      <x:c r="J57" s="14" t="str">
        <x:f>IFERROR(H57/I57,"")</x:f>
      </x:c>
      <x:c r="K57"/>
      <x:c r="L57"/>
      <x:c r="M57"/>
      <x:c r="N57"/>
      <x:c r="O57"/>
      <x:c r="P57"/>
      <x:c r="Q57" t="str">
        <x:f>IFERROR(O57/P57,"")</x:f>
      </x:c>
      <x:c r="R57"/>
      <x:c r="S57"/>
      <x:c r="T57"/>
      <x:c r="U57"/>
      <x:c r="V57" t="str">
        <x:f>IFERROR((T57-U57)/U57,"")</x:f>
      </x:c>
      <x:c r="W57"/>
      <x:c r="X57"/>
      <x:c r="Y57"/>
      <x:c r="Z57"/>
      <x:c r="AA57" t="str"/>
      <x:c r="AB57" t="str"/>
      <x:c r="AC57" t="str">
        <x:v>2026-06-15</x:v>
      </x:c>
    </x:row>
    <x:row r="58">
      <x:c r="A58" t="n">
        <x:v>57</x:v>
      </x:c>
      <x:c r="B58" t="str">
        <x:v>Central Mine Planning and Design Institute</x:v>
      </x:c>
      <x:c r="C58" t="str">
        <x:v>Not Started</x:v>
      </x:c>
      <x:c r="D58" s="12"/>
      <x:c r="E58" s="12"/>
      <x:c r="F58" s="12"/>
      <x:c r="G58" s="12"/>
      <x:c r="H58" s="12"/>
      <x:c r="I58" s="12"/>
      <x:c r="J58" s="14" t="str">
        <x:f>IFERROR(H58/I58,"")</x:f>
      </x:c>
      <x:c r="K58"/>
      <x:c r="L58"/>
      <x:c r="M58"/>
      <x:c r="N58"/>
      <x:c r="O58"/>
      <x:c r="P58"/>
      <x:c r="Q58" t="str">
        <x:f>IFERROR(O58/P58,"")</x:f>
      </x:c>
      <x:c r="R58"/>
      <x:c r="S58"/>
      <x:c r="T58"/>
      <x:c r="U58"/>
      <x:c r="V58" t="str">
        <x:f>IFERROR((T58-U58)/U58,"")</x:f>
      </x:c>
      <x:c r="W58"/>
      <x:c r="X58"/>
      <x:c r="Y58"/>
      <x:c r="Z58"/>
      <x:c r="AA58" t="str"/>
      <x:c r="AB58" t="str"/>
      <x:c r="AC58" t="str">
        <x:v>2026-06-15</x:v>
      </x:c>
    </x:row>
    <x:row r="59">
      <x:c r="A59" t="n">
        <x:v>58</x:v>
      </x:c>
      <x:c r="B59" t="str">
        <x:v>Chemplast Sanmar</x:v>
      </x:c>
      <x:c r="C59" t="str">
        <x:v>Not Started</x:v>
      </x:c>
      <x:c r="D59" s="12"/>
      <x:c r="E59" s="12"/>
      <x:c r="F59" s="12"/>
      <x:c r="G59" s="12"/>
      <x:c r="H59" s="12"/>
      <x:c r="I59" s="12"/>
      <x:c r="J59" s="14" t="str">
        <x:f>IFERROR(H59/I59,"")</x:f>
      </x:c>
      <x:c r="K59"/>
      <x:c r="L59"/>
      <x:c r="M59"/>
      <x:c r="N59"/>
      <x:c r="O59"/>
      <x:c r="P59"/>
      <x:c r="Q59" t="str">
        <x:f>IFERROR(O59/P59,"")</x:f>
      </x:c>
      <x:c r="R59"/>
      <x:c r="S59"/>
      <x:c r="T59"/>
      <x:c r="U59"/>
      <x:c r="V59" t="str">
        <x:f>IFERROR((T59-U59)/U59,"")</x:f>
      </x:c>
      <x:c r="W59"/>
      <x:c r="X59"/>
      <x:c r="Y59"/>
      <x:c r="Z59"/>
      <x:c r="AA59" t="str"/>
      <x:c r="AB59" t="str"/>
      <x:c r="AC59" t="str">
        <x:v>2026-06-15</x:v>
      </x:c>
    </x:row>
    <x:row r="60">
      <x:c r="A60" t="n">
        <x:v>59</x:v>
      </x:c>
      <x:c r="B60" t="str">
        <x:v>Clean Max Enviro Energy Solutions Ltd</x:v>
      </x:c>
      <x:c r="C60" t="str">
        <x:v>Not Started</x:v>
      </x:c>
      <x:c r="D60" s="12"/>
      <x:c r="E60" s="12"/>
      <x:c r="F60" s="12"/>
      <x:c r="G60" s="12"/>
      <x:c r="H60" s="12"/>
      <x:c r="I60" s="12"/>
      <x:c r="J60" s="14" t="str">
        <x:f>IFERROR(H60/I60,"")</x:f>
      </x:c>
      <x:c r="K60"/>
      <x:c r="L60"/>
      <x:c r="M60"/>
      <x:c r="N60"/>
      <x:c r="O60"/>
      <x:c r="P60"/>
      <x:c r="Q60" t="str">
        <x:f>IFERROR(O60/P60,"")</x:f>
      </x:c>
      <x:c r="R60"/>
      <x:c r="S60"/>
      <x:c r="T60"/>
      <x:c r="U60"/>
      <x:c r="V60" t="str">
        <x:f>IFERROR((T60-U60)/U60,"")</x:f>
      </x:c>
      <x:c r="W60"/>
      <x:c r="X60"/>
      <x:c r="Y60"/>
      <x:c r="Z60"/>
      <x:c r="AA60" t="str"/>
      <x:c r="AB60" t="str"/>
      <x:c r="AC60" t="str">
        <x:v>2026-06-15</x:v>
      </x:c>
    </x:row>
    <x:row r="61">
      <x:c r="A61" t="n">
        <x:v>60</x:v>
      </x:c>
      <x:c r="B61" t="str">
        <x:v>Clean Science And Technology</x:v>
      </x:c>
      <x:c r="C61" t="str">
        <x:v>Not Started</x:v>
      </x:c>
      <x:c r="D61" s="12"/>
      <x:c r="E61" s="12"/>
      <x:c r="F61" s="12"/>
      <x:c r="G61" s="12"/>
      <x:c r="H61" s="12"/>
      <x:c r="I61" s="12"/>
      <x:c r="J61" s="14" t="str">
        <x:f>IFERROR(H61/I61,"")</x:f>
      </x:c>
      <x:c r="K61"/>
      <x:c r="L61"/>
      <x:c r="M61"/>
      <x:c r="N61"/>
      <x:c r="O61"/>
      <x:c r="P61"/>
      <x:c r="Q61" t="str">
        <x:f>IFERROR(O61/P61,"")</x:f>
      </x:c>
      <x:c r="R61"/>
      <x:c r="S61"/>
      <x:c r="T61"/>
      <x:c r="U61"/>
      <x:c r="V61" t="str">
        <x:f>IFERROR((T61-U61)/U61,"")</x:f>
      </x:c>
      <x:c r="W61"/>
      <x:c r="X61"/>
      <x:c r="Y61"/>
      <x:c r="Z61"/>
      <x:c r="AA61" t="str"/>
      <x:c r="AB61" t="str"/>
      <x:c r="AC61" t="str">
        <x:v>2026-06-15</x:v>
      </x:c>
    </x:row>
    <x:row r="62">
      <x:c r="A62" t="n">
        <x:v>61</x:v>
      </x:c>
      <x:c r="B62" t="str">
        <x:v>Concord Biotech</x:v>
      </x:c>
      <x:c r="C62" t="str">
        <x:v>Not Started</x:v>
      </x:c>
      <x:c r="D62" s="12"/>
      <x:c r="E62" s="12"/>
      <x:c r="F62" s="12"/>
      <x:c r="G62" s="12"/>
      <x:c r="H62" s="12"/>
      <x:c r="I62" s="12"/>
      <x:c r="J62" s="14" t="str">
        <x:f>IFERROR(H62/I62,"")</x:f>
      </x:c>
      <x:c r="K62"/>
      <x:c r="L62"/>
      <x:c r="M62"/>
      <x:c r="N62"/>
      <x:c r="O62"/>
      <x:c r="P62"/>
      <x:c r="Q62" t="str">
        <x:f>IFERROR(O62/P62,"")</x:f>
      </x:c>
      <x:c r="R62"/>
      <x:c r="S62"/>
      <x:c r="T62"/>
      <x:c r="U62"/>
      <x:c r="V62" t="str">
        <x:f>IFERROR((T62-U62)/U62,"")</x:f>
      </x:c>
      <x:c r="W62"/>
      <x:c r="X62"/>
      <x:c r="Y62"/>
      <x:c r="Z62"/>
      <x:c r="AA62" t="str"/>
      <x:c r="AB62" t="str"/>
      <x:c r="AC62" t="str">
        <x:v>2026-06-15</x:v>
      </x:c>
    </x:row>
    <x:row r="63">
      <x:c r="A63" t="n">
        <x:v>62</x:v>
      </x:c>
      <x:c r="B63" t="str">
        <x:v>Corona Remedies Ltd</x:v>
      </x:c>
      <x:c r="C63" t="str">
        <x:v>Not Started</x:v>
      </x:c>
      <x:c r="D63" s="12"/>
      <x:c r="E63" s="12"/>
      <x:c r="F63" s="12"/>
      <x:c r="G63" s="12"/>
      <x:c r="H63" s="12"/>
      <x:c r="I63" s="12"/>
      <x:c r="J63" s="14" t="str">
        <x:f>IFERROR(H63/I63,"")</x:f>
      </x:c>
      <x:c r="K63"/>
      <x:c r="L63"/>
      <x:c r="M63"/>
      <x:c r="N63"/>
      <x:c r="O63"/>
      <x:c r="P63"/>
      <x:c r="Q63" t="str">
        <x:f>IFERROR(O63/P63,"")</x:f>
      </x:c>
      <x:c r="R63"/>
      <x:c r="S63"/>
      <x:c r="T63"/>
      <x:c r="U63"/>
      <x:c r="V63" t="str">
        <x:f>IFERROR((T63-U63)/U63,"")</x:f>
      </x:c>
      <x:c r="W63"/>
      <x:c r="X63"/>
      <x:c r="Y63"/>
      <x:c r="Z63"/>
      <x:c r="AA63" t="str"/>
      <x:c r="AB63" t="str"/>
      <x:c r="AC63" t="str">
        <x:v>2026-06-15</x:v>
      </x:c>
    </x:row>
    <x:row r="64">
      <x:c r="A64" t="n">
        <x:v>63</x:v>
      </x:c>
      <x:c r="B64" t="str">
        <x:v>Craftsman Automation</x:v>
      </x:c>
      <x:c r="C64" t="str">
        <x:v>Not Started</x:v>
      </x:c>
      <x:c r="D64" s="12"/>
      <x:c r="E64" s="12"/>
      <x:c r="F64" s="12"/>
      <x:c r="G64" s="12"/>
      <x:c r="H64" s="12"/>
      <x:c r="I64" s="12"/>
      <x:c r="J64" s="14" t="str">
        <x:f>IFERROR(H64/I64,"")</x:f>
      </x:c>
      <x:c r="K64"/>
      <x:c r="L64"/>
      <x:c r="M64"/>
      <x:c r="N64"/>
      <x:c r="O64"/>
      <x:c r="P64"/>
      <x:c r="Q64" t="str">
        <x:f>IFERROR(O64/P64,"")</x:f>
      </x:c>
      <x:c r="R64"/>
      <x:c r="S64"/>
      <x:c r="T64"/>
      <x:c r="U64"/>
      <x:c r="V64" t="str">
        <x:f>IFERROR((T64-U64)/U64,"")</x:f>
      </x:c>
      <x:c r="W64"/>
      <x:c r="X64"/>
      <x:c r="Y64"/>
      <x:c r="Z64"/>
      <x:c r="AA64" t="str"/>
      <x:c r="AB64" t="str"/>
      <x:c r="AC64" t="str">
        <x:v>2026-06-15</x:v>
      </x:c>
    </x:row>
    <x:row r="65">
      <x:c r="A65" t="n">
        <x:v>64</x:v>
      </x:c>
      <x:c r="B65" t="str">
        <x:v>Credo Brands</x:v>
      </x:c>
      <x:c r="C65" t="str">
        <x:v>Not Started</x:v>
      </x:c>
      <x:c r="D65" s="12"/>
      <x:c r="E65" s="12"/>
      <x:c r="F65" s="12"/>
      <x:c r="G65" s="12"/>
      <x:c r="H65" s="12"/>
      <x:c r="I65" s="12"/>
      <x:c r="J65" s="14" t="str">
        <x:f>IFERROR(H65/I65,"")</x:f>
      </x:c>
      <x:c r="K65"/>
      <x:c r="L65"/>
      <x:c r="M65"/>
      <x:c r="N65"/>
      <x:c r="O65"/>
      <x:c r="P65"/>
      <x:c r="Q65" t="str">
        <x:f>IFERROR(O65/P65,"")</x:f>
      </x:c>
      <x:c r="R65"/>
      <x:c r="S65"/>
      <x:c r="T65"/>
      <x:c r="U65"/>
      <x:c r="V65" t="str">
        <x:f>IFERROR((T65-U65)/U65,"")</x:f>
      </x:c>
      <x:c r="W65"/>
      <x:c r="X65"/>
      <x:c r="Y65"/>
      <x:c r="Z65"/>
      <x:c r="AA65" t="str"/>
      <x:c r="AB65" t="str"/>
      <x:c r="AC65" t="str">
        <x:v>2026-06-15</x:v>
      </x:c>
    </x:row>
    <x:row r="66">
      <x:c r="A66" t="n">
        <x:v>65</x:v>
      </x:c>
      <x:c r="B66" t="str">
        <x:v>Crizac Limited</x:v>
      </x:c>
      <x:c r="C66" t="str">
        <x:v>Not Started</x:v>
      </x:c>
      <x:c r="D66" s="12"/>
      <x:c r="E66" s="12"/>
      <x:c r="F66" s="12"/>
      <x:c r="G66" s="12"/>
      <x:c r="H66" s="12"/>
      <x:c r="I66" s="12"/>
      <x:c r="J66" s="14" t="str">
        <x:f>IFERROR(H66/I66,"")</x:f>
      </x:c>
      <x:c r="K66"/>
      <x:c r="L66"/>
      <x:c r="M66"/>
      <x:c r="N66"/>
      <x:c r="O66"/>
      <x:c r="P66"/>
      <x:c r="Q66" t="str">
        <x:f>IFERROR(O66/P66,"")</x:f>
      </x:c>
      <x:c r="R66"/>
      <x:c r="S66"/>
      <x:c r="T66"/>
      <x:c r="U66"/>
      <x:c r="V66" t="str">
        <x:f>IFERROR((T66-U66)/U66,"")</x:f>
      </x:c>
      <x:c r="W66"/>
      <x:c r="X66"/>
      <x:c r="Y66"/>
      <x:c r="Z66"/>
      <x:c r="AA66" t="str"/>
      <x:c r="AB66" t="str"/>
      <x:c r="AC66" t="str">
        <x:v>2026-06-15</x:v>
      </x:c>
    </x:row>
    <x:row r="67">
      <x:c r="A67" t="n">
        <x:v>66</x:v>
      </x:c>
      <x:c r="B67" t="str">
        <x:v>Cyient DLM</x:v>
      </x:c>
      <x:c r="C67" t="str">
        <x:v>Not Started</x:v>
      </x:c>
      <x:c r="D67" s="12"/>
      <x:c r="E67" s="12"/>
      <x:c r="F67" s="12"/>
      <x:c r="G67" s="12"/>
      <x:c r="H67" s="12"/>
      <x:c r="I67" s="12"/>
      <x:c r="J67" s="14" t="str">
        <x:f>IFERROR(H67/I67,"")</x:f>
      </x:c>
      <x:c r="K67"/>
      <x:c r="L67"/>
      <x:c r="M67"/>
      <x:c r="N67"/>
      <x:c r="O67"/>
      <x:c r="P67"/>
      <x:c r="Q67" t="str">
        <x:f>IFERROR(O67/P67,"")</x:f>
      </x:c>
      <x:c r="R67"/>
      <x:c r="S67"/>
      <x:c r="T67"/>
      <x:c r="U67"/>
      <x:c r="V67" t="str">
        <x:f>IFERROR((T67-U67)/U67,"")</x:f>
      </x:c>
      <x:c r="W67"/>
      <x:c r="X67"/>
      <x:c r="Y67"/>
      <x:c r="Z67"/>
      <x:c r="AA67" t="str"/>
      <x:c r="AB67" t="str"/>
      <x:c r="AC67" t="str">
        <x:v>2026-06-15</x:v>
      </x:c>
    </x:row>
    <x:row r="68">
      <x:c r="A68" t="n">
        <x:v>67</x:v>
      </x:c>
      <x:c r="B68" t="str">
        <x:v>DCX Systems</x:v>
      </x:c>
      <x:c r="C68" t="str">
        <x:v>Not Started</x:v>
      </x:c>
      <x:c r="D68" s="12"/>
      <x:c r="E68" s="12"/>
      <x:c r="F68" s="12"/>
      <x:c r="G68" s="12"/>
      <x:c r="H68" s="12"/>
      <x:c r="I68" s="12"/>
      <x:c r="J68" s="14" t="str">
        <x:f>IFERROR(H68/I68,"")</x:f>
      </x:c>
      <x:c r="K68"/>
      <x:c r="L68"/>
      <x:c r="M68"/>
      <x:c r="N68"/>
      <x:c r="O68"/>
      <x:c r="P68"/>
      <x:c r="Q68" t="str">
        <x:f>IFERROR(O68/P68,"")</x:f>
      </x:c>
      <x:c r="R68"/>
      <x:c r="S68"/>
      <x:c r="T68"/>
      <x:c r="U68"/>
      <x:c r="V68" t="str">
        <x:f>IFERROR((T68-U68)/U68,"")</x:f>
      </x:c>
      <x:c r="W68"/>
      <x:c r="X68"/>
      <x:c r="Y68"/>
      <x:c r="Z68"/>
      <x:c r="AA68" t="str"/>
      <x:c r="AB68" t="str"/>
      <x:c r="AC68" t="str">
        <x:v>2026-06-15</x:v>
      </x:c>
    </x:row>
    <x:row r="69">
      <x:c r="A69" t="n">
        <x:v>68</x:v>
      </x:c>
      <x:c r="B69" t="str">
        <x:v>DOMS Industries</x:v>
      </x:c>
      <x:c r="C69" t="str">
        <x:v>Not Started</x:v>
      </x:c>
      <x:c r="D69" s="12"/>
      <x:c r="E69" s="12"/>
      <x:c r="F69" s="12"/>
      <x:c r="G69" s="12"/>
      <x:c r="H69" s="12"/>
      <x:c r="I69" s="12"/>
      <x:c r="J69" s="14" t="str">
        <x:f>IFERROR(H69/I69,"")</x:f>
      </x:c>
      <x:c r="K69"/>
      <x:c r="L69"/>
      <x:c r="M69"/>
      <x:c r="N69"/>
      <x:c r="O69"/>
      <x:c r="P69"/>
      <x:c r="Q69" t="str">
        <x:f>IFERROR(O69/P69,"")</x:f>
      </x:c>
      <x:c r="R69"/>
      <x:c r="S69"/>
      <x:c r="T69"/>
      <x:c r="U69"/>
      <x:c r="V69" t="str">
        <x:f>IFERROR((T69-U69)/U69,"")</x:f>
      </x:c>
      <x:c r="W69"/>
      <x:c r="X69"/>
      <x:c r="Y69"/>
      <x:c r="Z69"/>
      <x:c r="AA69" t="str"/>
      <x:c r="AB69" t="str"/>
      <x:c r="AC69" t="str">
        <x:v>2026-06-15</x:v>
      </x:c>
    </x:row>
    <x:row r="70">
      <x:c r="A70" t="n">
        <x:v>69</x:v>
      </x:c>
      <x:c r="B70" t="str">
        <x:v>Data Patterns</x:v>
      </x:c>
      <x:c r="C70" t="str">
        <x:v>Not Started</x:v>
      </x:c>
      <x:c r="D70" s="12"/>
      <x:c r="E70" s="12"/>
      <x:c r="F70" s="12"/>
      <x:c r="G70" s="12"/>
      <x:c r="H70" s="12"/>
      <x:c r="I70" s="12"/>
      <x:c r="J70" s="14" t="str">
        <x:f>IFERROR(H70/I70,"")</x:f>
      </x:c>
      <x:c r="K70"/>
      <x:c r="L70"/>
      <x:c r="M70"/>
      <x:c r="N70"/>
      <x:c r="O70"/>
      <x:c r="P70"/>
      <x:c r="Q70" t="str">
        <x:f>IFERROR(O70/P70,"")</x:f>
      </x:c>
      <x:c r="R70"/>
      <x:c r="S70"/>
      <x:c r="T70"/>
      <x:c r="U70"/>
      <x:c r="V70" t="str">
        <x:f>IFERROR((T70-U70)/U70,"")</x:f>
      </x:c>
      <x:c r="W70"/>
      <x:c r="X70"/>
      <x:c r="Y70"/>
      <x:c r="Z70"/>
      <x:c r="AA70" t="str"/>
      <x:c r="AB70" t="str"/>
      <x:c r="AC70" t="str">
        <x:v>2026-06-15</x:v>
      </x:c>
    </x:row>
    <x:row r="71">
      <x:c r="A71" t="n">
        <x:v>70</x:v>
      </x:c>
      <x:c r="B71" t="str">
        <x:v>Delhivery</x:v>
      </x:c>
      <x:c r="C71" t="str">
        <x:v>Not Started</x:v>
      </x:c>
      <x:c r="D71" s="12"/>
      <x:c r="E71" s="12"/>
      <x:c r="F71" s="12"/>
      <x:c r="G71" s="12"/>
      <x:c r="H71" s="12"/>
      <x:c r="I71" s="12"/>
      <x:c r="J71" s="14" t="str">
        <x:f>IFERROR(H71/I71,"")</x:f>
      </x:c>
      <x:c r="K71"/>
      <x:c r="L71"/>
      <x:c r="M71"/>
      <x:c r="N71"/>
      <x:c r="O71"/>
      <x:c r="P71"/>
      <x:c r="Q71" t="str">
        <x:f>IFERROR(O71/P71,"")</x:f>
      </x:c>
      <x:c r="R71"/>
      <x:c r="S71"/>
      <x:c r="T71"/>
      <x:c r="U71"/>
      <x:c r="V71" t="str">
        <x:f>IFERROR((T71-U71)/U71,"")</x:f>
      </x:c>
      <x:c r="W71"/>
      <x:c r="X71"/>
      <x:c r="Y71"/>
      <x:c r="Z71"/>
      <x:c r="AA71" t="str"/>
      <x:c r="AB71" t="str"/>
      <x:c r="AC71" t="str">
        <x:v>2026-06-15</x:v>
      </x:c>
    </x:row>
    <x:row r="72">
      <x:c r="A72" t="n">
        <x:v>71</x:v>
      </x:c>
      <x:c r="B72" t="str">
        <x:v>Dev Accelerator Ltd</x:v>
      </x:c>
      <x:c r="C72" t="str">
        <x:v>Not Started</x:v>
      </x:c>
      <x:c r="D72" s="12"/>
      <x:c r="E72" s="12"/>
      <x:c r="F72" s="12"/>
      <x:c r="G72" s="12"/>
      <x:c r="H72" s="12"/>
      <x:c r="I72" s="12"/>
      <x:c r="J72" s="14" t="str">
        <x:f>IFERROR(H72/I72,"")</x:f>
      </x:c>
      <x:c r="K72"/>
      <x:c r="L72"/>
      <x:c r="M72"/>
      <x:c r="N72"/>
      <x:c r="O72"/>
      <x:c r="P72"/>
      <x:c r="Q72" t="str">
        <x:f>IFERROR(O72/P72,"")</x:f>
      </x:c>
      <x:c r="R72"/>
      <x:c r="S72"/>
      <x:c r="T72"/>
      <x:c r="U72"/>
      <x:c r="V72" t="str">
        <x:f>IFERROR((T72-U72)/U72,"")</x:f>
      </x:c>
      <x:c r="W72"/>
      <x:c r="X72"/>
      <x:c r="Y72"/>
      <x:c r="Z72"/>
      <x:c r="AA72" t="str"/>
      <x:c r="AB72" t="str"/>
      <x:c r="AC72" t="str">
        <x:v>2026-06-15</x:v>
      </x:c>
    </x:row>
    <x:row r="73">
      <x:c r="A73" t="n">
        <x:v>72</x:v>
      </x:c>
      <x:c r="B73" t="str">
        <x:v>Devyani International</x:v>
      </x:c>
      <x:c r="C73" t="str">
        <x:v>Not Started</x:v>
      </x:c>
      <x:c r="D73" s="12"/>
      <x:c r="E73" s="12"/>
      <x:c r="F73" s="12"/>
      <x:c r="G73" s="12"/>
      <x:c r="H73" s="12"/>
      <x:c r="I73" s="12"/>
      <x:c r="J73" s="14" t="str">
        <x:f>IFERROR(H73/I73,"")</x:f>
      </x:c>
      <x:c r="K73"/>
      <x:c r="L73"/>
      <x:c r="M73"/>
      <x:c r="N73"/>
      <x:c r="O73"/>
      <x:c r="P73"/>
      <x:c r="Q73" t="str">
        <x:f>IFERROR(O73/P73,"")</x:f>
      </x:c>
      <x:c r="R73"/>
      <x:c r="S73"/>
      <x:c r="T73"/>
      <x:c r="U73"/>
      <x:c r="V73" t="str">
        <x:f>IFERROR((T73-U73)/U73,"")</x:f>
      </x:c>
      <x:c r="W73"/>
      <x:c r="X73"/>
      <x:c r="Y73"/>
      <x:c r="Z73"/>
      <x:c r="AA73" t="str"/>
      <x:c r="AB73" t="str"/>
      <x:c r="AC73" t="str">
        <x:v>2026-06-15</x:v>
      </x:c>
    </x:row>
    <x:row r="74">
      <x:c r="A74" t="n">
        <x:v>73</x:v>
      </x:c>
      <x:c r="B74" t="str">
        <x:v>Dharmaj Crop Guard</x:v>
      </x:c>
      <x:c r="C74" t="str">
        <x:v>Not Started</x:v>
      </x:c>
      <x:c r="D74" s="12"/>
      <x:c r="E74" s="12"/>
      <x:c r="F74" s="12"/>
      <x:c r="G74" s="12"/>
      <x:c r="H74" s="12"/>
      <x:c r="I74" s="12"/>
      <x:c r="J74" s="14" t="str">
        <x:f>IFERROR(H74/I74,"")</x:f>
      </x:c>
      <x:c r="K74"/>
      <x:c r="L74"/>
      <x:c r="M74"/>
      <x:c r="N74"/>
      <x:c r="O74"/>
      <x:c r="P74"/>
      <x:c r="Q74" t="str">
        <x:f>IFERROR(O74/P74,"")</x:f>
      </x:c>
      <x:c r="R74"/>
      <x:c r="S74"/>
      <x:c r="T74"/>
      <x:c r="U74"/>
      <x:c r="V74" t="str">
        <x:f>IFERROR((T74-U74)/U74,"")</x:f>
      </x:c>
      <x:c r="W74"/>
      <x:c r="X74"/>
      <x:c r="Y74"/>
      <x:c r="Z74"/>
      <x:c r="AA74" t="str"/>
      <x:c r="AB74" t="str"/>
      <x:c r="AC74" t="str">
        <x:v>2026-06-15</x:v>
      </x:c>
    </x:row>
    <x:row r="75">
      <x:c r="A75" t="n">
        <x:v>74</x:v>
      </x:c>
      <x:c r="B75" t="str">
        <x:v>Divgi TorqTransfer</x:v>
      </x:c>
      <x:c r="C75" t="str">
        <x:v>Not Started</x:v>
      </x:c>
      <x:c r="D75" s="12"/>
      <x:c r="E75" s="12"/>
      <x:c r="F75" s="12"/>
      <x:c r="G75" s="12"/>
      <x:c r="H75" s="12"/>
      <x:c r="I75" s="12"/>
      <x:c r="J75" s="14" t="str">
        <x:f>IFERROR(H75/I75,"")</x:f>
      </x:c>
      <x:c r="K75"/>
      <x:c r="L75"/>
      <x:c r="M75"/>
      <x:c r="N75"/>
      <x:c r="O75"/>
      <x:c r="P75"/>
      <x:c r="Q75" t="str">
        <x:f>IFERROR(O75/P75,"")</x:f>
      </x:c>
      <x:c r="R75"/>
      <x:c r="S75"/>
      <x:c r="T75"/>
      <x:c r="U75"/>
      <x:c r="V75" t="str">
        <x:f>IFERROR((T75-U75)/U75,"")</x:f>
      </x:c>
      <x:c r="W75"/>
      <x:c r="X75"/>
      <x:c r="Y75"/>
      <x:c r="Z75"/>
      <x:c r="AA75" t="str"/>
      <x:c r="AB75" t="str"/>
      <x:c r="AC75" t="str">
        <x:v>2026-06-15</x:v>
      </x:c>
    </x:row>
    <x:row r="76">
      <x:c r="A76" t="n">
        <x:v>75</x:v>
      </x:c>
      <x:c r="B76" t="str">
        <x:v>Dodla Dairy</x:v>
      </x:c>
      <x:c r="C76" t="str">
        <x:v>Not Started</x:v>
      </x:c>
      <x:c r="D76" s="12"/>
      <x:c r="E76" s="12"/>
      <x:c r="F76" s="12"/>
      <x:c r="G76" s="12"/>
      <x:c r="H76" s="12"/>
      <x:c r="I76" s="12"/>
      <x:c r="J76" s="14" t="str">
        <x:f>IFERROR(H76/I76,"")</x:f>
      </x:c>
      <x:c r="K76"/>
      <x:c r="L76"/>
      <x:c r="M76"/>
      <x:c r="N76"/>
      <x:c r="O76"/>
      <x:c r="P76"/>
      <x:c r="Q76" t="str">
        <x:f>IFERROR(O76/P76,"")</x:f>
      </x:c>
      <x:c r="R76"/>
      <x:c r="S76"/>
      <x:c r="T76"/>
      <x:c r="U76"/>
      <x:c r="V76" t="str">
        <x:f>IFERROR((T76-U76)/U76,"")</x:f>
      </x:c>
      <x:c r="W76"/>
      <x:c r="X76"/>
      <x:c r="Y76"/>
      <x:c r="Z76"/>
      <x:c r="AA76" t="str"/>
      <x:c r="AB76" t="str"/>
      <x:c r="AC76" t="str">
        <x:v>2026-06-15</x:v>
      </x:c>
    </x:row>
    <x:row r="77">
      <x:c r="A77" t="n">
        <x:v>76</x:v>
      </x:c>
      <x:c r="B77" t="str">
        <x:v>DreamFolks Services</x:v>
      </x:c>
      <x:c r="C77" t="str">
        <x:v>Not Started</x:v>
      </x:c>
      <x:c r="D77" s="12"/>
      <x:c r="E77" s="12"/>
      <x:c r="F77" s="12"/>
      <x:c r="G77" s="12"/>
      <x:c r="H77" s="12"/>
      <x:c r="I77" s="12"/>
      <x:c r="J77" s="14" t="str">
        <x:f>IFERROR(H77/I77,"")</x:f>
      </x:c>
      <x:c r="K77"/>
      <x:c r="L77"/>
      <x:c r="M77"/>
      <x:c r="N77"/>
      <x:c r="O77"/>
      <x:c r="P77"/>
      <x:c r="Q77" t="str">
        <x:f>IFERROR(O77/P77,"")</x:f>
      </x:c>
      <x:c r="R77"/>
      <x:c r="S77"/>
      <x:c r="T77"/>
      <x:c r="U77"/>
      <x:c r="V77" t="str">
        <x:f>IFERROR((T77-U77)/U77,"")</x:f>
      </x:c>
      <x:c r="W77"/>
      <x:c r="X77"/>
      <x:c r="Y77"/>
      <x:c r="Z77"/>
      <x:c r="AA77" t="str"/>
      <x:c r="AB77" t="str"/>
      <x:c r="AC77" t="str">
        <x:v>2026-06-15</x:v>
      </x:c>
    </x:row>
    <x:row r="78">
      <x:c r="A78" t="n">
        <x:v>77</x:v>
      </x:c>
      <x:c r="B78" t="str">
        <x:v>Easy Trip Planners</x:v>
      </x:c>
      <x:c r="C78" t="str">
        <x:v>Not Started</x:v>
      </x:c>
      <x:c r="D78" s="12"/>
      <x:c r="E78" s="12"/>
      <x:c r="F78" s="12"/>
      <x:c r="G78" s="12"/>
      <x:c r="H78" s="12"/>
      <x:c r="I78" s="12"/>
      <x:c r="J78" s="14" t="str">
        <x:f>IFERROR(H78/I78,"")</x:f>
      </x:c>
      <x:c r="K78"/>
      <x:c r="L78"/>
      <x:c r="M78"/>
      <x:c r="N78"/>
      <x:c r="O78"/>
      <x:c r="P78"/>
      <x:c r="Q78" t="str">
        <x:f>IFERROR(O78/P78,"")</x:f>
      </x:c>
      <x:c r="R78"/>
      <x:c r="S78"/>
      <x:c r="T78"/>
      <x:c r="U78"/>
      <x:c r="V78" t="str">
        <x:f>IFERROR((T78-U78)/U78,"")</x:f>
      </x:c>
      <x:c r="W78"/>
      <x:c r="X78"/>
      <x:c r="Y78"/>
      <x:c r="Z78"/>
      <x:c r="AA78" t="str"/>
      <x:c r="AB78" t="str"/>
      <x:c r="AC78" t="str">
        <x:v>2026-06-15</x:v>
      </x:c>
    </x:row>
    <x:row r="79">
      <x:c r="A79" t="n">
        <x:v>78</x:v>
      </x:c>
      <x:c r="B79" t="str">
        <x:v>ECOS Mobility</x:v>
      </x:c>
      <x:c r="C79" t="str">
        <x:v>Not Started</x:v>
      </x:c>
      <x:c r="D79" s="12"/>
      <x:c r="E79" s="12"/>
      <x:c r="F79" s="12"/>
      <x:c r="G79" s="12"/>
      <x:c r="H79" s="12"/>
      <x:c r="I79" s="12"/>
      <x:c r="J79" s="14" t="str">
        <x:f>IFERROR(H79/I79,"")</x:f>
      </x:c>
      <x:c r="K79"/>
      <x:c r="L79"/>
      <x:c r="M79"/>
      <x:c r="N79"/>
      <x:c r="O79"/>
      <x:c r="P79"/>
      <x:c r="Q79" t="str">
        <x:f>IFERROR(O79/P79,"")</x:f>
      </x:c>
      <x:c r="R79"/>
      <x:c r="S79"/>
      <x:c r="T79"/>
      <x:c r="U79"/>
      <x:c r="V79" t="str">
        <x:f>IFERROR((T79-U79)/U79,"")</x:f>
      </x:c>
      <x:c r="W79"/>
      <x:c r="X79"/>
      <x:c r="Y79"/>
      <x:c r="Z79"/>
      <x:c r="AA79" t="str"/>
      <x:c r="AB79" t="str"/>
      <x:c r="AC79" t="str">
        <x:v>2026-06-15</x:v>
      </x:c>
    </x:row>
    <x:row r="80">
      <x:c r="A80" t="n">
        <x:v>79</x:v>
      </x:c>
      <x:c r="B80" t="str">
        <x:v>Elin Electronics</x:v>
      </x:c>
      <x:c r="C80" t="str">
        <x:v>Not Started</x:v>
      </x:c>
      <x:c r="D80" s="12"/>
      <x:c r="E80" s="12"/>
      <x:c r="F80" s="12"/>
      <x:c r="G80" s="12"/>
      <x:c r="H80" s="12"/>
      <x:c r="I80" s="12"/>
      <x:c r="J80" s="14" t="str">
        <x:f>IFERROR(H80/I80,"")</x:f>
      </x:c>
      <x:c r="K80"/>
      <x:c r="L80"/>
      <x:c r="M80"/>
      <x:c r="N80"/>
      <x:c r="O80"/>
      <x:c r="P80"/>
      <x:c r="Q80" t="str">
        <x:f>IFERROR(O80/P80,"")</x:f>
      </x:c>
      <x:c r="R80"/>
      <x:c r="S80"/>
      <x:c r="T80"/>
      <x:c r="U80"/>
      <x:c r="V80" t="str">
        <x:f>IFERROR((T80-U80)/U80,"")</x:f>
      </x:c>
      <x:c r="W80"/>
      <x:c r="X80"/>
      <x:c r="Y80"/>
      <x:c r="Z80"/>
      <x:c r="AA80" t="str"/>
      <x:c r="AB80" t="str"/>
      <x:c r="AC80" t="str">
        <x:v>2026-06-15</x:v>
      </x:c>
    </x:row>
    <x:row r="81">
      <x:c r="A81" t="n">
        <x:v>80</x:v>
      </x:c>
      <x:c r="B81" t="str">
        <x:v>Ellenbarrie Industrial Gases Ltd</x:v>
      </x:c>
      <x:c r="C81" t="str">
        <x:v>Not Started</x:v>
      </x:c>
      <x:c r="D81" s="12"/>
      <x:c r="E81" s="12"/>
      <x:c r="F81" s="12"/>
      <x:c r="G81" s="12"/>
      <x:c r="H81" s="12"/>
      <x:c r="I81" s="12"/>
      <x:c r="J81" s="14" t="str">
        <x:f>IFERROR(H81/I81,"")</x:f>
      </x:c>
      <x:c r="K81"/>
      <x:c r="L81"/>
      <x:c r="M81"/>
      <x:c r="N81"/>
      <x:c r="O81"/>
      <x:c r="P81"/>
      <x:c r="Q81" t="str">
        <x:f>IFERROR(O81/P81,"")</x:f>
      </x:c>
      <x:c r="R81"/>
      <x:c r="S81"/>
      <x:c r="T81"/>
      <x:c r="U81"/>
      <x:c r="V81" t="str">
        <x:f>IFERROR((T81-U81)/U81,"")</x:f>
      </x:c>
      <x:c r="W81"/>
      <x:c r="X81"/>
      <x:c r="Y81"/>
      <x:c r="Z81"/>
      <x:c r="AA81" t="str"/>
      <x:c r="AB81" t="str"/>
      <x:c r="AC81" t="str">
        <x:v>2026-06-15</x:v>
      </x:c>
    </x:row>
    <x:row r="82">
      <x:c r="A82" t="n">
        <x:v>81</x:v>
      </x:c>
      <x:c r="B82" t="str">
        <x:v>Emcure</x:v>
      </x:c>
      <x:c r="C82" t="str">
        <x:v>Not Started</x:v>
      </x:c>
      <x:c r="D82" s="12"/>
      <x:c r="E82" s="12"/>
      <x:c r="F82" s="12"/>
      <x:c r="G82" s="12"/>
      <x:c r="H82" s="12"/>
      <x:c r="I82" s="12"/>
      <x:c r="J82" s="14" t="str">
        <x:f>IFERROR(H82/I82,"")</x:f>
      </x:c>
      <x:c r="K82"/>
      <x:c r="L82"/>
      <x:c r="M82"/>
      <x:c r="N82"/>
      <x:c r="O82"/>
      <x:c r="P82"/>
      <x:c r="Q82" t="str">
        <x:f>IFERROR(O82/P82,"")</x:f>
      </x:c>
      <x:c r="R82"/>
      <x:c r="S82"/>
      <x:c r="T82"/>
      <x:c r="U82"/>
      <x:c r="V82" t="str">
        <x:f>IFERROR((T82-U82)/U82,"")</x:f>
      </x:c>
      <x:c r="W82"/>
      <x:c r="X82"/>
      <x:c r="Y82"/>
      <x:c r="Z82"/>
      <x:c r="AA82" t="str"/>
      <x:c r="AB82" t="str"/>
      <x:c r="AC82" t="str">
        <x:v>2026-06-15</x:v>
      </x:c>
    </x:row>
    <x:row r="83">
      <x:c r="A83" t="n">
        <x:v>82</x:v>
      </x:c>
      <x:c r="B83" t="str">
        <x:v>Emmvee Photovoltaic Power Ltd</x:v>
      </x:c>
      <x:c r="C83" t="str">
        <x:v>Not Started</x:v>
      </x:c>
      <x:c r="D83" s="12"/>
      <x:c r="E83" s="12"/>
      <x:c r="F83" s="12"/>
      <x:c r="G83" s="12"/>
      <x:c r="H83" s="12"/>
      <x:c r="I83" s="12"/>
      <x:c r="J83" s="14" t="str">
        <x:f>IFERROR(H83/I83,"")</x:f>
      </x:c>
      <x:c r="K83"/>
      <x:c r="L83"/>
      <x:c r="M83"/>
      <x:c r="N83"/>
      <x:c r="O83"/>
      <x:c r="P83"/>
      <x:c r="Q83" t="str">
        <x:f>IFERROR(O83/P83,"")</x:f>
      </x:c>
      <x:c r="R83"/>
      <x:c r="S83"/>
      <x:c r="T83"/>
      <x:c r="U83"/>
      <x:c r="V83" t="str">
        <x:f>IFERROR((T83-U83)/U83,"")</x:f>
      </x:c>
      <x:c r="W83"/>
      <x:c r="X83"/>
      <x:c r="Y83"/>
      <x:c r="Z83"/>
      <x:c r="AA83" t="str"/>
      <x:c r="AB83" t="str"/>
      <x:c r="AC83" t="str">
        <x:v>2026-06-15</x:v>
      </x:c>
    </x:row>
    <x:row r="84">
      <x:c r="A84" t="n">
        <x:v>83</x:v>
      </x:c>
      <x:c r="B84" t="str">
        <x:v>Epack Prefab Technologies Ltd</x:v>
      </x:c>
      <x:c r="C84" t="str">
        <x:v>Not Started</x:v>
      </x:c>
      <x:c r="D84" s="12"/>
      <x:c r="E84" s="12"/>
      <x:c r="F84" s="12"/>
      <x:c r="G84" s="12"/>
      <x:c r="H84" s="12"/>
      <x:c r="I84" s="12"/>
      <x:c r="J84" s="14" t="str">
        <x:f>IFERROR(H84/I84,"")</x:f>
      </x:c>
      <x:c r="K84"/>
      <x:c r="L84"/>
      <x:c r="M84"/>
      <x:c r="N84"/>
      <x:c r="O84"/>
      <x:c r="P84"/>
      <x:c r="Q84" t="str">
        <x:f>IFERROR(O84/P84,"")</x:f>
      </x:c>
      <x:c r="R84"/>
      <x:c r="S84"/>
      <x:c r="T84"/>
      <x:c r="U84"/>
      <x:c r="V84" t="str">
        <x:f>IFERROR((T84-U84)/U84,"")</x:f>
      </x:c>
      <x:c r="W84"/>
      <x:c r="X84"/>
      <x:c r="Y84"/>
      <x:c r="Z84"/>
      <x:c r="AA84" t="str"/>
      <x:c r="AB84" t="str"/>
      <x:c r="AC84" t="str">
        <x:v>2026-06-15</x:v>
      </x:c>
    </x:row>
    <x:row r="85">
      <x:c r="A85" t="n">
        <x:v>84</x:v>
      </x:c>
      <x:c r="B85" t="str">
        <x:v>ESAF Bank</x:v>
      </x:c>
      <x:c r="C85" t="str">
        <x:v>Not Started</x:v>
      </x:c>
      <x:c r="D85" s="12"/>
      <x:c r="E85" s="12"/>
      <x:c r="F85" s="12"/>
      <x:c r="G85" s="12"/>
      <x:c r="H85" s="12"/>
      <x:c r="I85" s="12"/>
      <x:c r="J85" s="14" t="str">
        <x:f>IFERROR(H85/I85,"")</x:f>
      </x:c>
      <x:c r="K85"/>
      <x:c r="L85"/>
      <x:c r="M85"/>
      <x:c r="N85"/>
      <x:c r="O85"/>
      <x:c r="P85"/>
      <x:c r="Q85" t="str">
        <x:f>IFERROR(O85/P85,"")</x:f>
      </x:c>
      <x:c r="R85"/>
      <x:c r="S85"/>
      <x:c r="T85"/>
      <x:c r="U85"/>
      <x:c r="V85" t="str">
        <x:f>IFERROR((T85-U85)/U85,"")</x:f>
      </x:c>
      <x:c r="W85"/>
      <x:c r="X85"/>
      <x:c r="Y85"/>
      <x:c r="Z85"/>
      <x:c r="AA85" t="str"/>
      <x:c r="AB85" t="str"/>
      <x:c r="AC85" t="str">
        <x:v>2026-06-15</x:v>
      </x:c>
    </x:row>
    <x:row r="86">
      <x:c r="A86" t="n">
        <x:v>85</x:v>
      </x:c>
      <x:c r="B86" t="str">
        <x:v>Ethos</x:v>
      </x:c>
      <x:c r="C86" t="str">
        <x:v>Not Started</x:v>
      </x:c>
      <x:c r="D86" s="12"/>
      <x:c r="E86" s="12"/>
      <x:c r="F86" s="12"/>
      <x:c r="G86" s="12"/>
      <x:c r="H86" s="12"/>
      <x:c r="I86" s="12"/>
      <x:c r="J86" s="14" t="str">
        <x:f>IFERROR(H86/I86,"")</x:f>
      </x:c>
      <x:c r="K86"/>
      <x:c r="L86"/>
      <x:c r="M86"/>
      <x:c r="N86"/>
      <x:c r="O86"/>
      <x:c r="P86"/>
      <x:c r="Q86" t="str">
        <x:f>IFERROR(O86/P86,"")</x:f>
      </x:c>
      <x:c r="R86"/>
      <x:c r="S86"/>
      <x:c r="T86"/>
      <x:c r="U86"/>
      <x:c r="V86" t="str">
        <x:f>IFERROR((T86-U86)/U86,"")</x:f>
      </x:c>
      <x:c r="W86"/>
      <x:c r="X86"/>
      <x:c r="Y86"/>
      <x:c r="Z86"/>
      <x:c r="AA86" t="str"/>
      <x:c r="AB86" t="str"/>
      <x:c r="AC86" t="str">
        <x:v>2026-06-15</x:v>
      </x:c>
    </x:row>
    <x:row r="87">
      <x:c r="A87" t="n">
        <x:v>86</x:v>
      </x:c>
      <x:c r="B87" t="str">
        <x:v>Euro Pratik Sales Ltd</x:v>
      </x:c>
      <x:c r="C87" t="str">
        <x:v>Not Started</x:v>
      </x:c>
      <x:c r="D87" s="12"/>
      <x:c r="E87" s="12"/>
      <x:c r="F87" s="12"/>
      <x:c r="G87" s="12"/>
      <x:c r="H87" s="12"/>
      <x:c r="I87" s="12"/>
      <x:c r="J87" s="14" t="str">
        <x:f>IFERROR(H87/I87,"")</x:f>
      </x:c>
      <x:c r="K87"/>
      <x:c r="L87"/>
      <x:c r="M87"/>
      <x:c r="N87"/>
      <x:c r="O87"/>
      <x:c r="P87"/>
      <x:c r="Q87" t="str">
        <x:f>IFERROR(O87/P87,"")</x:f>
      </x:c>
      <x:c r="R87"/>
      <x:c r="S87"/>
      <x:c r="T87"/>
      <x:c r="U87"/>
      <x:c r="V87" t="str">
        <x:f>IFERROR((T87-U87)/U87,"")</x:f>
      </x:c>
      <x:c r="W87"/>
      <x:c r="X87"/>
      <x:c r="Y87"/>
      <x:c r="Z87"/>
      <x:c r="AA87" t="str"/>
      <x:c r="AB87" t="str"/>
      <x:c r="AC87" t="str">
        <x:v>2026-06-15</x:v>
      </x:c>
    </x:row>
    <x:row r="88">
      <x:c r="A88" t="n">
        <x:v>87</x:v>
      </x:c>
      <x:c r="B88" t="str">
        <x:v>Excelsoft Technologies Ltd</x:v>
      </x:c>
      <x:c r="C88" t="str">
        <x:v>Not Started</x:v>
      </x:c>
      <x:c r="D88" s="12"/>
      <x:c r="E88" s="12"/>
      <x:c r="F88" s="12"/>
      <x:c r="G88" s="12"/>
      <x:c r="H88" s="12"/>
      <x:c r="I88" s="12"/>
      <x:c r="J88" s="14" t="str">
        <x:f>IFERROR(H88/I88,"")</x:f>
      </x:c>
      <x:c r="K88"/>
      <x:c r="L88"/>
      <x:c r="M88"/>
      <x:c r="N88"/>
      <x:c r="O88"/>
      <x:c r="P88"/>
      <x:c r="Q88" t="str">
        <x:f>IFERROR(O88/P88,"")</x:f>
      </x:c>
      <x:c r="R88"/>
      <x:c r="S88"/>
      <x:c r="T88"/>
      <x:c r="U88"/>
      <x:c r="V88" t="str">
        <x:f>IFERROR((T88-U88)/U88,"")</x:f>
      </x:c>
      <x:c r="W88"/>
      <x:c r="X88"/>
      <x:c r="Y88"/>
      <x:c r="Z88"/>
      <x:c r="AA88" t="str"/>
      <x:c r="AB88" t="str"/>
      <x:c r="AC88" t="str">
        <x:v>2026-06-15</x:v>
      </x:c>
    </x:row>
    <x:row r="89">
      <x:c r="A89" t="n">
        <x:v>88</x:v>
      </x:c>
      <x:c r="B89" t="str">
        <x:v>Exicom</x:v>
      </x:c>
      <x:c r="C89" t="str">
        <x:v>Not Started</x:v>
      </x:c>
      <x:c r="D89" s="12"/>
      <x:c r="E89" s="12"/>
      <x:c r="F89" s="12"/>
      <x:c r="G89" s="12"/>
      <x:c r="H89" s="12"/>
      <x:c r="I89" s="12"/>
      <x:c r="J89" s="14" t="str">
        <x:f>IFERROR(H89/I89,"")</x:f>
      </x:c>
      <x:c r="K89"/>
      <x:c r="L89"/>
      <x:c r="M89"/>
      <x:c r="N89"/>
      <x:c r="O89"/>
      <x:c r="P89"/>
      <x:c r="Q89" t="str">
        <x:f>IFERROR(O89/P89,"")</x:f>
      </x:c>
      <x:c r="R89"/>
      <x:c r="S89"/>
      <x:c r="T89"/>
      <x:c r="U89"/>
      <x:c r="V89" t="str">
        <x:f>IFERROR((T89-U89)/U89,"")</x:f>
      </x:c>
      <x:c r="W89"/>
      <x:c r="X89"/>
      <x:c r="Y89"/>
      <x:c r="Z89"/>
      <x:c r="AA89" t="str"/>
      <x:c r="AB89" t="str"/>
      <x:c r="AC89" t="str">
        <x:v>2026-06-15</x:v>
      </x:c>
    </x:row>
    <x:row r="90">
      <x:c r="A90" t="n">
        <x:v>89</x:v>
      </x:c>
      <x:c r="B90" t="str">
        <x:v>Exxaro Tiles</x:v>
      </x:c>
      <x:c r="C90" t="str">
        <x:v>Not Started</x:v>
      </x:c>
      <x:c r="D90" s="12"/>
      <x:c r="E90" s="12"/>
      <x:c r="F90" s="12"/>
      <x:c r="G90" s="12"/>
      <x:c r="H90" s="12"/>
      <x:c r="I90" s="12"/>
      <x:c r="J90" s="14" t="str">
        <x:f>IFERROR(H90/I90,"")</x:f>
      </x:c>
      <x:c r="K90"/>
      <x:c r="L90"/>
      <x:c r="M90"/>
      <x:c r="N90"/>
      <x:c r="O90"/>
      <x:c r="P90"/>
      <x:c r="Q90" t="str">
        <x:f>IFERROR(O90/P90,"")</x:f>
      </x:c>
      <x:c r="R90"/>
      <x:c r="S90"/>
      <x:c r="T90"/>
      <x:c r="U90"/>
      <x:c r="V90" t="str">
        <x:f>IFERROR((T90-U90)/U90,"")</x:f>
      </x:c>
      <x:c r="W90"/>
      <x:c r="X90"/>
      <x:c r="Y90"/>
      <x:c r="Z90"/>
      <x:c r="AA90" t="str"/>
      <x:c r="AB90" t="str"/>
      <x:c r="AC90" t="str">
        <x:v>2026-06-15</x:v>
      </x:c>
    </x:row>
    <x:row r="91">
      <x:c r="A91" t="n">
        <x:v>90</x:v>
      </x:c>
      <x:c r="B91" t="str">
        <x:v>Fabtech Technologies Ltd</x:v>
      </x:c>
      <x:c r="C91" t="str">
        <x:v>Not Started</x:v>
      </x:c>
      <x:c r="D91" s="12"/>
      <x:c r="E91" s="12"/>
      <x:c r="F91" s="12"/>
      <x:c r="G91" s="12"/>
      <x:c r="H91" s="12"/>
      <x:c r="I91" s="12"/>
      <x:c r="J91" s="14" t="str">
        <x:f>IFERROR(H91/I91,"")</x:f>
      </x:c>
      <x:c r="K91"/>
      <x:c r="L91"/>
      <x:c r="M91"/>
      <x:c r="N91"/>
      <x:c r="O91"/>
      <x:c r="P91"/>
      <x:c r="Q91" t="str">
        <x:f>IFERROR(O91/P91,"")</x:f>
      </x:c>
      <x:c r="R91"/>
      <x:c r="S91"/>
      <x:c r="T91"/>
      <x:c r="U91"/>
      <x:c r="V91" t="str">
        <x:f>IFERROR((T91-U91)/U91,"")</x:f>
      </x:c>
      <x:c r="W91"/>
      <x:c r="X91"/>
      <x:c r="Y91"/>
      <x:c r="Z91"/>
      <x:c r="AA91" t="str"/>
      <x:c r="AB91" t="str"/>
      <x:c r="AC91" t="str">
        <x:v>2026-06-15</x:v>
      </x:c>
    </x:row>
    <x:row r="92">
      <x:c r="A92" t="n">
        <x:v>91</x:v>
      </x:c>
      <x:c r="B92" t="str">
        <x:v>FedFina</x:v>
      </x:c>
      <x:c r="C92" t="str">
        <x:v>Not Started</x:v>
      </x:c>
      <x:c r="D92" s="12"/>
      <x:c r="E92" s="12"/>
      <x:c r="F92" s="12"/>
      <x:c r="G92" s="12"/>
      <x:c r="H92" s="12"/>
      <x:c r="I92" s="12"/>
      <x:c r="J92" s="14" t="str">
        <x:f>IFERROR(H92/I92,"")</x:f>
      </x:c>
      <x:c r="K92"/>
      <x:c r="L92"/>
      <x:c r="M92"/>
      <x:c r="N92"/>
      <x:c r="O92"/>
      <x:c r="P92"/>
      <x:c r="Q92" t="str">
        <x:f>IFERROR(O92/P92,"")</x:f>
      </x:c>
      <x:c r="R92"/>
      <x:c r="S92"/>
      <x:c r="T92"/>
      <x:c r="U92"/>
      <x:c r="V92" t="str">
        <x:f>IFERROR((T92-U92)/U92,"")</x:f>
      </x:c>
      <x:c r="W92"/>
      <x:c r="X92"/>
      <x:c r="Y92"/>
      <x:c r="Z92"/>
      <x:c r="AA92" t="str"/>
      <x:c r="AB92" t="str"/>
      <x:c r="AC92" t="str">
        <x:v>2026-06-15</x:v>
      </x:c>
    </x:row>
    <x:row r="93">
      <x:c r="A93" t="n">
        <x:v>92</x:v>
      </x:c>
      <x:c r="B93" t="str">
        <x:v>Fino Payments Bank</x:v>
      </x:c>
      <x:c r="C93" t="str">
        <x:v>Not Started</x:v>
      </x:c>
      <x:c r="D93" s="12"/>
      <x:c r="E93" s="12"/>
      <x:c r="F93" s="12"/>
      <x:c r="G93" s="12"/>
      <x:c r="H93" s="12"/>
      <x:c r="I93" s="12"/>
      <x:c r="J93" s="14" t="str">
        <x:f>IFERROR(H93/I93,"")</x:f>
      </x:c>
      <x:c r="K93"/>
      <x:c r="L93"/>
      <x:c r="M93"/>
      <x:c r="N93"/>
      <x:c r="O93"/>
      <x:c r="P93"/>
      <x:c r="Q93" t="str">
        <x:f>IFERROR(O93/P93,"")</x:f>
      </x:c>
      <x:c r="R93"/>
      <x:c r="S93"/>
      <x:c r="T93"/>
      <x:c r="U93"/>
      <x:c r="V93" t="str">
        <x:f>IFERROR((T93-U93)/U93,"")</x:f>
      </x:c>
      <x:c r="W93"/>
      <x:c r="X93"/>
      <x:c r="Y93"/>
      <x:c r="Z93"/>
      <x:c r="AA93" t="str"/>
      <x:c r="AB93" t="str"/>
      <x:c r="AC93" t="str">
        <x:v>2026-06-15</x:v>
      </x:c>
    </x:row>
    <x:row r="94">
      <x:c r="A94" t="n">
        <x:v>93</x:v>
      </x:c>
      <x:c r="B94" t="str">
        <x:v>Five-Star Business Finance</x:v>
      </x:c>
      <x:c r="C94" t="str">
        <x:v>Not Started</x:v>
      </x:c>
      <x:c r="D94" s="12"/>
      <x:c r="E94" s="12"/>
      <x:c r="F94" s="12"/>
      <x:c r="G94" s="12"/>
      <x:c r="H94" s="12"/>
      <x:c r="I94" s="12"/>
      <x:c r="J94" s="14" t="str">
        <x:f>IFERROR(H94/I94,"")</x:f>
      </x:c>
      <x:c r="K94"/>
      <x:c r="L94"/>
      <x:c r="M94"/>
      <x:c r="N94"/>
      <x:c r="O94"/>
      <x:c r="P94"/>
      <x:c r="Q94" t="str">
        <x:f>IFERROR(O94/P94,"")</x:f>
      </x:c>
      <x:c r="R94"/>
      <x:c r="S94"/>
      <x:c r="T94"/>
      <x:c r="U94"/>
      <x:c r="V94" t="str">
        <x:f>IFERROR((T94-U94)/U94,"")</x:f>
      </x:c>
      <x:c r="W94"/>
      <x:c r="X94"/>
      <x:c r="Y94"/>
      <x:c r="Z94"/>
      <x:c r="AA94" t="str"/>
      <x:c r="AB94" t="str"/>
      <x:c r="AC94" t="str">
        <x:v>2026-06-15</x:v>
      </x:c>
    </x:row>
    <x:row r="95">
      <x:c r="A95" t="n">
        <x:v>94</x:v>
      </x:c>
      <x:c r="B95" t="str">
        <x:v>Flair Writing Industries</x:v>
      </x:c>
      <x:c r="C95" t="str">
        <x:v>Not Started</x:v>
      </x:c>
      <x:c r="D95" s="12"/>
      <x:c r="E95" s="12"/>
      <x:c r="F95" s="12"/>
      <x:c r="G95" s="12"/>
      <x:c r="H95" s="12"/>
      <x:c r="I95" s="12"/>
      <x:c r="J95" s="14" t="str">
        <x:f>IFERROR(H95/I95,"")</x:f>
      </x:c>
      <x:c r="K95"/>
      <x:c r="L95"/>
      <x:c r="M95"/>
      <x:c r="N95"/>
      <x:c r="O95"/>
      <x:c r="P95"/>
      <x:c r="Q95" t="str">
        <x:f>IFERROR(O95/P95,"")</x:f>
      </x:c>
      <x:c r="R95"/>
      <x:c r="S95"/>
      <x:c r="T95"/>
      <x:c r="U95"/>
      <x:c r="V95" t="str">
        <x:f>IFERROR((T95-U95)/U95,"")</x:f>
      </x:c>
      <x:c r="W95"/>
      <x:c r="X95"/>
      <x:c r="Y95"/>
      <x:c r="Z95"/>
      <x:c r="AA95" t="str"/>
      <x:c r="AB95" t="str"/>
      <x:c r="AC95" t="str">
        <x:v>2026-06-15</x:v>
      </x:c>
    </x:row>
    <x:row r="96">
      <x:c r="A96" t="n">
        <x:v>95</x:v>
      </x:c>
      <x:c r="B96" t="str">
        <x:v>FirstCry</x:v>
      </x:c>
      <x:c r="C96" t="str">
        <x:v>Not Started</x:v>
      </x:c>
      <x:c r="D96" s="12"/>
      <x:c r="E96" s="12"/>
      <x:c r="F96" s="12"/>
      <x:c r="G96" s="12"/>
      <x:c r="H96" s="12"/>
      <x:c r="I96" s="12"/>
      <x:c r="J96" s="14" t="str">
        <x:f>IFERROR(H96/I96,"")</x:f>
      </x:c>
      <x:c r="K96"/>
      <x:c r="L96"/>
      <x:c r="M96"/>
      <x:c r="N96"/>
      <x:c r="O96"/>
      <x:c r="P96"/>
      <x:c r="Q96" t="str">
        <x:f>IFERROR(O96/P96,"")</x:f>
      </x:c>
      <x:c r="R96"/>
      <x:c r="S96"/>
      <x:c r="T96"/>
      <x:c r="U96"/>
      <x:c r="V96" t="str">
        <x:f>IFERROR((T96-U96)/U96,"")</x:f>
      </x:c>
      <x:c r="W96"/>
      <x:c r="X96"/>
      <x:c r="Y96"/>
      <x:c r="Z96"/>
      <x:c r="AA96" t="str"/>
      <x:c r="AB96" t="str"/>
      <x:c r="AC96" t="str">
        <x:v>2026-06-15</x:v>
      </x:c>
    </x:row>
    <x:row r="97">
      <x:c r="A97" t="n">
        <x:v>96</x:v>
      </x:c>
      <x:c r="B97" t="str">
        <x:v>Fractal Analytics Ltd</x:v>
      </x:c>
      <x:c r="C97" t="str">
        <x:v>Not Started</x:v>
      </x:c>
      <x:c r="D97" s="12"/>
      <x:c r="E97" s="12"/>
      <x:c r="F97" s="12"/>
      <x:c r="G97" s="12"/>
      <x:c r="H97" s="12"/>
      <x:c r="I97" s="12"/>
      <x:c r="J97" s="14" t="str">
        <x:f>IFERROR(H97/I97,"")</x:f>
      </x:c>
      <x:c r="K97"/>
      <x:c r="L97"/>
      <x:c r="M97"/>
      <x:c r="N97"/>
      <x:c r="O97"/>
      <x:c r="P97"/>
      <x:c r="Q97" t="str">
        <x:f>IFERROR(O97/P97,"")</x:f>
      </x:c>
      <x:c r="R97"/>
      <x:c r="S97"/>
      <x:c r="T97"/>
      <x:c r="U97"/>
      <x:c r="V97" t="str">
        <x:f>IFERROR((T97-U97)/U97,"")</x:f>
      </x:c>
      <x:c r="W97"/>
      <x:c r="X97"/>
      <x:c r="Y97"/>
      <x:c r="Z97"/>
      <x:c r="AA97" t="str"/>
      <x:c r="AB97" t="str"/>
      <x:c r="AC97" t="str">
        <x:v>2026-06-15</x:v>
      </x:c>
    </x:row>
    <x:row r="98">
      <x:c r="A98" t="n">
        <x:v>97</x:v>
      </x:c>
      <x:c r="B98" t="str">
        <x:v>FSN E-Commerce Ventures (Nykaa)</x:v>
      </x:c>
      <x:c r="C98" t="str">
        <x:v>Not Started</x:v>
      </x:c>
      <x:c r="D98" s="12"/>
      <x:c r="E98" s="12"/>
      <x:c r="F98" s="12"/>
      <x:c r="G98" s="12"/>
      <x:c r="H98" s="12"/>
      <x:c r="I98" s="12"/>
      <x:c r="J98" s="14" t="str">
        <x:f>IFERROR(H98/I98,"")</x:f>
      </x:c>
      <x:c r="K98"/>
      <x:c r="L98"/>
      <x:c r="M98"/>
      <x:c r="N98"/>
      <x:c r="O98"/>
      <x:c r="P98"/>
      <x:c r="Q98" t="str">
        <x:f>IFERROR(O98/P98,"")</x:f>
      </x:c>
      <x:c r="R98"/>
      <x:c r="S98"/>
      <x:c r="T98"/>
      <x:c r="U98"/>
      <x:c r="V98" t="str">
        <x:f>IFERROR((T98-U98)/U98,"")</x:f>
      </x:c>
      <x:c r="W98"/>
      <x:c r="X98"/>
      <x:c r="Y98"/>
      <x:c r="Z98"/>
      <x:c r="AA98" t="str"/>
      <x:c r="AB98" t="str"/>
      <x:c r="AC98" t="str">
        <x:v>2026-06-15</x:v>
      </x:c>
    </x:row>
    <x:row r="99">
      <x:c r="A99" t="n">
        <x:v>98</x:v>
      </x:c>
      <x:c r="B99" t="str">
        <x:v>Fujiyama Power Systems Ltd</x:v>
      </x:c>
      <x:c r="C99" t="str">
        <x:v>Not Started</x:v>
      </x:c>
      <x:c r="D99" s="12"/>
      <x:c r="E99" s="12"/>
      <x:c r="F99" s="12"/>
      <x:c r="G99" s="12"/>
      <x:c r="H99" s="12"/>
      <x:c r="I99" s="12"/>
      <x:c r="J99" s="14" t="str">
        <x:f>IFERROR(H99/I99,"")</x:f>
      </x:c>
      <x:c r="K99"/>
      <x:c r="L99"/>
      <x:c r="M99"/>
      <x:c r="N99"/>
      <x:c r="O99"/>
      <x:c r="P99"/>
      <x:c r="Q99" t="str">
        <x:f>IFERROR(O99/P99,"")</x:f>
      </x:c>
      <x:c r="R99"/>
      <x:c r="S99"/>
      <x:c r="T99"/>
      <x:c r="U99"/>
      <x:c r="V99" t="str">
        <x:f>IFERROR((T99-U99)/U99,"")</x:f>
      </x:c>
      <x:c r="W99"/>
      <x:c r="X99"/>
      <x:c r="Y99"/>
      <x:c r="Z99"/>
      <x:c r="AA99" t="str"/>
      <x:c r="AB99" t="str"/>
      <x:c r="AC99" t="str">
        <x:v>2026-06-15</x:v>
      </x:c>
    </x:row>
    <x:row r="100">
      <x:c r="A100" t="n">
        <x:v>99</x:v>
      </x:c>
      <x:c r="B100" t="str">
        <x:v>Fusion Microfinance</x:v>
      </x:c>
      <x:c r="C100" t="str">
        <x:v>Not Started</x:v>
      </x:c>
      <x:c r="D100" s="12"/>
      <x:c r="E100" s="12"/>
      <x:c r="F100" s="12"/>
      <x:c r="G100" s="12"/>
      <x:c r="H100" s="12"/>
      <x:c r="I100" s="12"/>
      <x:c r="J100" s="14" t="str">
        <x:f>IFERROR(H100/I100,"")</x:f>
      </x:c>
      <x:c r="K100"/>
      <x:c r="L100"/>
      <x:c r="M100"/>
      <x:c r="N100"/>
      <x:c r="O100"/>
      <x:c r="P100"/>
      <x:c r="Q100" t="str">
        <x:f>IFERROR(O100/P100,"")</x:f>
      </x:c>
      <x:c r="R100"/>
      <x:c r="S100"/>
      <x:c r="T100"/>
      <x:c r="U100"/>
      <x:c r="V100" t="str">
        <x:f>IFERROR((T100-U100)/U100,"")</x:f>
      </x:c>
      <x:c r="W100"/>
      <x:c r="X100"/>
      <x:c r="Y100"/>
      <x:c r="Z100"/>
      <x:c r="AA100" t="str"/>
      <x:c r="AB100" t="str"/>
      <x:c r="AC100" t="str">
        <x:v>2026-06-15</x:v>
      </x:c>
    </x:row>
    <x:row r="101">
      <x:c r="A101" t="n">
        <x:v>100</x:v>
      </x:c>
      <x:c r="B101" t="str">
        <x:v>G R Infraprojects</x:v>
      </x:c>
      <x:c r="C101" t="str">
        <x:v>Not Started</x:v>
      </x:c>
      <x:c r="D101" s="12"/>
      <x:c r="E101" s="12"/>
      <x:c r="F101" s="12"/>
      <x:c r="G101" s="12"/>
      <x:c r="H101" s="12"/>
      <x:c r="I101" s="12"/>
      <x:c r="J101" s="14" t="str">
        <x:f>IFERROR(H101/I101,"")</x:f>
      </x:c>
      <x:c r="K101"/>
      <x:c r="L101"/>
      <x:c r="M101"/>
      <x:c r="N101"/>
      <x:c r="O101"/>
      <x:c r="P101"/>
      <x:c r="Q101" t="str">
        <x:f>IFERROR(O101/P101,"")</x:f>
      </x:c>
      <x:c r="R101"/>
      <x:c r="S101"/>
      <x:c r="T101"/>
      <x:c r="U101"/>
      <x:c r="V101" t="str">
        <x:f>IFERROR((T101-U101)/U101,"")</x:f>
      </x:c>
      <x:c r="W101"/>
      <x:c r="X101"/>
      <x:c r="Y101"/>
      <x:c r="Z101"/>
      <x:c r="AA101" t="str"/>
      <x:c r="AB101" t="str"/>
      <x:c r="AC101" t="str">
        <x:v>2026-06-15</x:v>
      </x:c>
    </x:row>
    <x:row r="102">
      <x:c r="A102" t="n">
        <x:v>101</x:v>
      </x:c>
      <x:c r="B102" t="str">
        <x:v>GK Energy Ltd</x:v>
      </x:c>
      <x:c r="C102" t="str">
        <x:v>Not Started</x:v>
      </x:c>
      <x:c r="D102" s="12"/>
      <x:c r="E102" s="12"/>
      <x:c r="F102" s="12"/>
      <x:c r="G102" s="12"/>
      <x:c r="H102" s="12"/>
      <x:c r="I102" s="12"/>
      <x:c r="J102" s="14" t="str">
        <x:f>IFERROR(H102/I102,"")</x:f>
      </x:c>
      <x:c r="K102"/>
      <x:c r="L102"/>
      <x:c r="M102"/>
      <x:c r="N102"/>
      <x:c r="O102"/>
      <x:c r="P102"/>
      <x:c r="Q102" t="str">
        <x:f>IFERROR(O102/P102,"")</x:f>
      </x:c>
      <x:c r="R102"/>
      <x:c r="S102"/>
      <x:c r="T102"/>
      <x:c r="U102"/>
      <x:c r="V102" t="str">
        <x:f>IFERROR((T102-U102)/U102,"")</x:f>
      </x:c>
      <x:c r="W102"/>
      <x:c r="X102"/>
      <x:c r="Y102"/>
      <x:c r="Z102"/>
      <x:c r="AA102" t="str"/>
      <x:c r="AB102" t="str"/>
      <x:c r="AC102" t="str">
        <x:v>2026-06-15</x:v>
      </x:c>
    </x:row>
    <x:row r="103">
      <x:c r="A103" t="n">
        <x:v>102</x:v>
      </x:c>
      <x:c r="B103" t="str">
        <x:v>GNG Electronics Ltd</x:v>
      </x:c>
      <x:c r="C103" t="str">
        <x:v>Not Started</x:v>
      </x:c>
      <x:c r="D103" s="12"/>
      <x:c r="E103" s="12"/>
      <x:c r="F103" s="12"/>
      <x:c r="G103" s="12"/>
      <x:c r="H103" s="12"/>
      <x:c r="I103" s="12"/>
      <x:c r="J103" s="14" t="str">
        <x:f>IFERROR(H103/I103,"")</x:f>
      </x:c>
      <x:c r="K103"/>
      <x:c r="L103"/>
      <x:c r="M103"/>
      <x:c r="N103"/>
      <x:c r="O103"/>
      <x:c r="P103"/>
      <x:c r="Q103" t="str">
        <x:f>IFERROR(O103/P103,"")</x:f>
      </x:c>
      <x:c r="R103"/>
      <x:c r="S103"/>
      <x:c r="T103"/>
      <x:c r="U103"/>
      <x:c r="V103" t="str">
        <x:f>IFERROR((T103-U103)/U103,"")</x:f>
      </x:c>
      <x:c r="W103"/>
      <x:c r="X103"/>
      <x:c r="Y103"/>
      <x:c r="Z103"/>
      <x:c r="AA103" t="str"/>
      <x:c r="AB103" t="str"/>
      <x:c r="AC103" t="str">
        <x:v>2026-06-15</x:v>
      </x:c>
    </x:row>
    <x:row r="104">
      <x:c r="A104" t="n">
        <x:v>103</x:v>
      </x:c>
      <x:c r="B104" t="str">
        <x:v>GPT Healthcare</x:v>
      </x:c>
      <x:c r="C104" t="str">
        <x:v>Not Started</x:v>
      </x:c>
      <x:c r="D104" s="12"/>
      <x:c r="E104" s="12"/>
      <x:c r="F104" s="12"/>
      <x:c r="G104" s="12"/>
      <x:c r="H104" s="12"/>
      <x:c r="I104" s="12"/>
      <x:c r="J104" s="14" t="str">
        <x:f>IFERROR(H104/I104,"")</x:f>
      </x:c>
      <x:c r="K104"/>
      <x:c r="L104"/>
      <x:c r="M104"/>
      <x:c r="N104"/>
      <x:c r="O104"/>
      <x:c r="P104"/>
      <x:c r="Q104" t="str">
        <x:f>IFERROR(O104/P104,"")</x:f>
      </x:c>
      <x:c r="R104"/>
      <x:c r="S104"/>
      <x:c r="T104"/>
      <x:c r="U104"/>
      <x:c r="V104" t="str">
        <x:f>IFERROR((T104-U104)/U104,"")</x:f>
      </x:c>
      <x:c r="W104"/>
      <x:c r="X104"/>
      <x:c r="Y104"/>
      <x:c r="Z104"/>
      <x:c r="AA104" t="str"/>
      <x:c r="AB104" t="str"/>
      <x:c r="AC104" t="str">
        <x:v>2026-06-15</x:v>
      </x:c>
    </x:row>
    <x:row r="105">
      <x:c r="A105" t="n">
        <x:v>104</x:v>
      </x:c>
      <x:c r="B105" t="str">
        <x:v>GSP Crop Science Ltd</x:v>
      </x:c>
      <x:c r="C105" t="str">
        <x:v>Not Started</x:v>
      </x:c>
      <x:c r="D105" s="12"/>
      <x:c r="E105" s="12"/>
      <x:c r="F105" s="12"/>
      <x:c r="G105" s="12"/>
      <x:c r="H105" s="12"/>
      <x:c r="I105" s="12"/>
      <x:c r="J105" s="14" t="str">
        <x:f>IFERROR(H105/I105,"")</x:f>
      </x:c>
      <x:c r="K105"/>
      <x:c r="L105"/>
      <x:c r="M105"/>
      <x:c r="N105"/>
      <x:c r="O105"/>
      <x:c r="P105"/>
      <x:c r="Q105" t="str">
        <x:f>IFERROR(O105/P105,"")</x:f>
      </x:c>
      <x:c r="R105"/>
      <x:c r="S105"/>
      <x:c r="T105"/>
      <x:c r="U105"/>
      <x:c r="V105" t="str">
        <x:f>IFERROR((T105-U105)/U105,"")</x:f>
      </x:c>
      <x:c r="W105"/>
      <x:c r="X105"/>
      <x:c r="Y105"/>
      <x:c r="Z105"/>
      <x:c r="AA105" t="str"/>
      <x:c r="AB105" t="str"/>
      <x:c r="AC105" t="str">
        <x:v>2026-06-15</x:v>
      </x:c>
    </x:row>
    <x:row r="106">
      <x:c r="A106" t="n">
        <x:v>105</x:v>
      </x:c>
      <x:c r="B106" t="str">
        <x:v>Gandhar Oil</x:v>
      </x:c>
      <x:c r="C106" t="str">
        <x:v>Not Started</x:v>
      </x:c>
      <x:c r="D106" s="12"/>
      <x:c r="E106" s="12"/>
      <x:c r="F106" s="12"/>
      <x:c r="G106" s="12"/>
      <x:c r="H106" s="12"/>
      <x:c r="I106" s="12"/>
      <x:c r="J106" s="14" t="str">
        <x:f>IFERROR(H106/I106,"")</x:f>
      </x:c>
      <x:c r="K106"/>
      <x:c r="L106"/>
      <x:c r="M106"/>
      <x:c r="N106"/>
      <x:c r="O106"/>
      <x:c r="P106"/>
      <x:c r="Q106" t="str">
        <x:f>IFERROR(O106/P106,"")</x:f>
      </x:c>
      <x:c r="R106"/>
      <x:c r="S106"/>
      <x:c r="T106"/>
      <x:c r="U106"/>
      <x:c r="V106" t="str">
        <x:f>IFERROR((T106-U106)/U106,"")</x:f>
      </x:c>
      <x:c r="W106"/>
      <x:c r="X106"/>
      <x:c r="Y106"/>
      <x:c r="Z106"/>
      <x:c r="AA106" t="str"/>
      <x:c r="AB106" t="str"/>
      <x:c r="AC106" t="str">
        <x:v>2026-06-15</x:v>
      </x:c>
    </x:row>
    <x:row r="107">
      <x:c r="A107" t="n">
        <x:v>106</x:v>
      </x:c>
      <x:c r="B107" t="str">
        <x:v>Ganesh Consumer Products Ltd</x:v>
      </x:c>
      <x:c r="C107" t="str">
        <x:v>Not Started</x:v>
      </x:c>
      <x:c r="D107" s="12"/>
      <x:c r="E107" s="12"/>
      <x:c r="F107" s="12"/>
      <x:c r="G107" s="12"/>
      <x:c r="H107" s="12"/>
      <x:c r="I107" s="12"/>
      <x:c r="J107" s="14" t="str">
        <x:f>IFERROR(H107/I107,"")</x:f>
      </x:c>
      <x:c r="K107"/>
      <x:c r="L107"/>
      <x:c r="M107"/>
      <x:c r="N107"/>
      <x:c r="O107"/>
      <x:c r="P107"/>
      <x:c r="Q107" t="str">
        <x:f>IFERROR(O107/P107,"")</x:f>
      </x:c>
      <x:c r="R107"/>
      <x:c r="S107"/>
      <x:c r="T107"/>
      <x:c r="U107"/>
      <x:c r="V107" t="str">
        <x:f>IFERROR((T107-U107)/U107,"")</x:f>
      </x:c>
      <x:c r="W107"/>
      <x:c r="X107"/>
      <x:c r="Y107"/>
      <x:c r="Z107"/>
      <x:c r="AA107" t="str"/>
      <x:c r="AB107" t="str"/>
      <x:c r="AC107" t="str">
        <x:v>2026-06-15</x:v>
      </x:c>
    </x:row>
    <x:row r="108">
      <x:c r="A108" t="n">
        <x:v>107</x:v>
      </x:c>
      <x:c r="B108" t="str">
        <x:v>Gaudium IVF and Women Health Ltd</x:v>
      </x:c>
      <x:c r="C108" t="str">
        <x:v>Not Started</x:v>
      </x:c>
      <x:c r="D108" s="12"/>
      <x:c r="E108" s="12"/>
      <x:c r="F108" s="12"/>
      <x:c r="G108" s="12"/>
      <x:c r="H108" s="12"/>
      <x:c r="I108" s="12"/>
      <x:c r="J108" s="14" t="str">
        <x:f>IFERROR(H108/I108,"")</x:f>
      </x:c>
      <x:c r="K108"/>
      <x:c r="L108"/>
      <x:c r="M108"/>
      <x:c r="N108"/>
      <x:c r="O108"/>
      <x:c r="P108"/>
      <x:c r="Q108" t="str">
        <x:f>IFERROR(O108/P108,"")</x:f>
      </x:c>
      <x:c r="R108"/>
      <x:c r="S108"/>
      <x:c r="T108"/>
      <x:c r="U108"/>
      <x:c r="V108" t="str">
        <x:f>IFERROR((T108-U108)/U108,"")</x:f>
      </x:c>
      <x:c r="W108"/>
      <x:c r="X108"/>
      <x:c r="Y108"/>
      <x:c r="Z108"/>
      <x:c r="AA108" t="str"/>
      <x:c r="AB108" t="str"/>
      <x:c r="AC108" t="str">
        <x:v>2026-06-15</x:v>
      </x:c>
    </x:row>
    <x:row r="109">
      <x:c r="A109" t="n">
        <x:v>108</x:v>
      </x:c>
      <x:c r="B109" t="str">
        <x:v>Gem Aromatics Ltd</x:v>
      </x:c>
      <x:c r="C109" t="str">
        <x:v>Not Started</x:v>
      </x:c>
      <x:c r="D109" s="12"/>
      <x:c r="E109" s="12"/>
      <x:c r="F109" s="12"/>
      <x:c r="G109" s="12"/>
      <x:c r="H109" s="12"/>
      <x:c r="I109" s="12"/>
      <x:c r="J109" s="14" t="str">
        <x:f>IFERROR(H109/I109,"")</x:f>
      </x:c>
      <x:c r="K109"/>
      <x:c r="L109"/>
      <x:c r="M109"/>
      <x:c r="N109"/>
      <x:c r="O109"/>
      <x:c r="P109"/>
      <x:c r="Q109" t="str">
        <x:f>IFERROR(O109/P109,"")</x:f>
      </x:c>
      <x:c r="R109"/>
      <x:c r="S109"/>
      <x:c r="T109"/>
      <x:c r="U109"/>
      <x:c r="V109" t="str">
        <x:f>IFERROR((T109-U109)/U109,"")</x:f>
      </x:c>
      <x:c r="W109"/>
      <x:c r="X109"/>
      <x:c r="Y109"/>
      <x:c r="Z109"/>
      <x:c r="AA109" t="str"/>
      <x:c r="AB109" t="str"/>
      <x:c r="AC109" t="str">
        <x:v>2026-06-15</x:v>
      </x:c>
    </x:row>
    <x:row r="110">
      <x:c r="A110" t="n">
        <x:v>109</x:v>
      </x:c>
      <x:c r="B110" t="str">
        <x:v>Gland Pharma</x:v>
      </x:c>
      <x:c r="C110" t="str">
        <x:v>Not Started</x:v>
      </x:c>
      <x:c r="D110" s="12"/>
      <x:c r="E110" s="12"/>
      <x:c r="F110" s="12"/>
      <x:c r="G110" s="12"/>
      <x:c r="H110" s="12"/>
      <x:c r="I110" s="12"/>
      <x:c r="J110" s="14" t="str">
        <x:f>IFERROR(H110/I110,"")</x:f>
      </x:c>
      <x:c r="K110"/>
      <x:c r="L110"/>
      <x:c r="M110"/>
      <x:c r="N110"/>
      <x:c r="O110"/>
      <x:c r="P110"/>
      <x:c r="Q110" t="str">
        <x:f>IFERROR(O110/P110,"")</x:f>
      </x:c>
      <x:c r="R110"/>
      <x:c r="S110"/>
      <x:c r="T110"/>
      <x:c r="U110"/>
      <x:c r="V110" t="str">
        <x:f>IFERROR((T110-U110)/U110,"")</x:f>
      </x:c>
      <x:c r="W110"/>
      <x:c r="X110"/>
      <x:c r="Y110"/>
      <x:c r="Z110"/>
      <x:c r="AA110" t="str"/>
      <x:c r="AB110" t="str"/>
      <x:c r="AC110" t="str">
        <x:v>2026-06-15</x:v>
      </x:c>
    </x:row>
    <x:row r="111">
      <x:c r="A111" t="n">
        <x:v>110</x:v>
      </x:c>
      <x:c r="B111" t="str">
        <x:v>Global Health (Medanta)</x:v>
      </x:c>
      <x:c r="C111" t="str">
        <x:v>Not Started</x:v>
      </x:c>
      <x:c r="D111" s="12"/>
      <x:c r="E111" s="12"/>
      <x:c r="F111" s="12"/>
      <x:c r="G111" s="12"/>
      <x:c r="H111" s="12"/>
      <x:c r="I111" s="12"/>
      <x:c r="J111" s="14" t="str">
        <x:f>IFERROR(H111/I111,"")</x:f>
      </x:c>
      <x:c r="K111"/>
      <x:c r="L111"/>
      <x:c r="M111"/>
      <x:c r="N111"/>
      <x:c r="O111"/>
      <x:c r="P111"/>
      <x:c r="Q111" t="str">
        <x:f>IFERROR(O111/P111,"")</x:f>
      </x:c>
      <x:c r="R111"/>
      <x:c r="S111"/>
      <x:c r="T111"/>
      <x:c r="U111"/>
      <x:c r="V111" t="str">
        <x:f>IFERROR((T111-U111)/U111,"")</x:f>
      </x:c>
      <x:c r="W111"/>
      <x:c r="X111"/>
      <x:c r="Y111"/>
      <x:c r="Z111"/>
      <x:c r="AA111" t="str"/>
      <x:c r="AB111" t="str"/>
      <x:c r="AC111" t="str">
        <x:v>2026-06-15</x:v>
      </x:c>
    </x:row>
    <x:row r="112">
      <x:c r="A112" t="n">
        <x:v>111</x:v>
      </x:c>
      <x:c r="B112" t="str">
        <x:v>Global Surfaces</x:v>
      </x:c>
      <x:c r="C112" t="str">
        <x:v>Not Started</x:v>
      </x:c>
      <x:c r="D112" s="12"/>
      <x:c r="E112" s="12"/>
      <x:c r="F112" s="12"/>
      <x:c r="G112" s="12"/>
      <x:c r="H112" s="12"/>
      <x:c r="I112" s="12"/>
      <x:c r="J112" s="14" t="str">
        <x:f>IFERROR(H112/I112,"")</x:f>
      </x:c>
      <x:c r="K112"/>
      <x:c r="L112"/>
      <x:c r="M112"/>
      <x:c r="N112"/>
      <x:c r="O112"/>
      <x:c r="P112"/>
      <x:c r="Q112" t="str">
        <x:f>IFERROR(O112/P112,"")</x:f>
      </x:c>
      <x:c r="R112"/>
      <x:c r="S112"/>
      <x:c r="T112"/>
      <x:c r="U112"/>
      <x:c r="V112" t="str">
        <x:f>IFERROR((T112-U112)/U112,"")</x:f>
      </x:c>
      <x:c r="W112"/>
      <x:c r="X112"/>
      <x:c r="Y112"/>
      <x:c r="Z112"/>
      <x:c r="AA112" t="str"/>
      <x:c r="AB112" t="str"/>
      <x:c r="AC112" t="str">
        <x:v>2026-06-15</x:v>
      </x:c>
    </x:row>
    <x:row r="113">
      <x:c r="A113" t="n">
        <x:v>112</x:v>
      </x:c>
      <x:c r="B113" t="str">
        <x:v>Glenmark Life Sciences</x:v>
      </x:c>
      <x:c r="C113" t="str">
        <x:v>Not Started</x:v>
      </x:c>
      <x:c r="D113" s="12"/>
      <x:c r="E113" s="12"/>
      <x:c r="F113" s="12"/>
      <x:c r="G113" s="12"/>
      <x:c r="H113" s="12"/>
      <x:c r="I113" s="12"/>
      <x:c r="J113" s="14" t="str">
        <x:f>IFERROR(H113/I113,"")</x:f>
      </x:c>
      <x:c r="K113"/>
      <x:c r="L113"/>
      <x:c r="M113"/>
      <x:c r="N113"/>
      <x:c r="O113"/>
      <x:c r="P113"/>
      <x:c r="Q113" t="str">
        <x:f>IFERROR(O113/P113,"")</x:f>
      </x:c>
      <x:c r="R113"/>
      <x:c r="S113"/>
      <x:c r="T113"/>
      <x:c r="U113"/>
      <x:c r="V113" t="str">
        <x:f>IFERROR((T113-U113)/U113,"")</x:f>
      </x:c>
      <x:c r="W113"/>
      <x:c r="X113"/>
      <x:c r="Y113"/>
      <x:c r="Z113"/>
      <x:c r="AA113" t="str"/>
      <x:c r="AB113" t="str"/>
      <x:c r="AC113" t="str">
        <x:v>2026-06-15</x:v>
      </x:c>
    </x:row>
    <x:row r="114">
      <x:c r="A114" t="n">
        <x:v>113</x:v>
      </x:c>
      <x:c r="B114" t="str">
        <x:v>Globe Civil Projects Limited</x:v>
      </x:c>
      <x:c r="C114" t="str">
        <x:v>Not Started</x:v>
      </x:c>
      <x:c r="D114" s="12"/>
      <x:c r="E114" s="12"/>
      <x:c r="F114" s="12"/>
      <x:c r="G114" s="12"/>
      <x:c r="H114" s="12"/>
      <x:c r="I114" s="12"/>
      <x:c r="J114" s="14" t="str">
        <x:f>IFERROR(H114/I114,"")</x:f>
      </x:c>
      <x:c r="K114"/>
      <x:c r="L114"/>
      <x:c r="M114"/>
      <x:c r="N114"/>
      <x:c r="O114"/>
      <x:c r="P114"/>
      <x:c r="Q114" t="str">
        <x:f>IFERROR(O114/P114,"")</x:f>
      </x:c>
      <x:c r="R114"/>
      <x:c r="S114"/>
      <x:c r="T114"/>
      <x:c r="U114"/>
      <x:c r="V114" t="str">
        <x:f>IFERROR((T114-U114)/U114,"")</x:f>
      </x:c>
      <x:c r="W114"/>
      <x:c r="X114"/>
      <x:c r="Y114"/>
      <x:c r="Z114"/>
      <x:c r="AA114" t="str"/>
      <x:c r="AB114" t="str"/>
      <x:c r="AC114" t="str">
        <x:v>2026-06-15</x:v>
      </x:c>
    </x:row>
    <x:row r="115">
      <x:c r="A115" t="n">
        <x:v>114</x:v>
      </x:c>
      <x:c r="B115" t="str">
        <x:v>Glottis Ltd</x:v>
      </x:c>
      <x:c r="C115" t="str">
        <x:v>Not Started</x:v>
      </x:c>
      <x:c r="D115" s="12"/>
      <x:c r="E115" s="12"/>
      <x:c r="F115" s="12"/>
      <x:c r="G115" s="12"/>
      <x:c r="H115" s="12"/>
      <x:c r="I115" s="12"/>
      <x:c r="J115" s="14" t="str">
        <x:f>IFERROR(H115/I115,"")</x:f>
      </x:c>
      <x:c r="K115"/>
      <x:c r="L115"/>
      <x:c r="M115"/>
      <x:c r="N115"/>
      <x:c r="O115"/>
      <x:c r="P115"/>
      <x:c r="Q115" t="str">
        <x:f>IFERROR(O115/P115,"")</x:f>
      </x:c>
      <x:c r="R115"/>
      <x:c r="S115"/>
      <x:c r="T115"/>
      <x:c r="U115"/>
      <x:c r="V115" t="str">
        <x:f>IFERROR((T115-U115)/U115,"")</x:f>
      </x:c>
      <x:c r="W115"/>
      <x:c r="X115"/>
      <x:c r="Y115"/>
      <x:c r="Z115"/>
      <x:c r="AA115" t="str"/>
      <x:c r="AB115" t="str"/>
      <x:c r="AC115" t="str">
        <x:v>2026-06-15</x:v>
      </x:c>
    </x:row>
    <x:row r="116">
      <x:c r="A116" t="n">
        <x:v>115</x:v>
      </x:c>
      <x:c r="B116" t="str">
        <x:v>Go Fashion (India)</x:v>
      </x:c>
      <x:c r="C116" t="str">
        <x:v>Not Started</x:v>
      </x:c>
      <x:c r="D116" s="12"/>
      <x:c r="E116" s="12"/>
      <x:c r="F116" s="12"/>
      <x:c r="G116" s="12"/>
      <x:c r="H116" s="12"/>
      <x:c r="I116" s="12"/>
      <x:c r="J116" s="14" t="str">
        <x:f>IFERROR(H116/I116,"")</x:f>
      </x:c>
      <x:c r="K116"/>
      <x:c r="L116"/>
      <x:c r="M116"/>
      <x:c r="N116"/>
      <x:c r="O116"/>
      <x:c r="P116"/>
      <x:c r="Q116" t="str">
        <x:f>IFERROR(O116/P116,"")</x:f>
      </x:c>
      <x:c r="R116"/>
      <x:c r="S116"/>
      <x:c r="T116"/>
      <x:c r="U116"/>
      <x:c r="V116" t="str">
        <x:f>IFERROR((T116-U116)/U116,"")</x:f>
      </x:c>
      <x:c r="W116"/>
      <x:c r="X116"/>
      <x:c r="Y116"/>
      <x:c r="Z116"/>
      <x:c r="AA116" t="str"/>
      <x:c r="AB116" t="str"/>
      <x:c r="AC116" t="str">
        <x:v>2026-06-15</x:v>
      </x:c>
    </x:row>
    <x:row r="117">
      <x:c r="A117" t="n">
        <x:v>116</x:v>
      </x:c>
      <x:c r="B117" t="str">
        <x:v>Gujarat Kidney and Super Speciality Ltd</x:v>
      </x:c>
      <x:c r="C117" t="str">
        <x:v>Not Started</x:v>
      </x:c>
      <x:c r="D117" s="12"/>
      <x:c r="E117" s="12"/>
      <x:c r="F117" s="12"/>
      <x:c r="G117" s="12"/>
      <x:c r="H117" s="12"/>
      <x:c r="I117" s="12"/>
      <x:c r="J117" s="14" t="str">
        <x:f>IFERROR(H117/I117,"")</x:f>
      </x:c>
      <x:c r="K117"/>
      <x:c r="L117"/>
      <x:c r="M117"/>
      <x:c r="N117"/>
      <x:c r="O117"/>
      <x:c r="P117"/>
      <x:c r="Q117" t="str">
        <x:f>IFERROR(O117/P117,"")</x:f>
      </x:c>
      <x:c r="R117"/>
      <x:c r="S117"/>
      <x:c r="T117"/>
      <x:c r="U117"/>
      <x:c r="V117" t="str">
        <x:f>IFERROR((T117-U117)/U117,"")</x:f>
      </x:c>
      <x:c r="W117"/>
      <x:c r="X117"/>
      <x:c r="Y117"/>
      <x:c r="Z117"/>
      <x:c r="AA117" t="str"/>
      <x:c r="AB117" t="str"/>
      <x:c r="AC117" t="str">
        <x:v>2026-06-15</x:v>
      </x:c>
    </x:row>
    <x:row r="118">
      <x:c r="A118" t="n">
        <x:v>117</x:v>
      </x:c>
      <x:c r="B118" t="str">
        <x:v>HDB Financial Services Limited</x:v>
      </x:c>
      <x:c r="C118" t="str">
        <x:v>Not Started</x:v>
      </x:c>
      <x:c r="D118" s="12"/>
      <x:c r="E118" s="12"/>
      <x:c r="F118" s="12"/>
      <x:c r="G118" s="12"/>
      <x:c r="H118" s="12"/>
      <x:c r="I118" s="12"/>
      <x:c r="J118" s="14" t="str">
        <x:f>IFERROR(H118/I118,"")</x:f>
      </x:c>
      <x:c r="K118"/>
      <x:c r="L118"/>
      <x:c r="M118"/>
      <x:c r="N118"/>
      <x:c r="O118"/>
      <x:c r="P118"/>
      <x:c r="Q118" t="str">
        <x:f>IFERROR(O118/P118,"")</x:f>
      </x:c>
      <x:c r="R118"/>
      <x:c r="S118"/>
      <x:c r="T118"/>
      <x:c r="U118"/>
      <x:c r="V118" t="str">
        <x:f>IFERROR((T118-U118)/U118,"")</x:f>
      </x:c>
      <x:c r="W118"/>
      <x:c r="X118"/>
      <x:c r="Y118"/>
      <x:c r="Z118"/>
      <x:c r="AA118" t="str"/>
      <x:c r="AB118" t="str"/>
      <x:c r="AC118" t="str">
        <x:v>2026-06-15</x:v>
      </x:c>
    </x:row>
    <x:row r="119">
      <x:c r="A119" t="n">
        <x:v>118</x:v>
      </x:c>
      <x:c r="B119" t="str">
        <x:v>HMA Agro</x:v>
      </x:c>
      <x:c r="C119" t="str">
        <x:v>Not Started</x:v>
      </x:c>
      <x:c r="D119" s="12"/>
      <x:c r="E119" s="12"/>
      <x:c r="F119" s="12"/>
      <x:c r="G119" s="12"/>
      <x:c r="H119" s="12"/>
      <x:c r="I119" s="12"/>
      <x:c r="J119" s="14" t="str">
        <x:f>IFERROR(H119/I119,"")</x:f>
      </x:c>
      <x:c r="K119"/>
      <x:c r="L119"/>
      <x:c r="M119"/>
      <x:c r="N119"/>
      <x:c r="O119"/>
      <x:c r="P119"/>
      <x:c r="Q119" t="str">
        <x:f>IFERROR(O119/P119,"")</x:f>
      </x:c>
      <x:c r="R119"/>
      <x:c r="S119"/>
      <x:c r="T119"/>
      <x:c r="U119"/>
      <x:c r="V119" t="str">
        <x:f>IFERROR((T119-U119)/U119,"")</x:f>
      </x:c>
      <x:c r="W119"/>
      <x:c r="X119"/>
      <x:c r="Y119"/>
      <x:c r="Z119"/>
      <x:c r="AA119" t="str"/>
      <x:c r="AB119" t="str"/>
      <x:c r="AC119" t="str">
        <x:v>2026-06-15</x:v>
      </x:c>
    </x:row>
    <x:row r="120">
      <x:c r="A120" t="n">
        <x:v>119</x:v>
      </x:c>
      <x:c r="B120" t="str">
        <x:v>HP Adhesives</x:v>
      </x:c>
      <x:c r="C120" t="str">
        <x:v>Not Started</x:v>
      </x:c>
      <x:c r="D120" s="12"/>
      <x:c r="E120" s="12"/>
      <x:c r="F120" s="12"/>
      <x:c r="G120" s="12"/>
      <x:c r="H120" s="12"/>
      <x:c r="I120" s="12"/>
      <x:c r="J120" s="14" t="str">
        <x:f>IFERROR(H120/I120,"")</x:f>
      </x:c>
      <x:c r="K120"/>
      <x:c r="L120"/>
      <x:c r="M120"/>
      <x:c r="N120"/>
      <x:c r="O120"/>
      <x:c r="P120"/>
      <x:c r="Q120" t="str">
        <x:f>IFERROR(O120/P120,"")</x:f>
      </x:c>
      <x:c r="R120"/>
      <x:c r="S120"/>
      <x:c r="T120"/>
      <x:c r="U120"/>
      <x:c r="V120" t="str">
        <x:f>IFERROR((T120-U120)/U120,"")</x:f>
      </x:c>
      <x:c r="W120"/>
      <x:c r="X120"/>
      <x:c r="Y120"/>
      <x:c r="Z120"/>
      <x:c r="AA120" t="str"/>
      <x:c r="AB120" t="str"/>
      <x:c r="AC120" t="str">
        <x:v>2026-06-15</x:v>
      </x:c>
    </x:row>
    <x:row r="121">
      <x:c r="A121" t="n">
        <x:v>120</x:v>
      </x:c>
      <x:c r="B121" t="str">
        <x:v>HariOm Pipe</x:v>
      </x:c>
      <x:c r="C121" t="str">
        <x:v>Not Started</x:v>
      </x:c>
      <x:c r="D121" s="12"/>
      <x:c r="E121" s="12"/>
      <x:c r="F121" s="12"/>
      <x:c r="G121" s="12"/>
      <x:c r="H121" s="12"/>
      <x:c r="I121" s="12"/>
      <x:c r="J121" s="14" t="str">
        <x:f>IFERROR(H121/I121,"")</x:f>
      </x:c>
      <x:c r="K121"/>
      <x:c r="L121"/>
      <x:c r="M121"/>
      <x:c r="N121"/>
      <x:c r="O121"/>
      <x:c r="P121"/>
      <x:c r="Q121" t="str">
        <x:f>IFERROR(O121/P121,"")</x:f>
      </x:c>
      <x:c r="R121"/>
      <x:c r="S121"/>
      <x:c r="T121"/>
      <x:c r="U121"/>
      <x:c r="V121" t="str">
        <x:f>IFERROR((T121-U121)/U121,"")</x:f>
      </x:c>
      <x:c r="W121"/>
      <x:c r="X121"/>
      <x:c r="Y121"/>
      <x:c r="Z121"/>
      <x:c r="AA121" t="str"/>
      <x:c r="AB121" t="str"/>
      <x:c r="AC121" t="str">
        <x:v>2026-06-15</x:v>
      </x:c>
    </x:row>
    <x:row r="122">
      <x:c r="A122" t="n">
        <x:v>121</x:v>
      </x:c>
      <x:c r="B122" t="str">
        <x:v>Happy Forgings</x:v>
      </x:c>
      <x:c r="C122" t="str">
        <x:v>Not Started</x:v>
      </x:c>
      <x:c r="D122" s="12"/>
      <x:c r="E122" s="12"/>
      <x:c r="F122" s="12"/>
      <x:c r="G122" s="12"/>
      <x:c r="H122" s="12"/>
      <x:c r="I122" s="12"/>
      <x:c r="J122" s="14" t="str">
        <x:f>IFERROR(H122/I122,"")</x:f>
      </x:c>
      <x:c r="K122"/>
      <x:c r="L122"/>
      <x:c r="M122"/>
      <x:c r="N122"/>
      <x:c r="O122"/>
      <x:c r="P122"/>
      <x:c r="Q122" t="str">
        <x:f>IFERROR(O122/P122,"")</x:f>
      </x:c>
      <x:c r="R122"/>
      <x:c r="S122"/>
      <x:c r="T122"/>
      <x:c r="U122"/>
      <x:c r="V122" t="str">
        <x:f>IFERROR((T122-U122)/U122,"")</x:f>
      </x:c>
      <x:c r="W122"/>
      <x:c r="X122"/>
      <x:c r="Y122"/>
      <x:c r="Z122"/>
      <x:c r="AA122" t="str"/>
      <x:c r="AB122" t="str"/>
      <x:c r="AC122" t="str">
        <x:v>2026-06-15</x:v>
      </x:c>
    </x:row>
    <x:row r="123">
      <x:c r="A123" t="n">
        <x:v>122</x:v>
      </x:c>
      <x:c r="B123" t="str">
        <x:v>Happiest Minds Technologies</x:v>
      </x:c>
      <x:c r="C123" t="str">
        <x:v>Not Started</x:v>
      </x:c>
      <x:c r="D123" s="12"/>
      <x:c r="E123" s="12"/>
      <x:c r="F123" s="12"/>
      <x:c r="G123" s="12"/>
      <x:c r="H123" s="12"/>
      <x:c r="I123" s="12"/>
      <x:c r="J123" s="14" t="str">
        <x:f>IFERROR(H123/I123,"")</x:f>
      </x:c>
      <x:c r="K123"/>
      <x:c r="L123"/>
      <x:c r="M123"/>
      <x:c r="N123"/>
      <x:c r="O123"/>
      <x:c r="P123"/>
      <x:c r="Q123" t="str">
        <x:f>IFERROR(O123/P123,"")</x:f>
      </x:c>
      <x:c r="R123"/>
      <x:c r="S123"/>
      <x:c r="T123"/>
      <x:c r="U123"/>
      <x:c r="V123" t="str">
        <x:f>IFERROR((T123-U123)/U123,"")</x:f>
      </x:c>
      <x:c r="W123"/>
      <x:c r="X123"/>
      <x:c r="Y123"/>
      <x:c r="Z123"/>
      <x:c r="AA123" t="str"/>
      <x:c r="AB123" t="str"/>
      <x:c r="AC123" t="str">
        <x:v>2026-06-15</x:v>
      </x:c>
    </x:row>
    <x:row r="124">
      <x:c r="A124" t="n">
        <x:v>123</x:v>
      </x:c>
      <x:c r="B124" t="str">
        <x:v>Harsha Engineers International</x:v>
      </x:c>
      <x:c r="C124" t="str">
        <x:v>Not Started</x:v>
      </x:c>
      <x:c r="D124" s="12"/>
      <x:c r="E124" s="12"/>
      <x:c r="F124" s="12"/>
      <x:c r="G124" s="12"/>
      <x:c r="H124" s="12"/>
      <x:c r="I124" s="12"/>
      <x:c r="J124" s="14" t="str">
        <x:f>IFERROR(H124/I124,"")</x:f>
      </x:c>
      <x:c r="K124"/>
      <x:c r="L124"/>
      <x:c r="M124"/>
      <x:c r="N124"/>
      <x:c r="O124"/>
      <x:c r="P124"/>
      <x:c r="Q124" t="str">
        <x:f>IFERROR(O124/P124,"")</x:f>
      </x:c>
      <x:c r="R124"/>
      <x:c r="S124"/>
      <x:c r="T124"/>
      <x:c r="U124"/>
      <x:c r="V124" t="str">
        <x:f>IFERROR((T124-U124)/U124,"")</x:f>
      </x:c>
      <x:c r="W124"/>
      <x:c r="X124"/>
      <x:c r="Y124"/>
      <x:c r="Z124"/>
      <x:c r="AA124" t="str"/>
      <x:c r="AB124" t="str"/>
      <x:c r="AC124" t="str">
        <x:v>2026-06-15</x:v>
      </x:c>
    </x:row>
    <x:row r="125">
      <x:c r="A125" t="n">
        <x:v>124</x:v>
      </x:c>
      <x:c r="B125" t="str">
        <x:v>Heranba Industries</x:v>
      </x:c>
      <x:c r="C125" t="str">
        <x:v>Not Started</x:v>
      </x:c>
      <x:c r="D125" s="12"/>
      <x:c r="E125" s="12"/>
      <x:c r="F125" s="12"/>
      <x:c r="G125" s="12"/>
      <x:c r="H125" s="12"/>
      <x:c r="I125" s="12"/>
      <x:c r="J125" s="14" t="str">
        <x:f>IFERROR(H125/I125,"")</x:f>
      </x:c>
      <x:c r="K125"/>
      <x:c r="L125"/>
      <x:c r="M125"/>
      <x:c r="N125"/>
      <x:c r="O125"/>
      <x:c r="P125"/>
      <x:c r="Q125" t="str">
        <x:f>IFERROR(O125/P125,"")</x:f>
      </x:c>
      <x:c r="R125"/>
      <x:c r="S125"/>
      <x:c r="T125"/>
      <x:c r="U125"/>
      <x:c r="V125" t="str">
        <x:f>IFERROR((T125-U125)/U125,"")</x:f>
      </x:c>
      <x:c r="W125"/>
      <x:c r="X125"/>
      <x:c r="Y125"/>
      <x:c r="Z125"/>
      <x:c r="AA125" t="str"/>
      <x:c r="AB125" t="str"/>
      <x:c r="AC125" t="str">
        <x:v>2026-06-15</x:v>
      </x:c>
    </x:row>
    <x:row r="126">
      <x:c r="A126" t="n">
        <x:v>125</x:v>
      </x:c>
      <x:c r="B126" t="str">
        <x:v>Highway Infrastructure Ltd</x:v>
      </x:c>
      <x:c r="C126" t="str">
        <x:v>Not Started</x:v>
      </x:c>
      <x:c r="D126" s="12"/>
      <x:c r="E126" s="12"/>
      <x:c r="F126" s="12"/>
      <x:c r="G126" s="12"/>
      <x:c r="H126" s="12"/>
      <x:c r="I126" s="12"/>
      <x:c r="J126" s="14" t="str">
        <x:f>IFERROR(H126/I126,"")</x:f>
      </x:c>
      <x:c r="K126"/>
      <x:c r="L126"/>
      <x:c r="M126"/>
      <x:c r="N126"/>
      <x:c r="O126"/>
      <x:c r="P126"/>
      <x:c r="Q126" t="str">
        <x:f>IFERROR(O126/P126,"")</x:f>
      </x:c>
      <x:c r="R126"/>
      <x:c r="S126"/>
      <x:c r="T126"/>
      <x:c r="U126"/>
      <x:c r="V126" t="str">
        <x:f>IFERROR((T126-U126)/U126,"")</x:f>
      </x:c>
      <x:c r="W126"/>
      <x:c r="X126"/>
      <x:c r="Y126"/>
      <x:c r="Z126"/>
      <x:c r="AA126" t="str"/>
      <x:c r="AB126" t="str"/>
      <x:c r="AC126" t="str">
        <x:v>2026-06-15</x:v>
      </x:c>
    </x:row>
    <x:row r="127">
      <x:c r="A127" t="n">
        <x:v>126</x:v>
      </x:c>
      <x:c r="B127" t="str">
        <x:v>Home First Finance</x:v>
      </x:c>
      <x:c r="C127" t="str">
        <x:v>Not Started</x:v>
      </x:c>
      <x:c r="D127" s="12"/>
      <x:c r="E127" s="12"/>
      <x:c r="F127" s="12"/>
      <x:c r="G127" s="12"/>
      <x:c r="H127" s="12"/>
      <x:c r="I127" s="12"/>
      <x:c r="J127" s="14" t="str">
        <x:f>IFERROR(H127/I127,"")</x:f>
      </x:c>
      <x:c r="K127"/>
      <x:c r="L127"/>
      <x:c r="M127"/>
      <x:c r="N127"/>
      <x:c r="O127"/>
      <x:c r="P127"/>
      <x:c r="Q127" t="str">
        <x:f>IFERROR(O127/P127,"")</x:f>
      </x:c>
      <x:c r="R127"/>
      <x:c r="S127"/>
      <x:c r="T127"/>
      <x:c r="U127"/>
      <x:c r="V127" t="str">
        <x:f>IFERROR((T127-U127)/U127,"")</x:f>
      </x:c>
      <x:c r="W127"/>
      <x:c r="X127"/>
      <x:c r="Y127"/>
      <x:c r="Z127"/>
      <x:c r="AA127" t="str"/>
      <x:c r="AB127" t="str"/>
      <x:c r="AC127" t="str">
        <x:v>2026-06-15</x:v>
      </x:c>
    </x:row>
    <x:row r="128">
      <x:c r="A128" t="n">
        <x:v>127</x:v>
      </x:c>
      <x:c r="B128" t="str">
        <x:v>Hyundai Motor</x:v>
      </x:c>
      <x:c r="C128" t="str">
        <x:v>Not Started</x:v>
      </x:c>
      <x:c r="D128" s="12"/>
      <x:c r="E128" s="12"/>
      <x:c r="F128" s="12"/>
      <x:c r="G128" s="12"/>
      <x:c r="H128" s="12"/>
      <x:c r="I128" s="12"/>
      <x:c r="J128" s="14" t="str">
        <x:f>IFERROR(H128/I128,"")</x:f>
      </x:c>
      <x:c r="K128"/>
      <x:c r="L128"/>
      <x:c r="M128"/>
      <x:c r="N128"/>
      <x:c r="O128"/>
      <x:c r="P128"/>
      <x:c r="Q128" t="str">
        <x:f>IFERROR(O128/P128,"")</x:f>
      </x:c>
      <x:c r="R128"/>
      <x:c r="S128"/>
      <x:c r="T128"/>
      <x:c r="U128"/>
      <x:c r="V128" t="str">
        <x:f>IFERROR((T128-U128)/U128,"")</x:f>
      </x:c>
      <x:c r="W128"/>
      <x:c r="X128"/>
      <x:c r="Y128"/>
      <x:c r="Z128"/>
      <x:c r="AA128" t="str"/>
      <x:c r="AB128" t="str"/>
      <x:c r="AC128" t="str">
        <x:v>2026-06-15</x:v>
      </x:c>
    </x:row>
    <x:row r="129">
      <x:c r="A129" t="n">
        <x:v>128</x:v>
      </x:c>
      <x:c r="B129" t="str">
        <x:v>ICICI Prudential Asset Management Co Ltd</x:v>
      </x:c>
      <x:c r="C129" t="str">
        <x:v>Not Started</x:v>
      </x:c>
      <x:c r="D129" s="12"/>
      <x:c r="E129" s="12"/>
      <x:c r="F129" s="12"/>
      <x:c r="G129" s="12"/>
      <x:c r="H129" s="12"/>
      <x:c r="I129" s="12"/>
      <x:c r="J129" s="14" t="str">
        <x:f>IFERROR(H129/I129,"")</x:f>
      </x:c>
      <x:c r="K129"/>
      <x:c r="L129"/>
      <x:c r="M129"/>
      <x:c r="N129"/>
      <x:c r="O129"/>
      <x:c r="P129"/>
      <x:c r="Q129" t="str">
        <x:f>IFERROR(O129/P129,"")</x:f>
      </x:c>
      <x:c r="R129"/>
      <x:c r="S129"/>
      <x:c r="T129"/>
      <x:c r="U129"/>
      <x:c r="V129" t="str">
        <x:f>IFERROR((T129-U129)/U129,"")</x:f>
      </x:c>
      <x:c r="W129"/>
      <x:c r="X129"/>
      <x:c r="Y129"/>
      <x:c r="Z129"/>
      <x:c r="AA129" t="str"/>
      <x:c r="AB129" t="str"/>
      <x:c r="AC129" t="str">
        <x:v>2026-06-15</x:v>
      </x:c>
    </x:row>
    <x:row r="130">
      <x:c r="A130" t="n">
        <x:v>129</x:v>
      </x:c>
      <x:c r="B130" t="str">
        <x:v>IKIO Lighting</x:v>
      </x:c>
      <x:c r="C130" t="str">
        <x:v>Not Started</x:v>
      </x:c>
      <x:c r="D130" s="12"/>
      <x:c r="E130" s="12"/>
      <x:c r="F130" s="12"/>
      <x:c r="G130" s="12"/>
      <x:c r="H130" s="12"/>
      <x:c r="I130" s="12"/>
      <x:c r="J130" s="14" t="str">
        <x:f>IFERROR(H130/I130,"")</x:f>
      </x:c>
      <x:c r="K130"/>
      <x:c r="L130"/>
      <x:c r="M130"/>
      <x:c r="N130"/>
      <x:c r="O130"/>
      <x:c r="P130"/>
      <x:c r="Q130" t="str">
        <x:f>IFERROR(O130/P130,"")</x:f>
      </x:c>
      <x:c r="R130"/>
      <x:c r="S130"/>
      <x:c r="T130"/>
      <x:c r="U130"/>
      <x:c r="V130" t="str">
        <x:f>IFERROR((T130-U130)/U130,"")</x:f>
      </x:c>
      <x:c r="W130"/>
      <x:c r="X130"/>
      <x:c r="Y130"/>
      <x:c r="Z130"/>
      <x:c r="AA130" t="str"/>
      <x:c r="AB130" t="str"/>
      <x:c r="AC130" t="str">
        <x:v>2026-06-15</x:v>
      </x:c>
    </x:row>
    <x:row r="131">
      <x:c r="A131" t="n">
        <x:v>130</x:v>
      </x:c>
      <x:c r="B131" t="str">
        <x:v>INOX India</x:v>
      </x:c>
      <x:c r="C131" t="str">
        <x:v>Not Started</x:v>
      </x:c>
      <x:c r="D131" s="12"/>
      <x:c r="E131" s="12"/>
      <x:c r="F131" s="12"/>
      <x:c r="G131" s="12"/>
      <x:c r="H131" s="12"/>
      <x:c r="I131" s="12"/>
      <x:c r="J131" s="14" t="str">
        <x:f>IFERROR(H131/I131,"")</x:f>
      </x:c>
      <x:c r="K131"/>
      <x:c r="L131"/>
      <x:c r="M131"/>
      <x:c r="N131"/>
      <x:c r="O131"/>
      <x:c r="P131"/>
      <x:c r="Q131" t="str">
        <x:f>IFERROR(O131/P131,"")</x:f>
      </x:c>
      <x:c r="R131"/>
      <x:c r="S131"/>
      <x:c r="T131"/>
      <x:c r="U131"/>
      <x:c r="V131" t="str">
        <x:f>IFERROR((T131-U131)/U131,"")</x:f>
      </x:c>
      <x:c r="W131"/>
      <x:c r="X131"/>
      <x:c r="Y131"/>
      <x:c r="Z131"/>
      <x:c r="AA131" t="str"/>
      <x:c r="AB131" t="str"/>
      <x:c r="AC131" t="str">
        <x:v>2026-06-15</x:v>
      </x:c>
    </x:row>
    <x:row r="132">
      <x:c r="A132" t="n">
        <x:v>131</x:v>
      </x:c>
      <x:c r="B132" t="str">
        <x:v>IREDA</x:v>
      </x:c>
      <x:c r="C132" t="str">
        <x:v>Not Started</x:v>
      </x:c>
      <x:c r="D132" s="12"/>
      <x:c r="E132" s="12"/>
      <x:c r="F132" s="12"/>
      <x:c r="G132" s="12"/>
      <x:c r="H132" s="12"/>
      <x:c r="I132" s="12"/>
      <x:c r="J132" s="14" t="str">
        <x:f>IFERROR(H132/I132,"")</x:f>
      </x:c>
      <x:c r="K132"/>
      <x:c r="L132"/>
      <x:c r="M132"/>
      <x:c r="N132"/>
      <x:c r="O132"/>
      <x:c r="P132"/>
      <x:c r="Q132" t="str">
        <x:f>IFERROR(O132/P132,"")</x:f>
      </x:c>
      <x:c r="R132"/>
      <x:c r="S132"/>
      <x:c r="T132"/>
      <x:c r="U132"/>
      <x:c r="V132" t="str">
        <x:f>IFERROR((T132-U132)/U132,"")</x:f>
      </x:c>
      <x:c r="W132"/>
      <x:c r="X132"/>
      <x:c r="Y132"/>
      <x:c r="Z132"/>
      <x:c r="AA132" t="str"/>
      <x:c r="AB132" t="str"/>
      <x:c r="AC132" t="str">
        <x:v>2026-06-15</x:v>
      </x:c>
    </x:row>
    <x:row r="133">
      <x:c r="A133" t="n">
        <x:v>132</x:v>
      </x:c>
      <x:c r="B133" t="str">
        <x:v>IRFC</x:v>
      </x:c>
      <x:c r="C133" t="str">
        <x:v>Not Started</x:v>
      </x:c>
      <x:c r="D133" s="12"/>
      <x:c r="E133" s="12"/>
      <x:c r="F133" s="12"/>
      <x:c r="G133" s="12"/>
      <x:c r="H133" s="12"/>
      <x:c r="I133" s="12"/>
      <x:c r="J133" s="14" t="str">
        <x:f>IFERROR(H133/I133,"")</x:f>
      </x:c>
      <x:c r="K133"/>
      <x:c r="L133"/>
      <x:c r="M133"/>
      <x:c r="N133"/>
      <x:c r="O133"/>
      <x:c r="P133"/>
      <x:c r="Q133" t="str">
        <x:f>IFERROR(O133/P133,"")</x:f>
      </x:c>
      <x:c r="R133"/>
      <x:c r="S133"/>
      <x:c r="T133"/>
      <x:c r="U133"/>
      <x:c r="V133" t="str">
        <x:f>IFERROR((T133-U133)/U133,"")</x:f>
      </x:c>
      <x:c r="W133"/>
      <x:c r="X133"/>
      <x:c r="Y133"/>
      <x:c r="Z133"/>
      <x:c r="AA133" t="str"/>
      <x:c r="AB133" t="str"/>
      <x:c r="AC133" t="str">
        <x:v>2026-06-15</x:v>
      </x:c>
    </x:row>
    <x:row r="134">
      <x:c r="A134" t="n">
        <x:v>133</x:v>
      </x:c>
      <x:c r="B134" t="str">
        <x:v>IRM Energy</x:v>
      </x:c>
      <x:c r="C134" t="str">
        <x:v>Not Started</x:v>
      </x:c>
      <x:c r="D134" s="12"/>
      <x:c r="E134" s="12"/>
      <x:c r="F134" s="12"/>
      <x:c r="G134" s="12"/>
      <x:c r="H134" s="12"/>
      <x:c r="I134" s="12"/>
      <x:c r="J134" s="14" t="str">
        <x:f>IFERROR(H134/I134,"")</x:f>
      </x:c>
      <x:c r="K134"/>
      <x:c r="L134"/>
      <x:c r="M134"/>
      <x:c r="N134"/>
      <x:c r="O134"/>
      <x:c r="P134"/>
      <x:c r="Q134" t="str">
        <x:f>IFERROR(O134/P134,"")</x:f>
      </x:c>
      <x:c r="R134"/>
      <x:c r="S134"/>
      <x:c r="T134"/>
      <x:c r="U134"/>
      <x:c r="V134" t="str">
        <x:f>IFERROR((T134-U134)/U134,"")</x:f>
      </x:c>
      <x:c r="W134"/>
      <x:c r="X134"/>
      <x:c r="Y134"/>
      <x:c r="Z134"/>
      <x:c r="AA134" t="str"/>
      <x:c r="AB134" t="str"/>
      <x:c r="AC134" t="str">
        <x:v>2026-06-15</x:v>
      </x:c>
    </x:row>
    <x:row r="135">
      <x:c r="A135" t="n">
        <x:v>134</x:v>
      </x:c>
      <x:c r="B135" t="str">
        <x:v>IdeaForge Technology</x:v>
      </x:c>
      <x:c r="C135" t="str">
        <x:v>Not Started</x:v>
      </x:c>
      <x:c r="D135" s="12"/>
      <x:c r="E135" s="12"/>
      <x:c r="F135" s="12"/>
      <x:c r="G135" s="12"/>
      <x:c r="H135" s="12"/>
      <x:c r="I135" s="12"/>
      <x:c r="J135" s="14" t="str">
        <x:f>IFERROR(H135/I135,"")</x:f>
      </x:c>
      <x:c r="K135"/>
      <x:c r="L135"/>
      <x:c r="M135"/>
      <x:c r="N135"/>
      <x:c r="O135"/>
      <x:c r="P135"/>
      <x:c r="Q135" t="str">
        <x:f>IFERROR(O135/P135,"")</x:f>
      </x:c>
      <x:c r="R135"/>
      <x:c r="S135"/>
      <x:c r="T135"/>
      <x:c r="U135"/>
      <x:c r="V135" t="str">
        <x:f>IFERROR((T135-U135)/U135,"")</x:f>
      </x:c>
      <x:c r="W135"/>
      <x:c r="X135"/>
      <x:c r="Y135"/>
      <x:c r="Z135"/>
      <x:c r="AA135" t="str"/>
      <x:c r="AB135" t="str"/>
      <x:c r="AC135" t="str">
        <x:v>2026-06-15</x:v>
      </x:c>
    </x:row>
    <x:row r="136">
      <x:c r="A136" t="n">
        <x:v>135</x:v>
      </x:c>
      <x:c r="B136" t="str">
        <x:v>India Pesticides</x:v>
      </x:c>
      <x:c r="C136" t="str">
        <x:v>Not Started</x:v>
      </x:c>
      <x:c r="D136" s="12"/>
      <x:c r="E136" s="12"/>
      <x:c r="F136" s="12"/>
      <x:c r="G136" s="12"/>
      <x:c r="H136" s="12"/>
      <x:c r="I136" s="12"/>
      <x:c r="J136" s="14" t="str">
        <x:f>IFERROR(H136/I136,"")</x:f>
      </x:c>
      <x:c r="K136"/>
      <x:c r="L136"/>
      <x:c r="M136"/>
      <x:c r="N136"/>
      <x:c r="O136"/>
      <x:c r="P136"/>
      <x:c r="Q136" t="str">
        <x:f>IFERROR(O136/P136,"")</x:f>
      </x:c>
      <x:c r="R136"/>
      <x:c r="S136"/>
      <x:c r="T136"/>
      <x:c r="U136"/>
      <x:c r="V136" t="str">
        <x:f>IFERROR((T136-U136)/U136,"")</x:f>
      </x:c>
      <x:c r="W136"/>
      <x:c r="X136"/>
      <x:c r="Y136"/>
      <x:c r="Z136"/>
      <x:c r="AA136" t="str"/>
      <x:c r="AB136" t="str"/>
      <x:c r="AC136" t="str">
        <x:v>2026-06-15</x:v>
      </x:c>
    </x:row>
    <x:row r="137">
      <x:c r="A137" t="n">
        <x:v>136</x:v>
      </x:c>
      <x:c r="B137" t="str">
        <x:v>India Shelter Finance</x:v>
      </x:c>
      <x:c r="C137" t="str">
        <x:v>Not Started</x:v>
      </x:c>
      <x:c r="D137" s="12"/>
      <x:c r="E137" s="12"/>
      <x:c r="F137" s="12"/>
      <x:c r="G137" s="12"/>
      <x:c r="H137" s="12"/>
      <x:c r="I137" s="12"/>
      <x:c r="J137" s="14" t="str">
        <x:f>IFERROR(H137/I137,"")</x:f>
      </x:c>
      <x:c r="K137"/>
      <x:c r="L137"/>
      <x:c r="M137"/>
      <x:c r="N137"/>
      <x:c r="O137"/>
      <x:c r="P137"/>
      <x:c r="Q137" t="str">
        <x:f>IFERROR(O137/P137,"")</x:f>
      </x:c>
      <x:c r="R137"/>
      <x:c r="S137"/>
      <x:c r="T137"/>
      <x:c r="U137"/>
      <x:c r="V137" t="str">
        <x:f>IFERROR((T137-U137)/U137,"")</x:f>
      </x:c>
      <x:c r="W137"/>
      <x:c r="X137"/>
      <x:c r="Y137"/>
      <x:c r="Z137"/>
      <x:c r="AA137" t="str"/>
      <x:c r="AB137" t="str"/>
      <x:c r="AC137" t="str">
        <x:v>2026-06-15</x:v>
      </x:c>
    </x:row>
    <x:row r="138">
      <x:c r="A138" t="n">
        <x:v>137</x:v>
      </x:c>
      <x:c r="B138" t="str">
        <x:v>Indigo Paints</x:v>
      </x:c>
      <x:c r="C138" t="str">
        <x:v>Not Started</x:v>
      </x:c>
      <x:c r="D138" s="12"/>
      <x:c r="E138" s="12"/>
      <x:c r="F138" s="12"/>
      <x:c r="G138" s="12"/>
      <x:c r="H138" s="12"/>
      <x:c r="I138" s="12"/>
      <x:c r="J138" s="14" t="str">
        <x:f>IFERROR(H138/I138,"")</x:f>
      </x:c>
      <x:c r="K138"/>
      <x:c r="L138"/>
      <x:c r="M138"/>
      <x:c r="N138"/>
      <x:c r="O138"/>
      <x:c r="P138"/>
      <x:c r="Q138" t="str">
        <x:f>IFERROR(O138/P138,"")</x:f>
      </x:c>
      <x:c r="R138"/>
      <x:c r="S138"/>
      <x:c r="T138"/>
      <x:c r="U138"/>
      <x:c r="V138" t="str">
        <x:f>IFERROR((T138-U138)/U138,"")</x:f>
      </x:c>
      <x:c r="W138"/>
      <x:c r="X138"/>
      <x:c r="Y138"/>
      <x:c r="Z138"/>
      <x:c r="AA138" t="str"/>
      <x:c r="AB138" t="str"/>
      <x:c r="AC138" t="str">
        <x:v>2026-06-15</x:v>
      </x:c>
    </x:row>
    <x:row r="139">
      <x:c r="A139" t="n">
        <x:v>138</x:v>
      </x:c>
      <x:c r="B139" t="str">
        <x:v>Indiqube Spaces Ltd</x:v>
      </x:c>
      <x:c r="C139" t="str">
        <x:v>Not Started</x:v>
      </x:c>
      <x:c r="D139" s="12"/>
      <x:c r="E139" s="12"/>
      <x:c r="F139" s="12"/>
      <x:c r="G139" s="12"/>
      <x:c r="H139" s="12"/>
      <x:c r="I139" s="12"/>
      <x:c r="J139" s="14" t="str">
        <x:f>IFERROR(H139/I139,"")</x:f>
      </x:c>
      <x:c r="K139"/>
      <x:c r="L139"/>
      <x:c r="M139"/>
      <x:c r="N139"/>
      <x:c r="O139"/>
      <x:c r="P139"/>
      <x:c r="Q139" t="str">
        <x:f>IFERROR(O139/P139,"")</x:f>
      </x:c>
      <x:c r="R139"/>
      <x:c r="S139"/>
      <x:c r="T139"/>
      <x:c r="U139"/>
      <x:c r="V139" t="str">
        <x:f>IFERROR((T139-U139)/U139,"")</x:f>
      </x:c>
      <x:c r="W139"/>
      <x:c r="X139"/>
      <x:c r="Y139"/>
      <x:c r="Z139"/>
      <x:c r="AA139" t="str"/>
      <x:c r="AB139" t="str"/>
      <x:c r="AC139" t="str">
        <x:v>2026-06-15</x:v>
      </x:c>
    </x:row>
    <x:row r="140">
      <x:c r="A140" t="n">
        <x:v>139</x:v>
      </x:c>
      <x:c r="B140" t="str">
        <x:v>Indogulf Cropsciences Limited</x:v>
      </x:c>
      <x:c r="C140" t="str">
        <x:v>Not Started</x:v>
      </x:c>
      <x:c r="D140" s="12"/>
      <x:c r="E140" s="12"/>
      <x:c r="F140" s="12"/>
      <x:c r="G140" s="12"/>
      <x:c r="H140" s="12"/>
      <x:c r="I140" s="12"/>
      <x:c r="J140" s="14" t="str">
        <x:f>IFERROR(H140/I140,"")</x:f>
      </x:c>
      <x:c r="K140"/>
      <x:c r="L140"/>
      <x:c r="M140"/>
      <x:c r="N140"/>
      <x:c r="O140"/>
      <x:c r="P140"/>
      <x:c r="Q140" t="str">
        <x:f>IFERROR(O140/P140,"")</x:f>
      </x:c>
      <x:c r="R140"/>
      <x:c r="S140"/>
      <x:c r="T140"/>
      <x:c r="U140"/>
      <x:c r="V140" t="str">
        <x:f>IFERROR((T140-U140)/U140,"")</x:f>
      </x:c>
      <x:c r="W140"/>
      <x:c r="X140"/>
      <x:c r="Y140"/>
      <x:c r="Z140"/>
      <x:c r="AA140" t="str"/>
      <x:c r="AB140" t="str"/>
      <x:c r="AC140" t="str">
        <x:v>2026-06-15</x:v>
      </x:c>
    </x:row>
    <x:row r="141">
      <x:c r="A141" t="n">
        <x:v>140</x:v>
      </x:c>
      <x:c r="B141" t="str">
        <x:v>Innova Captab</x:v>
      </x:c>
      <x:c r="C141" t="str">
        <x:v>Not Started</x:v>
      </x:c>
      <x:c r="D141" s="12"/>
      <x:c r="E141" s="12"/>
      <x:c r="F141" s="12"/>
      <x:c r="G141" s="12"/>
      <x:c r="H141" s="12"/>
      <x:c r="I141" s="12"/>
      <x:c r="J141" s="14" t="str">
        <x:f>IFERROR(H141/I141,"")</x:f>
      </x:c>
      <x:c r="K141"/>
      <x:c r="L141"/>
      <x:c r="M141"/>
      <x:c r="N141"/>
      <x:c r="O141"/>
      <x:c r="P141"/>
      <x:c r="Q141" t="str">
        <x:f>IFERROR(O141/P141,"")</x:f>
      </x:c>
      <x:c r="R141"/>
      <x:c r="S141"/>
      <x:c r="T141"/>
      <x:c r="U141"/>
      <x:c r="V141" t="str">
        <x:f>IFERROR((T141-U141)/U141,"")</x:f>
      </x:c>
      <x:c r="W141"/>
      <x:c r="X141"/>
      <x:c r="Y141"/>
      <x:c r="Z141"/>
      <x:c r="AA141" t="str"/>
      <x:c r="AB141" t="str"/>
      <x:c r="AC141" t="str">
        <x:v>2026-06-15</x:v>
      </x:c>
    </x:row>
    <x:row r="142">
      <x:c r="A142" t="n">
        <x:v>141</x:v>
      </x:c>
      <x:c r="B142" t="str">
        <x:v>Innovision Ltd</x:v>
      </x:c>
      <x:c r="C142" t="str">
        <x:v>Not Started</x:v>
      </x:c>
      <x:c r="D142" s="12"/>
      <x:c r="E142" s="12"/>
      <x:c r="F142" s="12"/>
      <x:c r="G142" s="12"/>
      <x:c r="H142" s="12"/>
      <x:c r="I142" s="12"/>
      <x:c r="J142" s="14" t="str">
        <x:f>IFERROR(H142/I142,"")</x:f>
      </x:c>
      <x:c r="K142"/>
      <x:c r="L142"/>
      <x:c r="M142"/>
      <x:c r="N142"/>
      <x:c r="O142"/>
      <x:c r="P142"/>
      <x:c r="Q142" t="str">
        <x:f>IFERROR(O142/P142,"")</x:f>
      </x:c>
      <x:c r="R142"/>
      <x:c r="S142"/>
      <x:c r="T142"/>
      <x:c r="U142"/>
      <x:c r="V142" t="str">
        <x:f>IFERROR((T142-U142)/U142,"")</x:f>
      </x:c>
      <x:c r="W142"/>
      <x:c r="X142"/>
      <x:c r="Y142"/>
      <x:c r="Z142"/>
      <x:c r="AA142" t="str"/>
      <x:c r="AB142" t="str"/>
      <x:c r="AC142" t="str">
        <x:v>2026-06-15</x:v>
      </x:c>
    </x:row>
    <x:row r="143">
      <x:c r="A143" t="n">
        <x:v>142</x:v>
      </x:c>
      <x:c r="B143" t="str">
        <x:v>Interarch</x:v>
      </x:c>
      <x:c r="C143" t="str">
        <x:v>Not Started</x:v>
      </x:c>
      <x:c r="D143" s="12"/>
      <x:c r="E143" s="12"/>
      <x:c r="F143" s="12"/>
      <x:c r="G143" s="12"/>
      <x:c r="H143" s="12"/>
      <x:c r="I143" s="12"/>
      <x:c r="J143" s="14" t="str">
        <x:f>IFERROR(H143/I143,"")</x:f>
      </x:c>
      <x:c r="K143"/>
      <x:c r="L143"/>
      <x:c r="M143"/>
      <x:c r="N143"/>
      <x:c r="O143"/>
      <x:c r="P143"/>
      <x:c r="Q143" t="str">
        <x:f>IFERROR(O143/P143,"")</x:f>
      </x:c>
      <x:c r="R143"/>
      <x:c r="S143"/>
      <x:c r="T143"/>
      <x:c r="U143"/>
      <x:c r="V143" t="str">
        <x:f>IFERROR((T143-U143)/U143,"")</x:f>
      </x:c>
      <x:c r="W143"/>
      <x:c r="X143"/>
      <x:c r="Y143"/>
      <x:c r="Z143"/>
      <x:c r="AA143" t="str"/>
      <x:c r="AB143" t="str"/>
      <x:c r="AC143" t="str">
        <x:v>2026-06-15</x:v>
      </x:c>
    </x:row>
    <x:row r="144">
      <x:c r="A144" t="n">
        <x:v>143</x:v>
      </x:c>
      <x:c r="B144" t="str">
        <x:v>Ivalue Infosolutions Ltd</x:v>
      </x:c>
      <x:c r="C144" t="str">
        <x:v>Not Started</x:v>
      </x:c>
      <x:c r="D144" s="12"/>
      <x:c r="E144" s="12"/>
      <x:c r="F144" s="12"/>
      <x:c r="G144" s="12"/>
      <x:c r="H144" s="12"/>
      <x:c r="I144" s="12"/>
      <x:c r="J144" s="14" t="str">
        <x:f>IFERROR(H144/I144,"")</x:f>
      </x:c>
      <x:c r="K144"/>
      <x:c r="L144"/>
      <x:c r="M144"/>
      <x:c r="N144"/>
      <x:c r="O144"/>
      <x:c r="P144"/>
      <x:c r="Q144" t="str">
        <x:f>IFERROR(O144/P144,"")</x:f>
      </x:c>
      <x:c r="R144"/>
      <x:c r="S144"/>
      <x:c r="T144"/>
      <x:c r="U144"/>
      <x:c r="V144" t="str">
        <x:f>IFERROR((T144-U144)/U144,"")</x:f>
      </x:c>
      <x:c r="W144"/>
      <x:c r="X144"/>
      <x:c r="Y144"/>
      <x:c r="Z144"/>
      <x:c r="AA144" t="str"/>
      <x:c r="AB144" t="str"/>
      <x:c r="AC144" t="str">
        <x:v>2026-06-15</x:v>
      </x:c>
    </x:row>
    <x:row r="145">
      <x:c r="A145" t="n">
        <x:v>144</x:v>
      </x:c>
      <x:c r="B145" t="str">
        <x:v>JSW Cement Ltd</x:v>
      </x:c>
      <x:c r="C145" t="str">
        <x:v>Not Started</x:v>
      </x:c>
      <x:c r="D145" s="12"/>
      <x:c r="E145" s="12"/>
      <x:c r="F145" s="12"/>
      <x:c r="G145" s="12"/>
      <x:c r="H145" s="12"/>
      <x:c r="I145" s="12"/>
      <x:c r="J145" s="14" t="str">
        <x:f>IFERROR(H145/I145,"")</x:f>
      </x:c>
      <x:c r="K145"/>
      <x:c r="L145"/>
      <x:c r="M145"/>
      <x:c r="N145"/>
      <x:c r="O145"/>
      <x:c r="P145"/>
      <x:c r="Q145" t="str">
        <x:f>IFERROR(O145/P145,"")</x:f>
      </x:c>
      <x:c r="R145"/>
      <x:c r="S145"/>
      <x:c r="T145"/>
      <x:c r="U145"/>
      <x:c r="V145" t="str">
        <x:f>IFERROR((T145-U145)/U145,"")</x:f>
      </x:c>
      <x:c r="W145"/>
      <x:c r="X145"/>
      <x:c r="Y145"/>
      <x:c r="Z145"/>
      <x:c r="AA145" t="str"/>
      <x:c r="AB145" t="str"/>
      <x:c r="AC145" t="str">
        <x:v>2026-06-15</x:v>
      </x:c>
    </x:row>
    <x:row r="146">
      <x:c r="A146" t="n">
        <x:v>145</x:v>
      </x:c>
      <x:c r="B146" t="str">
        <x:v>JSW Infrastructure</x:v>
      </x:c>
      <x:c r="C146" t="str">
        <x:v>Not Started</x:v>
      </x:c>
      <x:c r="D146" s="12"/>
      <x:c r="E146" s="12"/>
      <x:c r="F146" s="12"/>
      <x:c r="G146" s="12"/>
      <x:c r="H146" s="12"/>
      <x:c r="I146" s="12"/>
      <x:c r="J146" s="14" t="str">
        <x:f>IFERROR(H146/I146,"")</x:f>
      </x:c>
      <x:c r="K146"/>
      <x:c r="L146"/>
      <x:c r="M146"/>
      <x:c r="N146"/>
      <x:c r="O146"/>
      <x:c r="P146"/>
      <x:c r="Q146" t="str">
        <x:f>IFERROR(O146/P146,"")</x:f>
      </x:c>
      <x:c r="R146"/>
      <x:c r="S146"/>
      <x:c r="T146"/>
      <x:c r="U146"/>
      <x:c r="V146" t="str">
        <x:f>IFERROR((T146-U146)/U146,"")</x:f>
      </x:c>
      <x:c r="W146"/>
      <x:c r="X146"/>
      <x:c r="Y146"/>
      <x:c r="Z146"/>
      <x:c r="AA146" t="str"/>
      <x:c r="AB146" t="str"/>
      <x:c r="AC146" t="str">
        <x:v>2026-06-15</x:v>
      </x:c>
    </x:row>
    <x:row r="147">
      <x:c r="A147" t="n">
        <x:v>146</x:v>
      </x:c>
      <x:c r="B147" t="str">
        <x:v>Jain Resource Recycling Ltd</x:v>
      </x:c>
      <x:c r="C147" t="str">
        <x:v>Not Started</x:v>
      </x:c>
      <x:c r="D147" s="12"/>
      <x:c r="E147" s="12"/>
      <x:c r="F147" s="12"/>
      <x:c r="G147" s="12"/>
      <x:c r="H147" s="12"/>
      <x:c r="I147" s="12"/>
      <x:c r="J147" s="14" t="str">
        <x:f>IFERROR(H147/I147,"")</x:f>
      </x:c>
      <x:c r="K147"/>
      <x:c r="L147"/>
      <x:c r="M147"/>
      <x:c r="N147"/>
      <x:c r="O147"/>
      <x:c r="P147"/>
      <x:c r="Q147" t="str">
        <x:f>IFERROR(O147/P147,"")</x:f>
      </x:c>
      <x:c r="R147"/>
      <x:c r="S147"/>
      <x:c r="T147"/>
      <x:c r="U147"/>
      <x:c r="V147" t="str">
        <x:f>IFERROR((T147-U147)/U147,"")</x:f>
      </x:c>
      <x:c r="W147"/>
      <x:c r="X147"/>
      <x:c r="Y147"/>
      <x:c r="Z147"/>
      <x:c r="AA147" t="str"/>
      <x:c r="AB147" t="str"/>
      <x:c r="AC147" t="str">
        <x:v>2026-06-15</x:v>
      </x:c>
    </x:row>
    <x:row r="148">
      <x:c r="A148" t="n">
        <x:v>147</x:v>
      </x:c>
      <x:c r="B148" t="str">
        <x:v>Jaro Institute of Technology Management</x:v>
      </x:c>
      <x:c r="C148" t="str">
        <x:v>Not Started</x:v>
      </x:c>
      <x:c r="D148" s="12"/>
      <x:c r="E148" s="12"/>
      <x:c r="F148" s="12"/>
      <x:c r="G148" s="12"/>
      <x:c r="H148" s="12"/>
      <x:c r="I148" s="12"/>
      <x:c r="J148" s="14" t="str">
        <x:f>IFERROR(H148/I148,"")</x:f>
      </x:c>
      <x:c r="K148"/>
      <x:c r="L148"/>
      <x:c r="M148"/>
      <x:c r="N148"/>
      <x:c r="O148"/>
      <x:c r="P148"/>
      <x:c r="Q148" t="str">
        <x:f>IFERROR(O148/P148,"")</x:f>
      </x:c>
      <x:c r="R148"/>
      <x:c r="S148"/>
      <x:c r="T148"/>
      <x:c r="U148"/>
      <x:c r="V148" t="str">
        <x:f>IFERROR((T148-U148)/U148,"")</x:f>
      </x:c>
      <x:c r="W148"/>
      <x:c r="X148"/>
      <x:c r="Y148"/>
      <x:c r="Z148"/>
      <x:c r="AA148" t="str"/>
      <x:c r="AB148" t="str"/>
      <x:c r="AC148" t="str">
        <x:v>2026-06-15</x:v>
      </x:c>
    </x:row>
    <x:row r="149">
      <x:c r="A149" t="n">
        <x:v>148</x:v>
      </x:c>
      <x:c r="B149" t="str">
        <x:v>Jinkushal Industries Ltd</x:v>
      </x:c>
      <x:c r="C149" t="str">
        <x:v>Not Started</x:v>
      </x:c>
      <x:c r="D149" s="12"/>
      <x:c r="E149" s="12"/>
      <x:c r="F149" s="12"/>
      <x:c r="G149" s="12"/>
      <x:c r="H149" s="12"/>
      <x:c r="I149" s="12"/>
      <x:c r="J149" s="14" t="str">
        <x:f>IFERROR(H149/I149,"")</x:f>
      </x:c>
      <x:c r="K149"/>
      <x:c r="L149"/>
      <x:c r="M149"/>
      <x:c r="N149"/>
      <x:c r="O149"/>
      <x:c r="P149"/>
      <x:c r="Q149" t="str">
        <x:f>IFERROR(O149/P149,"")</x:f>
      </x:c>
      <x:c r="R149"/>
      <x:c r="S149"/>
      <x:c r="T149"/>
      <x:c r="U149"/>
      <x:c r="V149" t="str">
        <x:f>IFERROR((T149-U149)/U149,"")</x:f>
      </x:c>
      <x:c r="W149"/>
      <x:c r="X149"/>
      <x:c r="Y149"/>
      <x:c r="Z149"/>
      <x:c r="AA149" t="str"/>
      <x:c r="AB149" t="str"/>
      <x:c r="AC149" t="str">
        <x:v>2026-06-15</x:v>
      </x:c>
    </x:row>
    <x:row r="150">
      <x:c r="A150" t="n">
        <x:v>149</x:v>
      </x:c>
      <x:c r="B150" t="str">
        <x:v>JNK India</x:v>
      </x:c>
      <x:c r="C150" t="str">
        <x:v>Not Started</x:v>
      </x:c>
      <x:c r="D150" s="12"/>
      <x:c r="E150" s="12"/>
      <x:c r="F150" s="12"/>
      <x:c r="G150" s="12"/>
      <x:c r="H150" s="12"/>
      <x:c r="I150" s="12"/>
      <x:c r="J150" s="14" t="str">
        <x:f>IFERROR(H150/I150,"")</x:f>
      </x:c>
      <x:c r="K150"/>
      <x:c r="L150"/>
      <x:c r="M150"/>
      <x:c r="N150"/>
      <x:c r="O150"/>
      <x:c r="P150"/>
      <x:c r="Q150" t="str">
        <x:f>IFERROR(O150/P150,"")</x:f>
      </x:c>
      <x:c r="R150"/>
      <x:c r="S150"/>
      <x:c r="T150"/>
      <x:c r="U150"/>
      <x:c r="V150" t="str">
        <x:f>IFERROR((T150-U150)/U150,"")</x:f>
      </x:c>
      <x:c r="W150"/>
      <x:c r="X150"/>
      <x:c r="Y150"/>
      <x:c r="Z150"/>
      <x:c r="AA150" t="str"/>
      <x:c r="AB150" t="str"/>
      <x:c r="AC150" t="str">
        <x:v>2026-06-15</x:v>
      </x:c>
    </x:row>
    <x:row r="151">
      <x:c r="A151" t="n">
        <x:v>150</x:v>
      </x:c>
      <x:c r="B151" t="str">
        <x:v>Jana SFB</x:v>
      </x:c>
      <x:c r="C151" t="str">
        <x:v>Not Started</x:v>
      </x:c>
      <x:c r="D151" s="12"/>
      <x:c r="E151" s="12"/>
      <x:c r="F151" s="12"/>
      <x:c r="G151" s="12"/>
      <x:c r="H151" s="12"/>
      <x:c r="I151" s="12"/>
      <x:c r="J151" s="14" t="str">
        <x:f>IFERROR(H151/I151,"")</x:f>
      </x:c>
      <x:c r="K151"/>
      <x:c r="L151"/>
      <x:c r="M151"/>
      <x:c r="N151"/>
      <x:c r="O151"/>
      <x:c r="P151"/>
      <x:c r="Q151" t="str">
        <x:f>IFERROR(O151/P151,"")</x:f>
      </x:c>
      <x:c r="R151"/>
      <x:c r="S151"/>
      <x:c r="T151"/>
      <x:c r="U151"/>
      <x:c r="V151" t="str">
        <x:f>IFERROR((T151-U151)/U151,"")</x:f>
      </x:c>
      <x:c r="W151"/>
      <x:c r="X151"/>
      <x:c r="Y151"/>
      <x:c r="Z151"/>
      <x:c r="AA151" t="str"/>
      <x:c r="AB151" t="str"/>
      <x:c r="AC151" t="str">
        <x:v>2026-06-15</x:v>
      </x:c>
    </x:row>
    <x:row r="152">
      <x:c r="A152" t="n">
        <x:v>151</x:v>
      </x:c>
      <x:c r="B152" t="str">
        <x:v>Jupiter Life Line Hospitals</x:v>
      </x:c>
      <x:c r="C152" t="str">
        <x:v>Not Started</x:v>
      </x:c>
      <x:c r="D152" s="12"/>
      <x:c r="E152" s="12"/>
      <x:c r="F152" s="12"/>
      <x:c r="G152" s="12"/>
      <x:c r="H152" s="12"/>
      <x:c r="I152" s="12"/>
      <x:c r="J152" s="14" t="str">
        <x:f>IFERROR(H152/I152,"")</x:f>
      </x:c>
      <x:c r="K152"/>
      <x:c r="L152"/>
      <x:c r="M152"/>
      <x:c r="N152"/>
      <x:c r="O152"/>
      <x:c r="P152"/>
      <x:c r="Q152" t="str">
        <x:f>IFERROR(O152/P152,"")</x:f>
      </x:c>
      <x:c r="R152"/>
      <x:c r="S152"/>
      <x:c r="T152"/>
      <x:c r="U152"/>
      <x:c r="V152" t="str">
        <x:f>IFERROR((T152-U152)/U152,"")</x:f>
      </x:c>
      <x:c r="W152"/>
      <x:c r="X152"/>
      <x:c r="Y152"/>
      <x:c r="Z152"/>
      <x:c r="AA152" t="str"/>
      <x:c r="AB152" t="str"/>
      <x:c r="AC152" t="str">
        <x:v>2026-06-15</x:v>
      </x:c>
    </x:row>
    <x:row r="153">
      <x:c r="A153" t="n">
        <x:v>152</x:v>
      </x:c>
      <x:c r="B153" t="str">
        <x:v>KFin Technologies</x:v>
      </x:c>
      <x:c r="C153" t="str">
        <x:v>Not Started</x:v>
      </x:c>
      <x:c r="D153" s="12"/>
      <x:c r="E153" s="12"/>
      <x:c r="F153" s="12"/>
      <x:c r="G153" s="12"/>
      <x:c r="H153" s="12"/>
      <x:c r="I153" s="12"/>
      <x:c r="J153" s="14" t="str">
        <x:f>IFERROR(H153/I153,"")</x:f>
      </x:c>
      <x:c r="K153"/>
      <x:c r="L153"/>
      <x:c r="M153"/>
      <x:c r="N153"/>
      <x:c r="O153"/>
      <x:c r="P153"/>
      <x:c r="Q153" t="str">
        <x:f>IFERROR(O153/P153,"")</x:f>
      </x:c>
      <x:c r="R153"/>
      <x:c r="S153"/>
      <x:c r="T153"/>
      <x:c r="U153"/>
      <x:c r="V153" t="str">
        <x:f>IFERROR((T153-U153)/U153,"")</x:f>
      </x:c>
      <x:c r="W153"/>
      <x:c r="X153"/>
      <x:c r="Y153"/>
      <x:c r="Z153"/>
      <x:c r="AA153" t="str"/>
      <x:c r="AB153" t="str"/>
      <x:c r="AC153" t="str">
        <x:v>2026-06-15</x:v>
      </x:c>
    </x:row>
    <x:row r="154">
      <x:c r="A154" t="n">
        <x:v>153</x:v>
      </x:c>
      <x:c r="B154" t="str">
        <x:v>KSH International Ltd</x:v>
      </x:c>
      <x:c r="C154" t="str">
        <x:v>Not Started</x:v>
      </x:c>
      <x:c r="D154" s="12"/>
      <x:c r="E154" s="12"/>
      <x:c r="F154" s="12"/>
      <x:c r="G154" s="12"/>
      <x:c r="H154" s="12"/>
      <x:c r="I154" s="12"/>
      <x:c r="J154" s="14" t="str">
        <x:f>IFERROR(H154/I154,"")</x:f>
      </x:c>
      <x:c r="K154"/>
      <x:c r="L154"/>
      <x:c r="M154"/>
      <x:c r="N154"/>
      <x:c r="O154"/>
      <x:c r="P154"/>
      <x:c r="Q154" t="str">
        <x:f>IFERROR(O154/P154,"")</x:f>
      </x:c>
      <x:c r="R154"/>
      <x:c r="S154"/>
      <x:c r="T154"/>
      <x:c r="U154"/>
      <x:c r="V154" t="str">
        <x:f>IFERROR((T154-U154)/U154,"")</x:f>
      </x:c>
      <x:c r="W154"/>
      <x:c r="X154"/>
      <x:c r="Y154"/>
      <x:c r="Z154"/>
      <x:c r="AA154" t="str"/>
      <x:c r="AB154" t="str"/>
      <x:c r="AC154" t="str">
        <x:v>2026-06-15</x:v>
      </x:c>
    </x:row>
    <x:row r="155">
      <x:c r="A155" t="n">
        <x:v>154</x:v>
      </x:c>
      <x:c r="B155" t="str">
        <x:v>Kalpataru Limited</x:v>
      </x:c>
      <x:c r="C155" t="str">
        <x:v>Not Started</x:v>
      </x:c>
      <x:c r="D155" s="12"/>
      <x:c r="E155" s="12"/>
      <x:c r="F155" s="12"/>
      <x:c r="G155" s="12"/>
      <x:c r="H155" s="12"/>
      <x:c r="I155" s="12"/>
      <x:c r="J155" s="14" t="str">
        <x:f>IFERROR(H155/I155,"")</x:f>
      </x:c>
      <x:c r="K155"/>
      <x:c r="L155"/>
      <x:c r="M155"/>
      <x:c r="N155"/>
      <x:c r="O155"/>
      <x:c r="P155"/>
      <x:c r="Q155" t="str">
        <x:f>IFERROR(O155/P155,"")</x:f>
      </x:c>
      <x:c r="R155"/>
      <x:c r="S155"/>
      <x:c r="T155"/>
      <x:c r="U155"/>
      <x:c r="V155" t="str">
        <x:f>IFERROR((T155-U155)/U155,"")</x:f>
      </x:c>
      <x:c r="W155"/>
      <x:c r="X155"/>
      <x:c r="Y155"/>
      <x:c r="Z155"/>
      <x:c r="AA155" t="str"/>
      <x:c r="AB155" t="str"/>
      <x:c r="AC155" t="str">
        <x:v>2026-06-15</x:v>
      </x:c>
    </x:row>
    <x:row r="156">
      <x:c r="A156" t="n">
        <x:v>155</x:v>
      </x:c>
      <x:c r="B156" t="str">
        <x:v>Kalyan Jewellers</x:v>
      </x:c>
      <x:c r="C156" t="str">
        <x:v>Not Started</x:v>
      </x:c>
      <x:c r="D156" s="12"/>
      <x:c r="E156" s="12"/>
      <x:c r="F156" s="12"/>
      <x:c r="G156" s="12"/>
      <x:c r="H156" s="12"/>
      <x:c r="I156" s="12"/>
      <x:c r="J156" s="14" t="str">
        <x:f>IFERROR(H156/I156,"")</x:f>
      </x:c>
      <x:c r="K156"/>
      <x:c r="L156"/>
      <x:c r="M156"/>
      <x:c r="N156"/>
      <x:c r="O156"/>
      <x:c r="P156"/>
      <x:c r="Q156" t="str">
        <x:f>IFERROR(O156/P156,"")</x:f>
      </x:c>
      <x:c r="R156"/>
      <x:c r="S156"/>
      <x:c r="T156"/>
      <x:c r="U156"/>
      <x:c r="V156" t="str">
        <x:f>IFERROR((T156-U156)/U156,"")</x:f>
      </x:c>
      <x:c r="W156"/>
      <x:c r="X156"/>
      <x:c r="Y156"/>
      <x:c r="Z156"/>
      <x:c r="AA156" t="str"/>
      <x:c r="AB156" t="str"/>
      <x:c r="AC156" t="str">
        <x:v>2026-06-15</x:v>
      </x:c>
    </x:row>
    <x:row r="157">
      <x:c r="A157" t="n">
        <x:v>156</x:v>
      </x:c>
      <x:c r="B157" t="str">
        <x:v>Kaynes Technology India</x:v>
      </x:c>
      <x:c r="C157" t="str">
        <x:v>Not Started</x:v>
      </x:c>
      <x:c r="D157" s="12"/>
      <x:c r="E157" s="12"/>
      <x:c r="F157" s="12"/>
      <x:c r="G157" s="12"/>
      <x:c r="H157" s="12"/>
      <x:c r="I157" s="12"/>
      <x:c r="J157" s="14" t="str">
        <x:f>IFERROR(H157/I157,"")</x:f>
      </x:c>
      <x:c r="K157"/>
      <x:c r="L157"/>
      <x:c r="M157"/>
      <x:c r="N157"/>
      <x:c r="O157"/>
      <x:c r="P157"/>
      <x:c r="Q157" t="str">
        <x:f>IFERROR(O157/P157,"")</x:f>
      </x:c>
      <x:c r="R157"/>
      <x:c r="S157"/>
      <x:c r="T157"/>
      <x:c r="U157"/>
      <x:c r="V157" t="str">
        <x:f>IFERROR((T157-U157)/U157,"")</x:f>
      </x:c>
      <x:c r="W157"/>
      <x:c r="X157"/>
      <x:c r="Y157"/>
      <x:c r="Z157"/>
      <x:c r="AA157" t="str"/>
      <x:c r="AB157" t="str"/>
      <x:c r="AC157" t="str">
        <x:v>2026-06-15</x:v>
      </x:c>
    </x:row>
    <x:row r="158">
      <x:c r="A158" t="n">
        <x:v>157</x:v>
      </x:c>
      <x:c r="B158" t="str">
        <x:v>Keystone Realtors</x:v>
      </x:c>
      <x:c r="C158" t="str">
        <x:v>Not Started</x:v>
      </x:c>
      <x:c r="D158" s="12"/>
      <x:c r="E158" s="12"/>
      <x:c r="F158" s="12"/>
      <x:c r="G158" s="12"/>
      <x:c r="H158" s="12"/>
      <x:c r="I158" s="12"/>
      <x:c r="J158" s="14" t="str">
        <x:f>IFERROR(H158/I158,"")</x:f>
      </x:c>
      <x:c r="K158"/>
      <x:c r="L158"/>
      <x:c r="M158"/>
      <x:c r="N158"/>
      <x:c r="O158"/>
      <x:c r="P158"/>
      <x:c r="Q158" t="str">
        <x:f>IFERROR(O158/P158,"")</x:f>
      </x:c>
      <x:c r="R158"/>
      <x:c r="S158"/>
      <x:c r="T158"/>
      <x:c r="U158"/>
      <x:c r="V158" t="str">
        <x:f>IFERROR((T158-U158)/U158,"")</x:f>
      </x:c>
      <x:c r="W158"/>
      <x:c r="X158"/>
      <x:c r="Y158"/>
      <x:c r="Z158"/>
      <x:c r="AA158" t="str"/>
      <x:c r="AB158" t="str"/>
      <x:c r="AC158" t="str">
        <x:v>2026-06-15</x:v>
      </x:c>
    </x:row>
    <x:row r="159">
      <x:c r="A159" t="n">
        <x:v>158</x:v>
      </x:c>
      <x:c r="B159" t="str">
        <x:v>KIMS</x:v>
      </x:c>
      <x:c r="C159" t="str">
        <x:v>Not Started</x:v>
      </x:c>
      <x:c r="D159" s="12"/>
      <x:c r="E159" s="12"/>
      <x:c r="F159" s="12"/>
      <x:c r="G159" s="12"/>
      <x:c r="H159" s="12"/>
      <x:c r="I159" s="12"/>
      <x:c r="J159" s="14" t="str">
        <x:f>IFERROR(H159/I159,"")</x:f>
      </x:c>
      <x:c r="K159"/>
      <x:c r="L159"/>
      <x:c r="M159"/>
      <x:c r="N159"/>
      <x:c r="O159"/>
      <x:c r="P159"/>
      <x:c r="Q159" t="str">
        <x:f>IFERROR(O159/P159,"")</x:f>
      </x:c>
      <x:c r="R159"/>
      <x:c r="S159"/>
      <x:c r="T159"/>
      <x:c r="U159"/>
      <x:c r="V159" t="str">
        <x:f>IFERROR((T159-U159)/U159,"")</x:f>
      </x:c>
      <x:c r="W159"/>
      <x:c r="X159"/>
      <x:c r="Y159"/>
      <x:c r="Z159"/>
      <x:c r="AA159" t="str"/>
      <x:c r="AB159" t="str"/>
      <x:c r="AC159" t="str">
        <x:v>2026-06-15</x:v>
      </x:c>
    </x:row>
    <x:row r="160">
      <x:c r="A160" t="n">
        <x:v>159</x:v>
      </x:c>
      <x:c r="B160" t="str">
        <x:v>Knowledge Realty Trust REIT</x:v>
      </x:c>
      <x:c r="C160" t="str">
        <x:v>Not Started</x:v>
      </x:c>
      <x:c r="D160" s="12"/>
      <x:c r="E160" s="12"/>
      <x:c r="F160" s="12"/>
      <x:c r="G160" s="12"/>
      <x:c r="H160" s="12"/>
      <x:c r="I160" s="12"/>
      <x:c r="J160" s="14" t="str">
        <x:f>IFERROR(H160/I160,"")</x:f>
      </x:c>
      <x:c r="K160"/>
      <x:c r="L160"/>
      <x:c r="M160"/>
      <x:c r="N160"/>
      <x:c r="O160"/>
      <x:c r="P160"/>
      <x:c r="Q160" t="str">
        <x:f>IFERROR(O160/P160,"")</x:f>
      </x:c>
      <x:c r="R160"/>
      <x:c r="S160"/>
      <x:c r="T160"/>
      <x:c r="U160"/>
      <x:c r="V160" t="str">
        <x:f>IFERROR((T160-U160)/U160,"")</x:f>
      </x:c>
      <x:c r="W160"/>
      <x:c r="X160"/>
      <x:c r="Y160"/>
      <x:c r="Z160"/>
      <x:c r="AA160" t="str"/>
      <x:c r="AB160" t="str"/>
      <x:c r="AC160" t="str">
        <x:v>2026-06-15</x:v>
      </x:c>
    </x:row>
    <x:row r="161">
      <x:c r="A161" t="n">
        <x:v>160</x:v>
      </x:c>
      <x:c r="B161" t="str">
        <x:v>Krsnaa Diagnostics</x:v>
      </x:c>
      <x:c r="C161" t="str">
        <x:v>Not Started</x:v>
      </x:c>
      <x:c r="D161" s="12"/>
      <x:c r="E161" s="12"/>
      <x:c r="F161" s="12"/>
      <x:c r="G161" s="12"/>
      <x:c r="H161" s="12"/>
      <x:c r="I161" s="12"/>
      <x:c r="J161" s="14" t="str">
        <x:f>IFERROR(H161/I161,"")</x:f>
      </x:c>
      <x:c r="K161"/>
      <x:c r="L161"/>
      <x:c r="M161"/>
      <x:c r="N161"/>
      <x:c r="O161"/>
      <x:c r="P161"/>
      <x:c r="Q161" t="str">
        <x:f>IFERROR(O161/P161,"")</x:f>
      </x:c>
      <x:c r="R161"/>
      <x:c r="S161"/>
      <x:c r="T161"/>
      <x:c r="U161"/>
      <x:c r="V161" t="str">
        <x:f>IFERROR((T161-U161)/U161,"")</x:f>
      </x:c>
      <x:c r="W161"/>
      <x:c r="X161"/>
      <x:c r="Y161"/>
      <x:c r="Z161"/>
      <x:c r="AA161" t="str"/>
      <x:c r="AB161" t="str"/>
      <x:c r="AC161" t="str">
        <x:v>2026-06-15</x:v>
      </x:c>
    </x:row>
    <x:row r="162">
      <x:c r="A162" t="n">
        <x:v>161</x:v>
      </x:c>
      <x:c r="B162" t="str">
        <x:v>LG Electronics India Ltd</x:v>
      </x:c>
      <x:c r="C162" t="str">
        <x:v>Not Started</x:v>
      </x:c>
      <x:c r="D162" s="12"/>
      <x:c r="E162" s="12"/>
      <x:c r="F162" s="12"/>
      <x:c r="G162" s="12"/>
      <x:c r="H162" s="12"/>
      <x:c r="I162" s="12"/>
      <x:c r="J162" s="14" t="str">
        <x:f>IFERROR(H162/I162,"")</x:f>
      </x:c>
      <x:c r="K162"/>
      <x:c r="L162"/>
      <x:c r="M162"/>
      <x:c r="N162"/>
      <x:c r="O162"/>
      <x:c r="P162"/>
      <x:c r="Q162" t="str">
        <x:f>IFERROR(O162/P162,"")</x:f>
      </x:c>
      <x:c r="R162"/>
      <x:c r="S162"/>
      <x:c r="T162"/>
      <x:c r="U162"/>
      <x:c r="V162" t="str">
        <x:f>IFERROR((T162-U162)/U162,"")</x:f>
      </x:c>
      <x:c r="W162"/>
      <x:c r="X162"/>
      <x:c r="Y162"/>
      <x:c r="Z162"/>
      <x:c r="AA162" t="str"/>
      <x:c r="AB162" t="str"/>
      <x:c r="AC162" t="str">
        <x:v>2026-06-15</x:v>
      </x:c>
    </x:row>
    <x:row r="163">
      <x:c r="A163" t="n">
        <x:v>162</x:v>
      </x:c>
      <x:c r="B163" t="str">
        <x:v>LIC</x:v>
      </x:c>
      <x:c r="C163" t="str">
        <x:v>Not Started</x:v>
      </x:c>
      <x:c r="D163" s="12"/>
      <x:c r="E163" s="12"/>
      <x:c r="F163" s="12"/>
      <x:c r="G163" s="12"/>
      <x:c r="H163" s="12"/>
      <x:c r="I163" s="12"/>
      <x:c r="J163" s="14" t="str">
        <x:f>IFERROR(H163/I163,"")</x:f>
      </x:c>
      <x:c r="K163"/>
      <x:c r="L163"/>
      <x:c r="M163"/>
      <x:c r="N163"/>
      <x:c r="O163"/>
      <x:c r="P163"/>
      <x:c r="Q163" t="str">
        <x:f>IFERROR(O163/P163,"")</x:f>
      </x:c>
      <x:c r="R163"/>
      <x:c r="S163"/>
      <x:c r="T163"/>
      <x:c r="U163"/>
      <x:c r="V163" t="str">
        <x:f>IFERROR((T163-U163)/U163,"")</x:f>
      </x:c>
      <x:c r="W163"/>
      <x:c r="X163"/>
      <x:c r="Y163"/>
      <x:c r="Z163"/>
      <x:c r="AA163" t="str"/>
      <x:c r="AB163" t="str"/>
      <x:c r="AC163" t="str">
        <x:v>2026-06-15</x:v>
      </x:c>
    </x:row>
    <x:row r="164">
      <x:c r="A164" t="n">
        <x:v>163</x:v>
      </x:c>
      <x:c r="B164" t="str">
        <x:v>Landmark Cars</x:v>
      </x:c>
      <x:c r="C164" t="str">
        <x:v>Not Started</x:v>
      </x:c>
      <x:c r="D164" s="12"/>
      <x:c r="E164" s="12"/>
      <x:c r="F164" s="12"/>
      <x:c r="G164" s="12"/>
      <x:c r="H164" s="12"/>
      <x:c r="I164" s="12"/>
      <x:c r="J164" s="14" t="str">
        <x:f>IFERROR(H164/I164,"")</x:f>
      </x:c>
      <x:c r="K164"/>
      <x:c r="L164"/>
      <x:c r="M164"/>
      <x:c r="N164"/>
      <x:c r="O164"/>
      <x:c r="P164"/>
      <x:c r="Q164" t="str">
        <x:f>IFERROR(O164/P164,"")</x:f>
      </x:c>
      <x:c r="R164"/>
      <x:c r="S164"/>
      <x:c r="T164"/>
      <x:c r="U164"/>
      <x:c r="V164" t="str">
        <x:f>IFERROR((T164-U164)/U164,"")</x:f>
      </x:c>
      <x:c r="W164"/>
      <x:c r="X164"/>
      <x:c r="Y164"/>
      <x:c r="Z164"/>
      <x:c r="AA164" t="str"/>
      <x:c r="AB164" t="str"/>
      <x:c r="AC164" t="str">
        <x:v>2026-06-15</x:v>
      </x:c>
    </x:row>
    <x:row r="165">
      <x:c r="A165" t="n">
        <x:v>164</x:v>
      </x:c>
      <x:c r="B165" t="str">
        <x:v>Latent View Analytics</x:v>
      </x:c>
      <x:c r="C165" t="str">
        <x:v>Not Started</x:v>
      </x:c>
      <x:c r="D165" s="12"/>
      <x:c r="E165" s="12"/>
      <x:c r="F165" s="12"/>
      <x:c r="G165" s="12"/>
      <x:c r="H165" s="12"/>
      <x:c r="I165" s="12"/>
      <x:c r="J165" s="14" t="str">
        <x:f>IFERROR(H165/I165,"")</x:f>
      </x:c>
      <x:c r="K165"/>
      <x:c r="L165"/>
      <x:c r="M165"/>
      <x:c r="N165"/>
      <x:c r="O165"/>
      <x:c r="P165"/>
      <x:c r="Q165" t="str">
        <x:f>IFERROR(O165/P165,"")</x:f>
      </x:c>
      <x:c r="R165"/>
      <x:c r="S165"/>
      <x:c r="T165"/>
      <x:c r="U165"/>
      <x:c r="V165" t="str">
        <x:f>IFERROR((T165-U165)/U165,"")</x:f>
      </x:c>
      <x:c r="W165"/>
      <x:c r="X165"/>
      <x:c r="Y165"/>
      <x:c r="Z165"/>
      <x:c r="AA165" t="str"/>
      <x:c r="AB165" t="str"/>
      <x:c r="AC165" t="str">
        <x:v>2026-06-15</x:v>
      </x:c>
    </x:row>
    <x:row r="166">
      <x:c r="A166" t="n">
        <x:v>165</x:v>
      </x:c>
      <x:c r="B166" t="str">
        <x:v>Laxmi India Finance Ltd</x:v>
      </x:c>
      <x:c r="C166" t="str">
        <x:v>Not Started</x:v>
      </x:c>
      <x:c r="D166" s="12"/>
      <x:c r="E166" s="12"/>
      <x:c r="F166" s="12"/>
      <x:c r="G166" s="12"/>
      <x:c r="H166" s="12"/>
      <x:c r="I166" s="12"/>
      <x:c r="J166" s="14" t="str">
        <x:f>IFERROR(H166/I166,"")</x:f>
      </x:c>
      <x:c r="K166"/>
      <x:c r="L166"/>
      <x:c r="M166"/>
      <x:c r="N166"/>
      <x:c r="O166"/>
      <x:c r="P166"/>
      <x:c r="Q166" t="str">
        <x:f>IFERROR(O166/P166,"")</x:f>
      </x:c>
      <x:c r="R166"/>
      <x:c r="S166"/>
      <x:c r="T166"/>
      <x:c r="U166"/>
      <x:c r="V166" t="str">
        <x:f>IFERROR((T166-U166)/U166,"")</x:f>
      </x:c>
      <x:c r="W166"/>
      <x:c r="X166"/>
      <x:c r="Y166"/>
      <x:c r="Z166"/>
      <x:c r="AA166" t="str"/>
      <x:c r="AB166" t="str"/>
      <x:c r="AC166" t="str">
        <x:v>2026-06-15</x:v>
      </x:c>
    </x:row>
    <x:row r="167">
      <x:c r="A167" t="n">
        <x:v>166</x:v>
      </x:c>
      <x:c r="B167" t="str">
        <x:v>Lenskart Solutions Ltd</x:v>
      </x:c>
      <x:c r="C167" t="str">
        <x:v>Not Started</x:v>
      </x:c>
      <x:c r="D167" s="12"/>
      <x:c r="E167" s="12"/>
      <x:c r="F167" s="12"/>
      <x:c r="G167" s="12"/>
      <x:c r="H167" s="12"/>
      <x:c r="I167" s="12"/>
      <x:c r="J167" s="14" t="str">
        <x:f>IFERROR(H167/I167,"")</x:f>
      </x:c>
      <x:c r="K167"/>
      <x:c r="L167"/>
      <x:c r="M167"/>
      <x:c r="N167"/>
      <x:c r="O167"/>
      <x:c r="P167"/>
      <x:c r="Q167" t="str">
        <x:f>IFERROR(O167/P167,"")</x:f>
      </x:c>
      <x:c r="R167"/>
      <x:c r="S167"/>
      <x:c r="T167"/>
      <x:c r="U167"/>
      <x:c r="V167" t="str">
        <x:f>IFERROR((T167-U167)/U167,"")</x:f>
      </x:c>
      <x:c r="W167"/>
      <x:c r="X167"/>
      <x:c r="Y167"/>
      <x:c r="Z167"/>
      <x:c r="AA167" t="str"/>
      <x:c r="AB167" t="str"/>
      <x:c r="AC167" t="str">
        <x:v>2026-06-15</x:v>
      </x:c>
    </x:row>
    <x:row r="168">
      <x:c r="A168" t="n">
        <x:v>167</x:v>
      </x:c>
      <x:c r="B168" t="str">
        <x:v>Likhitha Infrastructure</x:v>
      </x:c>
      <x:c r="C168" t="str">
        <x:v>Not Started</x:v>
      </x:c>
      <x:c r="D168" s="12"/>
      <x:c r="E168" s="12"/>
      <x:c r="F168" s="12"/>
      <x:c r="G168" s="12"/>
      <x:c r="H168" s="12"/>
      <x:c r="I168" s="12"/>
      <x:c r="J168" s="14" t="str">
        <x:f>IFERROR(H168/I168,"")</x:f>
      </x:c>
      <x:c r="K168"/>
      <x:c r="L168"/>
      <x:c r="M168"/>
      <x:c r="N168"/>
      <x:c r="O168"/>
      <x:c r="P168"/>
      <x:c r="Q168" t="str">
        <x:f>IFERROR(O168/P168,"")</x:f>
      </x:c>
      <x:c r="R168"/>
      <x:c r="S168"/>
      <x:c r="T168"/>
      <x:c r="U168"/>
      <x:c r="V168" t="str">
        <x:f>IFERROR((T168-U168)/U168,"")</x:f>
      </x:c>
      <x:c r="W168"/>
      <x:c r="X168"/>
      <x:c r="Y168"/>
      <x:c r="Z168"/>
      <x:c r="AA168" t="str"/>
      <x:c r="AB168" t="str"/>
      <x:c r="AC168" t="str">
        <x:v>2026-06-15</x:v>
      </x:c>
    </x:row>
    <x:row r="169">
      <x:c r="A169" t="n">
        <x:v>168</x:v>
      </x:c>
      <x:c r="B169" t="str">
        <x:v>Lodha Macrotech Developers</x:v>
      </x:c>
      <x:c r="C169" t="str">
        <x:v>Not Started</x:v>
      </x:c>
      <x:c r="D169" s="12"/>
      <x:c r="E169" s="12"/>
      <x:c r="F169" s="12"/>
      <x:c r="G169" s="12"/>
      <x:c r="H169" s="12"/>
      <x:c r="I169" s="12"/>
      <x:c r="J169" s="14" t="str">
        <x:f>IFERROR(H169/I169,"")</x:f>
      </x:c>
      <x:c r="K169"/>
      <x:c r="L169"/>
      <x:c r="M169"/>
      <x:c r="N169"/>
      <x:c r="O169"/>
      <x:c r="P169"/>
      <x:c r="Q169" t="str">
        <x:f>IFERROR(O169/P169,"")</x:f>
      </x:c>
      <x:c r="R169"/>
      <x:c r="S169"/>
      <x:c r="T169"/>
      <x:c r="U169"/>
      <x:c r="V169" t="str">
        <x:f>IFERROR((T169-U169)/U169,"")</x:f>
      </x:c>
      <x:c r="W169"/>
      <x:c r="X169"/>
      <x:c r="Y169"/>
      <x:c r="Z169"/>
      <x:c r="AA169" t="str"/>
      <x:c r="AB169" t="str"/>
      <x:c r="AC169" t="str">
        <x:v>2026-06-15</x:v>
      </x:c>
    </x:row>
    <x:row r="170">
      <x:c r="A170" t="n">
        <x:v>169</x:v>
      </x:c>
      <x:c r="B170" t="str">
        <x:v>M B Engineering Ltd</x:v>
      </x:c>
      <x:c r="C170" t="str">
        <x:v>Not Started</x:v>
      </x:c>
      <x:c r="D170" s="12"/>
      <x:c r="E170" s="12"/>
      <x:c r="F170" s="12"/>
      <x:c r="G170" s="12"/>
      <x:c r="H170" s="12"/>
      <x:c r="I170" s="12"/>
      <x:c r="J170" s="14" t="str">
        <x:f>IFERROR(H170/I170,"")</x:f>
      </x:c>
      <x:c r="K170"/>
      <x:c r="L170"/>
      <x:c r="M170"/>
      <x:c r="N170"/>
      <x:c r="O170"/>
      <x:c r="P170"/>
      <x:c r="Q170" t="str">
        <x:f>IFERROR(O170/P170,"")</x:f>
      </x:c>
      <x:c r="R170"/>
      <x:c r="S170"/>
      <x:c r="T170"/>
      <x:c r="U170"/>
      <x:c r="V170" t="str">
        <x:f>IFERROR((T170-U170)/U170,"")</x:f>
      </x:c>
      <x:c r="W170"/>
      <x:c r="X170"/>
      <x:c r="Y170"/>
      <x:c r="Z170"/>
      <x:c r="AA170" t="str"/>
      <x:c r="AB170" t="str"/>
      <x:c r="AC170" t="str">
        <x:v>2026-06-15</x:v>
      </x:c>
    </x:row>
    <x:row r="171">
      <x:c r="A171" t="n">
        <x:v>170</x:v>
      </x:c>
      <x:c r="B171" t="str">
        <x:v>Mamaearth</x:v>
      </x:c>
      <x:c r="C171" t="str">
        <x:v>Not Started</x:v>
      </x:c>
      <x:c r="D171" s="12"/>
      <x:c r="E171" s="12"/>
      <x:c r="F171" s="12"/>
      <x:c r="G171" s="12"/>
      <x:c r="H171" s="12"/>
      <x:c r="I171" s="12"/>
      <x:c r="J171" s="14" t="str">
        <x:f>IFERROR(H171/I171,"")</x:f>
      </x:c>
      <x:c r="K171"/>
      <x:c r="L171"/>
      <x:c r="M171"/>
      <x:c r="N171"/>
      <x:c r="O171"/>
      <x:c r="P171"/>
      <x:c r="Q171" t="str">
        <x:f>IFERROR(O171/P171,"")</x:f>
      </x:c>
      <x:c r="R171"/>
      <x:c r="S171"/>
      <x:c r="T171"/>
      <x:c r="U171"/>
      <x:c r="V171" t="str">
        <x:f>IFERROR((T171-U171)/U171,"")</x:f>
      </x:c>
      <x:c r="W171"/>
      <x:c r="X171"/>
      <x:c r="Y171"/>
      <x:c r="Z171"/>
      <x:c r="AA171" t="str"/>
      <x:c r="AB171" t="str"/>
      <x:c r="AC171" t="str">
        <x:v>2026-06-15</x:v>
      </x:c>
    </x:row>
    <x:row r="172">
      <x:c r="A172" t="n">
        <x:v>171</x:v>
      </x:c>
      <x:c r="B172" t="str">
        <x:v>Mangal Electrical Industries Ltd</x:v>
      </x:c>
      <x:c r="C172" t="str">
        <x:v>Not Started</x:v>
      </x:c>
      <x:c r="D172" s="12"/>
      <x:c r="E172" s="12"/>
      <x:c r="F172" s="12"/>
      <x:c r="G172" s="12"/>
      <x:c r="H172" s="12"/>
      <x:c r="I172" s="12"/>
      <x:c r="J172" s="14" t="str">
        <x:f>IFERROR(H172/I172,"")</x:f>
      </x:c>
      <x:c r="K172"/>
      <x:c r="L172"/>
      <x:c r="M172"/>
      <x:c r="N172"/>
      <x:c r="O172"/>
      <x:c r="P172"/>
      <x:c r="Q172" t="str">
        <x:f>IFERROR(O172/P172,"")</x:f>
      </x:c>
      <x:c r="R172"/>
      <x:c r="S172"/>
      <x:c r="T172"/>
      <x:c r="U172"/>
      <x:c r="V172" t="str">
        <x:f>IFERROR((T172-U172)/U172,"")</x:f>
      </x:c>
      <x:c r="W172"/>
      <x:c r="X172"/>
      <x:c r="Y172"/>
      <x:c r="Z172"/>
      <x:c r="AA172" t="str"/>
      <x:c r="AB172" t="str"/>
      <x:c r="AC172" t="str">
        <x:v>2026-06-15</x:v>
      </x:c>
    </x:row>
    <x:row r="173">
      <x:c r="A173" t="n">
        <x:v>172</x:v>
      </x:c>
      <x:c r="B173" t="str">
        <x:v>Mankind Pharma</x:v>
      </x:c>
      <x:c r="C173" t="str">
        <x:v>Not Started</x:v>
      </x:c>
      <x:c r="D173" s="12"/>
      <x:c r="E173" s="12"/>
      <x:c r="F173" s="12"/>
      <x:c r="G173" s="12"/>
      <x:c r="H173" s="12"/>
      <x:c r="I173" s="12"/>
      <x:c r="J173" s="14" t="str">
        <x:f>IFERROR(H173/I173,"")</x:f>
      </x:c>
      <x:c r="K173"/>
      <x:c r="L173"/>
      <x:c r="M173"/>
      <x:c r="N173"/>
      <x:c r="O173"/>
      <x:c r="P173"/>
      <x:c r="Q173" t="str">
        <x:f>IFERROR(O173/P173,"")</x:f>
      </x:c>
      <x:c r="R173"/>
      <x:c r="S173"/>
      <x:c r="T173"/>
      <x:c r="U173"/>
      <x:c r="V173" t="str">
        <x:f>IFERROR((T173-U173)/U173,"")</x:f>
      </x:c>
      <x:c r="W173"/>
      <x:c r="X173"/>
      <x:c r="Y173"/>
      <x:c r="Z173"/>
      <x:c r="AA173" t="str"/>
      <x:c r="AB173" t="str"/>
      <x:c r="AC173" t="str">
        <x:v>2026-06-15</x:v>
      </x:c>
    </x:row>
    <x:row r="174">
      <x:c r="A174" t="n">
        <x:v>173</x:v>
      </x:c>
      <x:c r="B174" t="str">
        <x:v>Manoj Vaibhav Gems</x:v>
      </x:c>
      <x:c r="C174" t="str">
        <x:v>Not Started</x:v>
      </x:c>
      <x:c r="D174" s="12"/>
      <x:c r="E174" s="12"/>
      <x:c r="F174" s="12"/>
      <x:c r="G174" s="12"/>
      <x:c r="H174" s="12"/>
      <x:c r="I174" s="12"/>
      <x:c r="J174" s="14" t="str">
        <x:f>IFERROR(H174/I174,"")</x:f>
      </x:c>
      <x:c r="K174"/>
      <x:c r="L174"/>
      <x:c r="M174"/>
      <x:c r="N174"/>
      <x:c r="O174"/>
      <x:c r="P174"/>
      <x:c r="Q174" t="str">
        <x:f>IFERROR(O174/P174,"")</x:f>
      </x:c>
      <x:c r="R174"/>
      <x:c r="S174"/>
      <x:c r="T174"/>
      <x:c r="U174"/>
      <x:c r="V174" t="str">
        <x:f>IFERROR((T174-U174)/U174,"")</x:f>
      </x:c>
      <x:c r="W174"/>
      <x:c r="X174"/>
      <x:c r="Y174"/>
      <x:c r="Z174"/>
      <x:c r="AA174" t="str"/>
      <x:c r="AB174" t="str"/>
      <x:c r="AC174" t="str">
        <x:v>2026-06-15</x:v>
      </x:c>
    </x:row>
    <x:row r="175">
      <x:c r="A175" t="n">
        <x:v>174</x:v>
      </x:c>
      <x:c r="B175" t="str">
        <x:v>Mazagon Dock Shipbuilders</x:v>
      </x:c>
      <x:c r="C175" t="str">
        <x:v>Not Started</x:v>
      </x:c>
      <x:c r="D175" s="12"/>
      <x:c r="E175" s="12"/>
      <x:c r="F175" s="12"/>
      <x:c r="G175" s="12"/>
      <x:c r="H175" s="12"/>
      <x:c r="I175" s="12"/>
      <x:c r="J175" s="14" t="str">
        <x:f>IFERROR(H175/I175,"")</x:f>
      </x:c>
      <x:c r="K175"/>
      <x:c r="L175"/>
      <x:c r="M175"/>
      <x:c r="N175"/>
      <x:c r="O175"/>
      <x:c r="P175"/>
      <x:c r="Q175" t="str">
        <x:f>IFERROR(O175/P175,"")</x:f>
      </x:c>
      <x:c r="R175"/>
      <x:c r="S175"/>
      <x:c r="T175"/>
      <x:c r="U175"/>
      <x:c r="V175" t="str">
        <x:f>IFERROR((T175-U175)/U175,"")</x:f>
      </x:c>
      <x:c r="W175"/>
      <x:c r="X175"/>
      <x:c r="Y175"/>
      <x:c r="Z175"/>
      <x:c r="AA175" t="str"/>
      <x:c r="AB175" t="str"/>
      <x:c r="AC175" t="str">
        <x:v>2026-06-15</x:v>
      </x:c>
    </x:row>
    <x:row r="176">
      <x:c r="A176" t="n">
        <x:v>175</x:v>
      </x:c>
      <x:c r="B176" t="str">
        <x:v>Medi Assist</x:v>
      </x:c>
      <x:c r="C176" t="str">
        <x:v>Not Started</x:v>
      </x:c>
      <x:c r="D176" s="12"/>
      <x:c r="E176" s="12"/>
      <x:c r="F176" s="12"/>
      <x:c r="G176" s="12"/>
      <x:c r="H176" s="12"/>
      <x:c r="I176" s="12"/>
      <x:c r="J176" s="14" t="str">
        <x:f>IFERROR(H176/I176,"")</x:f>
      </x:c>
      <x:c r="K176"/>
      <x:c r="L176"/>
      <x:c r="M176"/>
      <x:c r="N176"/>
      <x:c r="O176"/>
      <x:c r="P176"/>
      <x:c r="Q176" t="str">
        <x:f>IFERROR(O176/P176,"")</x:f>
      </x:c>
      <x:c r="R176"/>
      <x:c r="S176"/>
      <x:c r="T176"/>
      <x:c r="U176"/>
      <x:c r="V176" t="str">
        <x:f>IFERROR((T176-U176)/U176,"")</x:f>
      </x:c>
      <x:c r="W176"/>
      <x:c r="X176"/>
      <x:c r="Y176"/>
      <x:c r="Z176"/>
      <x:c r="AA176" t="str"/>
      <x:c r="AB176" t="str"/>
      <x:c r="AC176" t="str">
        <x:v>2026-06-15</x:v>
      </x:c>
    </x:row>
    <x:row r="177">
      <x:c r="A177" t="n">
        <x:v>176</x:v>
      </x:c>
      <x:c r="B177" t="str">
        <x:v>Medplus Health</x:v>
      </x:c>
      <x:c r="C177" t="str">
        <x:v>Not Started</x:v>
      </x:c>
      <x:c r="D177" s="12"/>
      <x:c r="E177" s="12"/>
      <x:c r="F177" s="12"/>
      <x:c r="G177" s="12"/>
      <x:c r="H177" s="12"/>
      <x:c r="I177" s="12"/>
      <x:c r="J177" s="14" t="str">
        <x:f>IFERROR(H177/I177,"")</x:f>
      </x:c>
      <x:c r="K177"/>
      <x:c r="L177"/>
      <x:c r="M177"/>
      <x:c r="N177"/>
      <x:c r="O177"/>
      <x:c r="P177"/>
      <x:c r="Q177" t="str">
        <x:f>IFERROR(O177/P177,"")</x:f>
      </x:c>
      <x:c r="R177"/>
      <x:c r="S177"/>
      <x:c r="T177"/>
      <x:c r="U177"/>
      <x:c r="V177" t="str">
        <x:f>IFERROR((T177-U177)/U177,"")</x:f>
      </x:c>
      <x:c r="W177"/>
      <x:c r="X177"/>
      <x:c r="Y177"/>
      <x:c r="Z177"/>
      <x:c r="AA177" t="str"/>
      <x:c r="AB177" t="str"/>
      <x:c r="AC177" t="str">
        <x:v>2026-06-15</x:v>
      </x:c>
    </x:row>
    <x:row r="178">
      <x:c r="A178" t="n">
        <x:v>177</x:v>
      </x:c>
      <x:c r="B178" t="str">
        <x:v>Meesho Ltd</x:v>
      </x:c>
      <x:c r="C178" t="str">
        <x:v>Not Started</x:v>
      </x:c>
      <x:c r="D178" s="12"/>
      <x:c r="E178" s="12"/>
      <x:c r="F178" s="12"/>
      <x:c r="G178" s="12"/>
      <x:c r="H178" s="12"/>
      <x:c r="I178" s="12"/>
      <x:c r="J178" s="14" t="str">
        <x:f>IFERROR(H178/I178,"")</x:f>
      </x:c>
      <x:c r="K178"/>
      <x:c r="L178"/>
      <x:c r="M178"/>
      <x:c r="N178"/>
      <x:c r="O178"/>
      <x:c r="P178"/>
      <x:c r="Q178" t="str">
        <x:f>IFERROR(O178/P178,"")</x:f>
      </x:c>
      <x:c r="R178"/>
      <x:c r="S178"/>
      <x:c r="T178"/>
      <x:c r="U178"/>
      <x:c r="V178" t="str">
        <x:f>IFERROR((T178-U178)/U178,"")</x:f>
      </x:c>
      <x:c r="W178"/>
      <x:c r="X178"/>
      <x:c r="Y178"/>
      <x:c r="Z178"/>
      <x:c r="AA178" t="str"/>
      <x:c r="AB178" t="str"/>
      <x:c r="AC178" t="str">
        <x:v>2026-06-15</x:v>
      </x:c>
    </x:row>
    <x:row r="179">
      <x:c r="A179" t="n">
        <x:v>178</x:v>
      </x:c>
      <x:c r="B179" t="str">
        <x:v>Metro Brands</x:v>
      </x:c>
      <x:c r="C179" t="str">
        <x:v>Not Started</x:v>
      </x:c>
      <x:c r="D179" s="12"/>
      <x:c r="E179" s="12"/>
      <x:c r="F179" s="12"/>
      <x:c r="G179" s="12"/>
      <x:c r="H179" s="12"/>
      <x:c r="I179" s="12"/>
      <x:c r="J179" s="14" t="str">
        <x:f>IFERROR(H179/I179,"")</x:f>
      </x:c>
      <x:c r="K179"/>
      <x:c r="L179"/>
      <x:c r="M179"/>
      <x:c r="N179"/>
      <x:c r="O179"/>
      <x:c r="P179"/>
      <x:c r="Q179" t="str">
        <x:f>IFERROR(O179/P179,"")</x:f>
      </x:c>
      <x:c r="R179"/>
      <x:c r="S179"/>
      <x:c r="T179"/>
      <x:c r="U179"/>
      <x:c r="V179" t="str">
        <x:f>IFERROR((T179-U179)/U179,"")</x:f>
      </x:c>
      <x:c r="W179"/>
      <x:c r="X179"/>
      <x:c r="Y179"/>
      <x:c r="Z179"/>
      <x:c r="AA179" t="str"/>
      <x:c r="AB179" t="str"/>
      <x:c r="AC179" t="str">
        <x:v>2026-06-15</x:v>
      </x:c>
    </x:row>
    <x:row r="180">
      <x:c r="A180" t="n">
        <x:v>179</x:v>
      </x:c>
      <x:c r="B180" t="str">
        <x:v>Midwest Ltd</x:v>
      </x:c>
      <x:c r="C180" t="str">
        <x:v>Not Started</x:v>
      </x:c>
      <x:c r="D180" s="12"/>
      <x:c r="E180" s="12"/>
      <x:c r="F180" s="12"/>
      <x:c r="G180" s="12"/>
      <x:c r="H180" s="12"/>
      <x:c r="I180" s="12"/>
      <x:c r="J180" s="14" t="str">
        <x:f>IFERROR(H180/I180,"")</x:f>
      </x:c>
      <x:c r="K180"/>
      <x:c r="L180"/>
      <x:c r="M180"/>
      <x:c r="N180"/>
      <x:c r="O180"/>
      <x:c r="P180"/>
      <x:c r="Q180" t="str">
        <x:f>IFERROR(O180/P180,"")</x:f>
      </x:c>
      <x:c r="R180"/>
      <x:c r="S180"/>
      <x:c r="T180"/>
      <x:c r="U180"/>
      <x:c r="V180" t="str">
        <x:f>IFERROR((T180-U180)/U180,"")</x:f>
      </x:c>
      <x:c r="W180"/>
      <x:c r="X180"/>
      <x:c r="Y180"/>
      <x:c r="Z180"/>
      <x:c r="AA180" t="str"/>
      <x:c r="AB180" t="str"/>
      <x:c r="AC180" t="str">
        <x:v>2026-06-15</x:v>
      </x:c>
    </x:row>
    <x:row r="181">
      <x:c r="A181" t="n">
        <x:v>180</x:v>
      </x:c>
      <x:c r="B181" t="str">
        <x:v>Mobikwik</x:v>
      </x:c>
      <x:c r="C181" t="str">
        <x:v>Not Started</x:v>
      </x:c>
      <x:c r="D181" s="12"/>
      <x:c r="E181" s="12"/>
      <x:c r="F181" s="12"/>
      <x:c r="G181" s="12"/>
      <x:c r="H181" s="12"/>
      <x:c r="I181" s="12"/>
      <x:c r="J181" s="14" t="str">
        <x:f>IFERROR(H181/I181,"")</x:f>
      </x:c>
      <x:c r="K181"/>
      <x:c r="L181"/>
      <x:c r="M181"/>
      <x:c r="N181"/>
      <x:c r="O181"/>
      <x:c r="P181"/>
      <x:c r="Q181" t="str">
        <x:f>IFERROR(O181/P181,"")</x:f>
      </x:c>
      <x:c r="R181"/>
      <x:c r="S181"/>
      <x:c r="T181"/>
      <x:c r="U181"/>
      <x:c r="V181" t="str">
        <x:f>IFERROR((T181-U181)/U181,"")</x:f>
      </x:c>
      <x:c r="W181"/>
      <x:c r="X181"/>
      <x:c r="Y181"/>
      <x:c r="Z181"/>
      <x:c r="AA181" t="str"/>
      <x:c r="AB181" t="str"/>
      <x:c r="AC181" t="str">
        <x:v>2026-06-15</x:v>
      </x:c>
    </x:row>
    <x:row r="182">
      <x:c r="A182" t="n">
        <x:v>181</x:v>
      </x:c>
      <x:c r="B182" t="str">
        <x:v>Motisons Jewellers</x:v>
      </x:c>
      <x:c r="C182" t="str">
        <x:v>Not Started</x:v>
      </x:c>
      <x:c r="D182" s="12"/>
      <x:c r="E182" s="12"/>
      <x:c r="F182" s="12"/>
      <x:c r="G182" s="12"/>
      <x:c r="H182" s="12"/>
      <x:c r="I182" s="12"/>
      <x:c r="J182" s="14" t="str">
        <x:f>IFERROR(H182/I182,"")</x:f>
      </x:c>
      <x:c r="K182"/>
      <x:c r="L182"/>
      <x:c r="M182"/>
      <x:c r="N182"/>
      <x:c r="O182"/>
      <x:c r="P182"/>
      <x:c r="Q182" t="str">
        <x:f>IFERROR(O182/P182,"")</x:f>
      </x:c>
      <x:c r="R182"/>
      <x:c r="S182"/>
      <x:c r="T182"/>
      <x:c r="U182"/>
      <x:c r="V182" t="str">
        <x:f>IFERROR((T182-U182)/U182,"")</x:f>
      </x:c>
      <x:c r="W182"/>
      <x:c r="X182"/>
      <x:c r="Y182"/>
      <x:c r="Z182"/>
      <x:c r="AA182" t="str"/>
      <x:c r="AB182" t="str"/>
      <x:c r="AC182" t="str">
        <x:v>2026-06-15</x:v>
      </x:c>
    </x:row>
    <x:row r="183">
      <x:c r="A183" t="n">
        <x:v>182</x:v>
      </x:c>
      <x:c r="B183" t="str">
        <x:v>Mrs Bectors Food Specialities</x:v>
      </x:c>
      <x:c r="C183" t="str">
        <x:v>Not Started</x:v>
      </x:c>
      <x:c r="D183" s="12"/>
      <x:c r="E183" s="12"/>
      <x:c r="F183" s="12"/>
      <x:c r="G183" s="12"/>
      <x:c r="H183" s="12"/>
      <x:c r="I183" s="12"/>
      <x:c r="J183" s="14" t="str">
        <x:f>IFERROR(H183/I183,"")</x:f>
      </x:c>
      <x:c r="K183"/>
      <x:c r="L183"/>
      <x:c r="M183"/>
      <x:c r="N183"/>
      <x:c r="O183"/>
      <x:c r="P183"/>
      <x:c r="Q183" t="str">
        <x:f>IFERROR(O183/P183,"")</x:f>
      </x:c>
      <x:c r="R183"/>
      <x:c r="S183"/>
      <x:c r="T183"/>
      <x:c r="U183"/>
      <x:c r="V183" t="str">
        <x:f>IFERROR((T183-U183)/U183,"")</x:f>
      </x:c>
      <x:c r="W183"/>
      <x:c r="X183"/>
      <x:c r="Y183"/>
      <x:c r="Z183"/>
      <x:c r="AA183" t="str"/>
      <x:c r="AB183" t="str"/>
      <x:c r="AC183" t="str">
        <x:v>2026-06-15</x:v>
      </x:c>
    </x:row>
    <x:row r="184">
      <x:c r="A184" t="n">
        <x:v>183</x:v>
      </x:c>
      <x:c r="B184" t="str">
        <x:v>Muthoot Microfin</x:v>
      </x:c>
      <x:c r="C184" t="str">
        <x:v>Not Started</x:v>
      </x:c>
      <x:c r="D184" s="12"/>
      <x:c r="E184" s="12"/>
      <x:c r="F184" s="12"/>
      <x:c r="G184" s="12"/>
      <x:c r="H184" s="12"/>
      <x:c r="I184" s="12"/>
      <x:c r="J184" s="14" t="str">
        <x:f>IFERROR(H184/I184,"")</x:f>
      </x:c>
      <x:c r="K184"/>
      <x:c r="L184"/>
      <x:c r="M184"/>
      <x:c r="N184"/>
      <x:c r="O184"/>
      <x:c r="P184"/>
      <x:c r="Q184" t="str">
        <x:f>IFERROR(O184/P184,"")</x:f>
      </x:c>
      <x:c r="R184"/>
      <x:c r="S184"/>
      <x:c r="T184"/>
      <x:c r="U184"/>
      <x:c r="V184" t="str">
        <x:f>IFERROR((T184-U184)/U184,"")</x:f>
      </x:c>
      <x:c r="W184"/>
      <x:c r="X184"/>
      <x:c r="Y184"/>
      <x:c r="Z184"/>
      <x:c r="AA184" t="str"/>
      <x:c r="AB184" t="str"/>
      <x:c r="AC184" t="str">
        <x:v>2026-06-15</x:v>
      </x:c>
    </x:row>
    <x:row r="185">
      <x:c r="A185" t="n">
        <x:v>184</x:v>
      </x:c>
      <x:c r="B185" t="str">
        <x:v>NTPC Green</x:v>
      </x:c>
      <x:c r="C185" t="str">
        <x:v>Not Started</x:v>
      </x:c>
      <x:c r="D185" s="12"/>
      <x:c r="E185" s="12"/>
      <x:c r="F185" s="12"/>
      <x:c r="G185" s="12"/>
      <x:c r="H185" s="12"/>
      <x:c r="I185" s="12"/>
      <x:c r="J185" s="14" t="str">
        <x:f>IFERROR(H185/I185,"")</x:f>
      </x:c>
      <x:c r="K185"/>
      <x:c r="L185"/>
      <x:c r="M185"/>
      <x:c r="N185"/>
      <x:c r="O185"/>
      <x:c r="P185"/>
      <x:c r="Q185" t="str">
        <x:f>IFERROR(O185/P185,"")</x:f>
      </x:c>
      <x:c r="R185"/>
      <x:c r="S185"/>
      <x:c r="T185"/>
      <x:c r="U185"/>
      <x:c r="V185" t="str">
        <x:f>IFERROR((T185-U185)/U185,"")</x:f>
      </x:c>
      <x:c r="W185"/>
      <x:c r="X185"/>
      <x:c r="Y185"/>
      <x:c r="Z185"/>
      <x:c r="AA185" t="str"/>
      <x:c r="AB185" t="str"/>
      <x:c r="AC185" t="str">
        <x:v>2026-06-15</x:v>
      </x:c>
    </x:row>
    <x:row r="186">
      <x:c r="A186" t="n">
        <x:v>185</x:v>
      </x:c>
      <x:c r="B186" t="str">
        <x:v>National Securities Depository Ltd</x:v>
      </x:c>
      <x:c r="C186" t="str">
        <x:v>Not Started</x:v>
      </x:c>
      <x:c r="D186" s="12"/>
      <x:c r="E186" s="12"/>
      <x:c r="F186" s="12"/>
      <x:c r="G186" s="12"/>
      <x:c r="H186" s="12"/>
      <x:c r="I186" s="12"/>
      <x:c r="J186" s="14" t="str">
        <x:f>IFERROR(H186/I186,"")</x:f>
      </x:c>
      <x:c r="K186"/>
      <x:c r="L186"/>
      <x:c r="M186"/>
      <x:c r="N186"/>
      <x:c r="O186"/>
      <x:c r="P186"/>
      <x:c r="Q186" t="str">
        <x:f>IFERROR(O186/P186,"")</x:f>
      </x:c>
      <x:c r="R186"/>
      <x:c r="S186"/>
      <x:c r="T186"/>
      <x:c r="U186"/>
      <x:c r="V186" t="str">
        <x:f>IFERROR((T186-U186)/U186,"")</x:f>
      </x:c>
      <x:c r="W186"/>
      <x:c r="X186"/>
      <x:c r="Y186"/>
      <x:c r="Z186"/>
      <x:c r="AA186" t="str"/>
      <x:c r="AB186" t="str"/>
      <x:c r="AC186" t="str">
        <x:v>2026-06-15</x:v>
      </x:c>
    </x:row>
    <x:row r="187">
      <x:c r="A187" t="n">
        <x:v>186</x:v>
      </x:c>
      <x:c r="B187" t="str">
        <x:v>Nazara Technologies</x:v>
      </x:c>
      <x:c r="C187" t="str">
        <x:v>Not Started</x:v>
      </x:c>
      <x:c r="D187" s="12"/>
      <x:c r="E187" s="12"/>
      <x:c r="F187" s="12"/>
      <x:c r="G187" s="12"/>
      <x:c r="H187" s="12"/>
      <x:c r="I187" s="12"/>
      <x:c r="J187" s="14" t="str">
        <x:f>IFERROR(H187/I187,"")</x:f>
      </x:c>
      <x:c r="K187"/>
      <x:c r="L187"/>
      <x:c r="M187"/>
      <x:c r="N187"/>
      <x:c r="O187"/>
      <x:c r="P187"/>
      <x:c r="Q187" t="str">
        <x:f>IFERROR(O187/P187,"")</x:f>
      </x:c>
      <x:c r="R187"/>
      <x:c r="S187"/>
      <x:c r="T187"/>
      <x:c r="U187"/>
      <x:c r="V187" t="str">
        <x:f>IFERROR((T187-U187)/U187,"")</x:f>
      </x:c>
      <x:c r="W187"/>
      <x:c r="X187"/>
      <x:c r="Y187"/>
      <x:c r="Z187"/>
      <x:c r="AA187" t="str"/>
      <x:c r="AB187" t="str"/>
      <x:c r="AC187" t="str">
        <x:v>2026-06-15</x:v>
      </x:c>
    </x:row>
    <x:row r="188">
      <x:c r="A188" t="n">
        <x:v>187</x:v>
      </x:c>
      <x:c r="B188" t="str">
        <x:v>Nephrocare Health Services Ltd</x:v>
      </x:c>
      <x:c r="C188" t="str">
        <x:v>Not Started</x:v>
      </x:c>
      <x:c r="D188" s="12"/>
      <x:c r="E188" s="12"/>
      <x:c r="F188" s="12"/>
      <x:c r="G188" s="12"/>
      <x:c r="H188" s="12"/>
      <x:c r="I188" s="12"/>
      <x:c r="J188" s="14" t="str">
        <x:f>IFERROR(H188/I188,"")</x:f>
      </x:c>
      <x:c r="K188"/>
      <x:c r="L188"/>
      <x:c r="M188"/>
      <x:c r="N188"/>
      <x:c r="O188"/>
      <x:c r="P188"/>
      <x:c r="Q188" t="str">
        <x:f>IFERROR(O188/P188,"")</x:f>
      </x:c>
      <x:c r="R188"/>
      <x:c r="S188"/>
      <x:c r="T188"/>
      <x:c r="U188"/>
      <x:c r="V188" t="str">
        <x:f>IFERROR((T188-U188)/U188,"")</x:f>
      </x:c>
      <x:c r="W188"/>
      <x:c r="X188"/>
      <x:c r="Y188"/>
      <x:c r="Z188"/>
      <x:c r="AA188" t="str"/>
      <x:c r="AB188" t="str"/>
      <x:c r="AC188" t="str">
        <x:v>2026-06-15</x:v>
      </x:c>
    </x:row>
    <x:row r="189">
      <x:c r="A189" t="n">
        <x:v>188</x:v>
      </x:c>
      <x:c r="B189" t="str">
        <x:v>Netweb Technologies India</x:v>
      </x:c>
      <x:c r="C189" t="str">
        <x:v>Not Started</x:v>
      </x:c>
      <x:c r="D189" s="12"/>
      <x:c r="E189" s="12"/>
      <x:c r="F189" s="12"/>
      <x:c r="G189" s="12"/>
      <x:c r="H189" s="12"/>
      <x:c r="I189" s="12"/>
      <x:c r="J189" s="14" t="str">
        <x:f>IFERROR(H189/I189,"")</x:f>
      </x:c>
      <x:c r="K189"/>
      <x:c r="L189"/>
      <x:c r="M189"/>
      <x:c r="N189"/>
      <x:c r="O189"/>
      <x:c r="P189"/>
      <x:c r="Q189" t="str">
        <x:f>IFERROR(O189/P189,"")</x:f>
      </x:c>
      <x:c r="R189"/>
      <x:c r="S189"/>
      <x:c r="T189"/>
      <x:c r="U189"/>
      <x:c r="V189" t="str">
        <x:f>IFERROR((T189-U189)/U189,"")</x:f>
      </x:c>
      <x:c r="W189"/>
      <x:c r="X189"/>
      <x:c r="Y189"/>
      <x:c r="Z189"/>
      <x:c r="AA189" t="str"/>
      <x:c r="AB189" t="str"/>
      <x:c r="AC189" t="str">
        <x:v>2026-06-15</x:v>
      </x:c>
    </x:row>
    <x:row r="190">
      <x:c r="A190" t="n">
        <x:v>189</x:v>
      </x:c>
      <x:c r="B190" t="str">
        <x:v>Nova Agritech</x:v>
      </x:c>
      <x:c r="C190" t="str">
        <x:v>Not Started</x:v>
      </x:c>
      <x:c r="D190" s="12"/>
      <x:c r="E190" s="12"/>
      <x:c r="F190" s="12"/>
      <x:c r="G190" s="12"/>
      <x:c r="H190" s="12"/>
      <x:c r="I190" s="12"/>
      <x:c r="J190" s="14" t="str">
        <x:f>IFERROR(H190/I190,"")</x:f>
      </x:c>
      <x:c r="K190"/>
      <x:c r="L190"/>
      <x:c r="M190"/>
      <x:c r="N190"/>
      <x:c r="O190"/>
      <x:c r="P190"/>
      <x:c r="Q190" t="str">
        <x:f>IFERROR(O190/P190,"")</x:f>
      </x:c>
      <x:c r="R190"/>
      <x:c r="S190"/>
      <x:c r="T190"/>
      <x:c r="U190"/>
      <x:c r="V190" t="str">
        <x:f>IFERROR((T190-U190)/U190,"")</x:f>
      </x:c>
      <x:c r="W190"/>
      <x:c r="X190"/>
      <x:c r="Y190"/>
      <x:c r="Z190"/>
      <x:c r="AA190" t="str"/>
      <x:c r="AB190" t="str"/>
      <x:c r="AC190" t="str">
        <x:v>2026-06-15</x:v>
      </x:c>
    </x:row>
    <x:row r="191">
      <x:c r="A191" t="n">
        <x:v>190</x:v>
      </x:c>
      <x:c r="B191" t="str">
        <x:v>Nuvoco Vistas</x:v>
      </x:c>
      <x:c r="C191" t="str">
        <x:v>Not Started</x:v>
      </x:c>
      <x:c r="D191" s="12"/>
      <x:c r="E191" s="12"/>
      <x:c r="F191" s="12"/>
      <x:c r="G191" s="12"/>
      <x:c r="H191" s="12"/>
      <x:c r="I191" s="12"/>
      <x:c r="J191" s="14" t="str">
        <x:f>IFERROR(H191/I191,"")</x:f>
      </x:c>
      <x:c r="K191"/>
      <x:c r="L191"/>
      <x:c r="M191"/>
      <x:c r="N191"/>
      <x:c r="O191"/>
      <x:c r="P191"/>
      <x:c r="Q191" t="str">
        <x:f>IFERROR(O191/P191,"")</x:f>
      </x:c>
      <x:c r="R191"/>
      <x:c r="S191"/>
      <x:c r="T191"/>
      <x:c r="U191"/>
      <x:c r="V191" t="str">
        <x:f>IFERROR((T191-U191)/U191,"")</x:f>
      </x:c>
      <x:c r="W191"/>
      <x:c r="X191"/>
      <x:c r="Y191"/>
      <x:c r="Z191"/>
      <x:c r="AA191" t="str"/>
      <x:c r="AB191" t="str"/>
      <x:c r="AC191" t="str">
        <x:v>2026-06-15</x:v>
      </x:c>
    </x:row>
    <x:row r="192">
      <x:c r="A192" t="n">
        <x:v>191</x:v>
      </x:c>
      <x:c r="B192" t="str">
        <x:v>Nykaa</x:v>
      </x:c>
      <x:c r="C192" t="str">
        <x:v>Not Started</x:v>
      </x:c>
      <x:c r="D192" s="12"/>
      <x:c r="E192" s="12"/>
      <x:c r="F192" s="12"/>
      <x:c r="G192" s="12"/>
      <x:c r="H192" s="12"/>
      <x:c r="I192" s="12"/>
      <x:c r="J192" s="14" t="str">
        <x:f>IFERROR(H192/I192,"")</x:f>
      </x:c>
      <x:c r="K192"/>
      <x:c r="L192"/>
      <x:c r="M192"/>
      <x:c r="N192"/>
      <x:c r="O192"/>
      <x:c r="P192"/>
      <x:c r="Q192" t="str">
        <x:f>IFERROR(O192/P192,"")</x:f>
      </x:c>
      <x:c r="R192"/>
      <x:c r="S192"/>
      <x:c r="T192"/>
      <x:c r="U192"/>
      <x:c r="V192" t="str">
        <x:f>IFERROR((T192-U192)/U192,"")</x:f>
      </x:c>
      <x:c r="W192"/>
      <x:c r="X192"/>
      <x:c r="Y192"/>
      <x:c r="Z192"/>
      <x:c r="AA192" t="str"/>
      <x:c r="AB192" t="str"/>
      <x:c r="AC192" t="str">
        <x:v>2026-06-15</x:v>
      </x:c>
    </x:row>
    <x:row r="193">
      <x:c r="A193" t="n">
        <x:v>192</x:v>
      </x:c>
      <x:c r="B193" t="str">
        <x:v>Om Freight Forwarders Ltd</x:v>
      </x:c>
      <x:c r="C193" t="str">
        <x:v>Not Started</x:v>
      </x:c>
      <x:c r="D193" s="12"/>
      <x:c r="E193" s="12"/>
      <x:c r="F193" s="12"/>
      <x:c r="G193" s="12"/>
      <x:c r="H193" s="12"/>
      <x:c r="I193" s="12"/>
      <x:c r="J193" s="14" t="str">
        <x:f>IFERROR(H193/I193,"")</x:f>
      </x:c>
      <x:c r="K193"/>
      <x:c r="L193"/>
      <x:c r="M193"/>
      <x:c r="N193"/>
      <x:c r="O193"/>
      <x:c r="P193"/>
      <x:c r="Q193" t="str">
        <x:f>IFERROR(O193/P193,"")</x:f>
      </x:c>
      <x:c r="R193"/>
      <x:c r="S193"/>
      <x:c r="T193"/>
      <x:c r="U193"/>
      <x:c r="V193" t="str">
        <x:f>IFERROR((T193-U193)/U193,"")</x:f>
      </x:c>
      <x:c r="W193"/>
      <x:c r="X193"/>
      <x:c r="Y193"/>
      <x:c r="Z193"/>
      <x:c r="AA193" t="str"/>
      <x:c r="AB193" t="str"/>
      <x:c r="AC193" t="str">
        <x:v>2026-06-15</x:v>
      </x:c>
    </x:row>
    <x:row r="194">
      <x:c r="A194" t="n">
        <x:v>193</x:v>
      </x:c>
      <x:c r="B194" t="str">
        <x:v>Om Power Transmission Ltd</x:v>
      </x:c>
      <x:c r="C194" t="str">
        <x:v>Not Started</x:v>
      </x:c>
      <x:c r="D194" s="12"/>
      <x:c r="E194" s="12"/>
      <x:c r="F194" s="12"/>
      <x:c r="G194" s="12"/>
      <x:c r="H194" s="12"/>
      <x:c r="I194" s="12"/>
      <x:c r="J194" s="14" t="str">
        <x:f>IFERROR(H194/I194,"")</x:f>
      </x:c>
      <x:c r="K194"/>
      <x:c r="L194"/>
      <x:c r="M194"/>
      <x:c r="N194"/>
      <x:c r="O194"/>
      <x:c r="P194"/>
      <x:c r="Q194" t="str">
        <x:f>IFERROR(O194/P194,"")</x:f>
      </x:c>
      <x:c r="R194"/>
      <x:c r="S194"/>
      <x:c r="T194"/>
      <x:c r="U194"/>
      <x:c r="V194" t="str">
        <x:f>IFERROR((T194-U194)/U194,"")</x:f>
      </x:c>
      <x:c r="W194"/>
      <x:c r="X194"/>
      <x:c r="Y194"/>
      <x:c r="Z194"/>
      <x:c r="AA194" t="str"/>
      <x:c r="AB194" t="str"/>
      <x:c r="AC194" t="str">
        <x:v>2026-06-15</x:v>
      </x:c>
    </x:row>
    <x:row r="195">
      <x:c r="A195" t="n">
        <x:v>194</x:v>
      </x:c>
      <x:c r="B195" t="str">
        <x:v>Omnitech Engineering Ltd</x:v>
      </x:c>
      <x:c r="C195" t="str">
        <x:v>Not Started</x:v>
      </x:c>
      <x:c r="D195" s="12"/>
      <x:c r="E195" s="12"/>
      <x:c r="F195" s="12"/>
      <x:c r="G195" s="12"/>
      <x:c r="H195" s="12"/>
      <x:c r="I195" s="12"/>
      <x:c r="J195" s="14" t="str">
        <x:f>IFERROR(H195/I195,"")</x:f>
      </x:c>
      <x:c r="K195"/>
      <x:c r="L195"/>
      <x:c r="M195"/>
      <x:c r="N195"/>
      <x:c r="O195"/>
      <x:c r="P195"/>
      <x:c r="Q195" t="str">
        <x:f>IFERROR(O195/P195,"")</x:f>
      </x:c>
      <x:c r="R195"/>
      <x:c r="S195"/>
      <x:c r="T195"/>
      <x:c r="U195"/>
      <x:c r="V195" t="str">
        <x:f>IFERROR((T195-U195)/U195,"")</x:f>
      </x:c>
      <x:c r="W195"/>
      <x:c r="X195"/>
      <x:c r="Y195"/>
      <x:c r="Z195"/>
      <x:c r="AA195" t="str"/>
      <x:c r="AB195" t="str"/>
      <x:c r="AC195" t="str">
        <x:v>2026-06-15</x:v>
      </x:c>
    </x:row>
    <x:row r="196">
      <x:c r="A196" t="n">
        <x:v>195</x:v>
      </x:c>
      <x:c r="B196" t="str">
        <x:v>OnEMI Technology Solutions Ltd</x:v>
      </x:c>
      <x:c r="C196" t="str">
        <x:v>Not Started</x:v>
      </x:c>
      <x:c r="D196" s="12"/>
      <x:c r="E196" s="12"/>
      <x:c r="F196" s="12"/>
      <x:c r="G196" s="12"/>
      <x:c r="H196" s="12"/>
      <x:c r="I196" s="12"/>
      <x:c r="J196" s="14" t="str">
        <x:f>IFERROR(H196/I196,"")</x:f>
      </x:c>
      <x:c r="K196"/>
      <x:c r="L196"/>
      <x:c r="M196"/>
      <x:c r="N196"/>
      <x:c r="O196"/>
      <x:c r="P196"/>
      <x:c r="Q196" t="str">
        <x:f>IFERROR(O196/P196,"")</x:f>
      </x:c>
      <x:c r="R196"/>
      <x:c r="S196"/>
      <x:c r="T196"/>
      <x:c r="U196"/>
      <x:c r="V196" t="str">
        <x:f>IFERROR((T196-U196)/U196,"")</x:f>
      </x:c>
      <x:c r="W196"/>
      <x:c r="X196"/>
      <x:c r="Y196"/>
      <x:c r="Z196"/>
      <x:c r="AA196" t="str"/>
      <x:c r="AB196" t="str"/>
      <x:c r="AC196" t="str">
        <x:v>2026-06-15</x:v>
      </x:c>
    </x:row>
    <x:row r="197">
      <x:c r="A197" t="n">
        <x:v>196</x:v>
      </x:c>
      <x:c r="B197" t="str">
        <x:v>Orkla India Ltd</x:v>
      </x:c>
      <x:c r="C197" t="str">
        <x:v>Not Started</x:v>
      </x:c>
      <x:c r="D197" s="12"/>
      <x:c r="E197" s="12"/>
      <x:c r="F197" s="12"/>
      <x:c r="G197" s="12"/>
      <x:c r="H197" s="12"/>
      <x:c r="I197" s="12"/>
      <x:c r="J197" s="14" t="str">
        <x:f>IFERROR(H197/I197,"")</x:f>
      </x:c>
      <x:c r="K197"/>
      <x:c r="L197"/>
      <x:c r="M197"/>
      <x:c r="N197"/>
      <x:c r="O197"/>
      <x:c r="P197"/>
      <x:c r="Q197" t="str">
        <x:f>IFERROR(O197/P197,"")</x:f>
      </x:c>
      <x:c r="R197"/>
      <x:c r="S197"/>
      <x:c r="T197"/>
      <x:c r="U197"/>
      <x:c r="V197" t="str">
        <x:f>IFERROR((T197-U197)/U197,"")</x:f>
      </x:c>
      <x:c r="W197"/>
      <x:c r="X197"/>
      <x:c r="Y197"/>
      <x:c r="Z197"/>
      <x:c r="AA197" t="str"/>
      <x:c r="AB197" t="str"/>
      <x:c r="AC197" t="str">
        <x:v>2026-06-15</x:v>
      </x:c>
    </x:row>
    <x:row r="198">
      <x:c r="A198" t="n">
        <x:v>197</x:v>
      </x:c>
      <x:c r="B198" t="str">
        <x:v>Oswal Pumps Limited</x:v>
      </x:c>
      <x:c r="C198" t="str">
        <x:v>Not Started</x:v>
      </x:c>
      <x:c r="D198" s="12"/>
      <x:c r="E198" s="12"/>
      <x:c r="F198" s="12"/>
      <x:c r="G198" s="12"/>
      <x:c r="H198" s="12"/>
      <x:c r="I198" s="12"/>
      <x:c r="J198" s="14" t="str">
        <x:f>IFERROR(H198/I198,"")</x:f>
      </x:c>
      <x:c r="K198"/>
      <x:c r="L198"/>
      <x:c r="M198"/>
      <x:c r="N198"/>
      <x:c r="O198"/>
      <x:c r="P198"/>
      <x:c r="Q198" t="str">
        <x:f>IFERROR(O198/P198,"")</x:f>
      </x:c>
      <x:c r="R198"/>
      <x:c r="S198"/>
      <x:c r="T198"/>
      <x:c r="U198"/>
      <x:c r="V198" t="str">
        <x:f>IFERROR((T198-U198)/U198,"")</x:f>
      </x:c>
      <x:c r="W198"/>
      <x:c r="X198"/>
      <x:c r="Y198"/>
      <x:c r="Z198"/>
      <x:c r="AA198" t="str"/>
      <x:c r="AB198" t="str"/>
      <x:c r="AC198" t="str">
        <x:v>2026-06-15</x:v>
      </x:c>
    </x:row>
    <x:row r="199">
      <x:c r="A199" t="n">
        <x:v>198</x:v>
      </x:c>
      <x:c r="B199" t="str">
        <x:v>PNGS Reva Diamond Jewellery Ltd</x:v>
      </x:c>
      <x:c r="C199" t="str">
        <x:v>Not Started</x:v>
      </x:c>
      <x:c r="D199" s="12"/>
      <x:c r="E199" s="12"/>
      <x:c r="F199" s="12"/>
      <x:c r="G199" s="12"/>
      <x:c r="H199" s="12"/>
      <x:c r="I199" s="12"/>
      <x:c r="J199" s="14" t="str">
        <x:f>IFERROR(H199/I199,"")</x:f>
      </x:c>
      <x:c r="K199"/>
      <x:c r="L199"/>
      <x:c r="M199"/>
      <x:c r="N199"/>
      <x:c r="O199"/>
      <x:c r="P199"/>
      <x:c r="Q199" t="str">
        <x:f>IFERROR(O199/P199,"")</x:f>
      </x:c>
      <x:c r="R199"/>
      <x:c r="S199"/>
      <x:c r="T199"/>
      <x:c r="U199"/>
      <x:c r="V199" t="str">
        <x:f>IFERROR((T199-U199)/U199,"")</x:f>
      </x:c>
      <x:c r="W199"/>
      <x:c r="X199"/>
      <x:c r="Y199"/>
      <x:c r="Z199"/>
      <x:c r="AA199" t="str"/>
      <x:c r="AB199" t="str"/>
      <x:c r="AC199" t="str">
        <x:v>2026-06-15</x:v>
      </x:c>
    </x:row>
    <x:row r="200">
      <x:c r="A200" t="n">
        <x:v>199</x:v>
      </x:c>
      <x:c r="B200" t="str">
        <x:v>Pace Digitek Ltd</x:v>
      </x:c>
      <x:c r="C200" t="str">
        <x:v>Not Started</x:v>
      </x:c>
      <x:c r="D200" s="12"/>
      <x:c r="E200" s="12"/>
      <x:c r="F200" s="12"/>
      <x:c r="G200" s="12"/>
      <x:c r="H200" s="12"/>
      <x:c r="I200" s="12"/>
      <x:c r="J200" s="14" t="str">
        <x:f>IFERROR(H200/I200,"")</x:f>
      </x:c>
      <x:c r="K200"/>
      <x:c r="L200"/>
      <x:c r="M200"/>
      <x:c r="N200"/>
      <x:c r="O200"/>
      <x:c r="P200"/>
      <x:c r="Q200" t="str">
        <x:f>IFERROR(O200/P200,"")</x:f>
      </x:c>
      <x:c r="R200"/>
      <x:c r="S200"/>
      <x:c r="T200"/>
      <x:c r="U200"/>
      <x:c r="V200" t="str">
        <x:f>IFERROR((T200-U200)/U200,"")</x:f>
      </x:c>
      <x:c r="W200"/>
      <x:c r="X200"/>
      <x:c r="Y200"/>
      <x:c r="Z200"/>
      <x:c r="AA200" t="str"/>
      <x:c r="AB200" t="str"/>
      <x:c r="AC200" t="str">
        <x:v>2026-06-15</x:v>
      </x:c>
    </x:row>
    <x:row r="201">
      <x:c r="A201" t="n">
        <x:v>200</x:v>
      </x:c>
      <x:c r="B201" t="str">
        <x:v>Paradeep Phosphates</x:v>
      </x:c>
      <x:c r="C201" t="str">
        <x:v>Not Started</x:v>
      </x:c>
      <x:c r="D201" s="12"/>
      <x:c r="E201" s="12"/>
      <x:c r="F201" s="12"/>
      <x:c r="G201" s="12"/>
      <x:c r="H201" s="12"/>
      <x:c r="I201" s="12"/>
      <x:c r="J201" s="14" t="str">
        <x:f>IFERROR(H201/I201,"")</x:f>
      </x:c>
      <x:c r="K201"/>
      <x:c r="L201"/>
      <x:c r="M201"/>
      <x:c r="N201"/>
      <x:c r="O201"/>
      <x:c r="P201"/>
      <x:c r="Q201" t="str">
        <x:f>IFERROR(O201/P201,"")</x:f>
      </x:c>
      <x:c r="R201"/>
      <x:c r="S201"/>
      <x:c r="T201"/>
      <x:c r="U201"/>
      <x:c r="V201" t="str">
        <x:f>IFERROR((T201-U201)/U201,"")</x:f>
      </x:c>
      <x:c r="W201"/>
      <x:c r="X201"/>
      <x:c r="Y201"/>
      <x:c r="Z201"/>
      <x:c r="AA201" t="str"/>
      <x:c r="AB201" t="str"/>
      <x:c r="AC201" t="str">
        <x:v>2026-06-15</x:v>
      </x:c>
    </x:row>
    <x:row r="202">
      <x:c r="A202" t="n">
        <x:v>201</x:v>
      </x:c>
      <x:c r="B202" t="str">
        <x:v>Paras Defence and Space Technologies</x:v>
      </x:c>
      <x:c r="C202" t="str">
        <x:v>Not Started</x:v>
      </x:c>
      <x:c r="D202" s="12"/>
      <x:c r="E202" s="12"/>
      <x:c r="F202" s="12"/>
      <x:c r="G202" s="12"/>
      <x:c r="H202" s="12"/>
      <x:c r="I202" s="12"/>
      <x:c r="J202" s="14" t="str">
        <x:f>IFERROR(H202/I202,"")</x:f>
      </x:c>
      <x:c r="K202"/>
      <x:c r="L202"/>
      <x:c r="M202"/>
      <x:c r="N202"/>
      <x:c r="O202"/>
      <x:c r="P202"/>
      <x:c r="Q202" t="str">
        <x:f>IFERROR(O202/P202,"")</x:f>
      </x:c>
      <x:c r="R202"/>
      <x:c r="S202"/>
      <x:c r="T202"/>
      <x:c r="U202"/>
      <x:c r="V202" t="str">
        <x:f>IFERROR((T202-U202)/U202,"")</x:f>
      </x:c>
      <x:c r="W202"/>
      <x:c r="X202"/>
      <x:c r="Y202"/>
      <x:c r="Z202"/>
      <x:c r="AA202" t="str"/>
      <x:c r="AB202" t="str"/>
      <x:c r="AC202" t="str">
        <x:v>2026-06-15</x:v>
      </x:c>
    </x:row>
    <x:row r="203">
      <x:c r="A203" t="n">
        <x:v>202</x:v>
      </x:c>
      <x:c r="B203" t="str">
        <x:v>Park Medi World Ltd</x:v>
      </x:c>
      <x:c r="C203" t="str">
        <x:v>Not Started</x:v>
      </x:c>
      <x:c r="D203" s="12"/>
      <x:c r="E203" s="12"/>
      <x:c r="F203" s="12"/>
      <x:c r="G203" s="12"/>
      <x:c r="H203" s="12"/>
      <x:c r="I203" s="12"/>
      <x:c r="J203" s="14" t="str">
        <x:f>IFERROR(H203/I203,"")</x:f>
      </x:c>
      <x:c r="K203"/>
      <x:c r="L203"/>
      <x:c r="M203"/>
      <x:c r="N203"/>
      <x:c r="O203"/>
      <x:c r="P203"/>
      <x:c r="Q203" t="str">
        <x:f>IFERROR(O203/P203,"")</x:f>
      </x:c>
      <x:c r="R203"/>
      <x:c r="S203"/>
      <x:c r="T203"/>
      <x:c r="U203"/>
      <x:c r="V203" t="str">
        <x:f>IFERROR((T203-U203)/U203,"")</x:f>
      </x:c>
      <x:c r="W203"/>
      <x:c r="X203"/>
      <x:c r="Y203"/>
      <x:c r="Z203"/>
      <x:c r="AA203" t="str"/>
      <x:c r="AB203" t="str"/>
      <x:c r="AC203" t="str">
        <x:v>2026-06-15</x:v>
      </x:c>
    </x:row>
    <x:row r="204">
      <x:c r="A204" t="n">
        <x:v>203</x:v>
      </x:c>
      <x:c r="B204" t="str">
        <x:v>Patanjali Foods</x:v>
      </x:c>
      <x:c r="C204" t="str">
        <x:v>Not Started</x:v>
      </x:c>
      <x:c r="D204" s="12"/>
      <x:c r="E204" s="12"/>
      <x:c r="F204" s="12"/>
      <x:c r="G204" s="12"/>
      <x:c r="H204" s="12"/>
      <x:c r="I204" s="12"/>
      <x:c r="J204" s="14" t="str">
        <x:f>IFERROR(H204/I204,"")</x:f>
      </x:c>
      <x:c r="K204"/>
      <x:c r="L204"/>
      <x:c r="M204"/>
      <x:c r="N204"/>
      <x:c r="O204"/>
      <x:c r="P204"/>
      <x:c r="Q204" t="str">
        <x:f>IFERROR(O204/P204,"")</x:f>
      </x:c>
      <x:c r="R204"/>
      <x:c r="S204"/>
      <x:c r="T204"/>
      <x:c r="U204"/>
      <x:c r="V204" t="str">
        <x:f>IFERROR((T204-U204)/U204,"")</x:f>
      </x:c>
      <x:c r="W204"/>
      <x:c r="X204"/>
      <x:c r="Y204"/>
      <x:c r="Z204"/>
      <x:c r="AA204" t="str"/>
      <x:c r="AB204" t="str"/>
      <x:c r="AC204" t="str">
        <x:v>2026-06-15</x:v>
      </x:c>
    </x:row>
    <x:row r="205">
      <x:c r="A205" t="n">
        <x:v>204</x:v>
      </x:c>
      <x:c r="B205" t="str">
        <x:v>Patel Retail Ltd</x:v>
      </x:c>
      <x:c r="C205" t="str">
        <x:v>Not Started</x:v>
      </x:c>
      <x:c r="D205" s="12"/>
      <x:c r="E205" s="12"/>
      <x:c r="F205" s="12"/>
      <x:c r="G205" s="12"/>
      <x:c r="H205" s="12"/>
      <x:c r="I205" s="12"/>
      <x:c r="J205" s="14" t="str">
        <x:f>IFERROR(H205/I205,"")</x:f>
      </x:c>
      <x:c r="K205"/>
      <x:c r="L205"/>
      <x:c r="M205"/>
      <x:c r="N205"/>
      <x:c r="O205"/>
      <x:c r="P205"/>
      <x:c r="Q205" t="str">
        <x:f>IFERROR(O205/P205,"")</x:f>
      </x:c>
      <x:c r="R205"/>
      <x:c r="S205"/>
      <x:c r="T205"/>
      <x:c r="U205"/>
      <x:c r="V205" t="str">
        <x:f>IFERROR((T205-U205)/U205,"")</x:f>
      </x:c>
      <x:c r="W205"/>
      <x:c r="X205"/>
      <x:c r="Y205"/>
      <x:c r="Z205"/>
      <x:c r="AA205" t="str"/>
      <x:c r="AB205" t="str"/>
      <x:c r="AC205" t="str">
        <x:v>2026-06-15</x:v>
      </x:c>
    </x:row>
    <x:row r="206">
      <x:c r="A206" t="n">
        <x:v>205</x:v>
      </x:c>
      <x:c r="B206" t="str">
        <x:v>Paytm</x:v>
      </x:c>
      <x:c r="C206" t="str">
        <x:v>Not Started</x:v>
      </x:c>
      <x:c r="D206" s="12"/>
      <x:c r="E206" s="12"/>
      <x:c r="F206" s="12"/>
      <x:c r="G206" s="12"/>
      <x:c r="H206" s="12"/>
      <x:c r="I206" s="12"/>
      <x:c r="J206" s="14" t="str">
        <x:f>IFERROR(H206/I206,"")</x:f>
      </x:c>
      <x:c r="K206"/>
      <x:c r="L206"/>
      <x:c r="M206"/>
      <x:c r="N206"/>
      <x:c r="O206"/>
      <x:c r="P206"/>
      <x:c r="Q206" t="str">
        <x:f>IFERROR(O206/P206,"")</x:f>
      </x:c>
      <x:c r="R206"/>
      <x:c r="S206"/>
      <x:c r="T206"/>
      <x:c r="U206"/>
      <x:c r="V206" t="str">
        <x:f>IFERROR((T206-U206)/U206,"")</x:f>
      </x:c>
      <x:c r="W206"/>
      <x:c r="X206"/>
      <x:c r="Y206"/>
      <x:c r="Z206"/>
      <x:c r="AA206" t="str"/>
      <x:c r="AB206" t="str"/>
      <x:c r="AC206" t="str">
        <x:v>2026-06-15</x:v>
      </x:c>
    </x:row>
    <x:row r="207">
      <x:c r="A207" t="n">
        <x:v>206</x:v>
      </x:c>
      <x:c r="B207" t="str">
        <x:v>PhysicsWallah Ltd</x:v>
      </x:c>
      <x:c r="C207" t="str">
        <x:v>Not Started</x:v>
      </x:c>
      <x:c r="D207" s="12"/>
      <x:c r="E207" s="12"/>
      <x:c r="F207" s="12"/>
      <x:c r="G207" s="12"/>
      <x:c r="H207" s="12"/>
      <x:c r="I207" s="12"/>
      <x:c r="J207" s="14" t="str">
        <x:f>IFERROR(H207/I207,"")</x:f>
      </x:c>
      <x:c r="K207"/>
      <x:c r="L207"/>
      <x:c r="M207"/>
      <x:c r="N207"/>
      <x:c r="O207"/>
      <x:c r="P207"/>
      <x:c r="Q207" t="str">
        <x:f>IFERROR(O207/P207,"")</x:f>
      </x:c>
      <x:c r="R207"/>
      <x:c r="S207"/>
      <x:c r="T207"/>
      <x:c r="U207"/>
      <x:c r="V207" t="str">
        <x:f>IFERROR((T207-U207)/U207,"")</x:f>
      </x:c>
      <x:c r="W207"/>
      <x:c r="X207"/>
      <x:c r="Y207"/>
      <x:c r="Z207"/>
      <x:c r="AA207" t="str"/>
      <x:c r="AB207" t="str"/>
      <x:c r="AC207" t="str">
        <x:v>2026-06-15</x:v>
      </x:c>
    </x:row>
    <x:row r="208">
      <x:c r="A208" t="n">
        <x:v>207</x:v>
      </x:c>
      <x:c r="B208" t="str">
        <x:v>Pine Labs Ltd</x:v>
      </x:c>
      <x:c r="C208" t="str">
        <x:v>Not Started</x:v>
      </x:c>
      <x:c r="D208" s="12"/>
      <x:c r="E208" s="12"/>
      <x:c r="F208" s="12"/>
      <x:c r="G208" s="12"/>
      <x:c r="H208" s="12"/>
      <x:c r="I208" s="12"/>
      <x:c r="J208" s="14" t="str">
        <x:f>IFERROR(H208/I208,"")</x:f>
      </x:c>
      <x:c r="K208"/>
      <x:c r="L208"/>
      <x:c r="M208"/>
      <x:c r="N208"/>
      <x:c r="O208"/>
      <x:c r="P208"/>
      <x:c r="Q208" t="str">
        <x:f>IFERROR(O208/P208,"")</x:f>
      </x:c>
      <x:c r="R208"/>
      <x:c r="S208"/>
      <x:c r="T208"/>
      <x:c r="U208"/>
      <x:c r="V208" t="str">
        <x:f>IFERROR((T208-U208)/U208,"")</x:f>
      </x:c>
      <x:c r="W208"/>
      <x:c r="X208"/>
      <x:c r="Y208"/>
      <x:c r="Z208"/>
      <x:c r="AA208" t="str"/>
      <x:c r="AB208" t="str"/>
      <x:c r="AC208" t="str">
        <x:v>2026-06-15</x:v>
      </x:c>
    </x:row>
    <x:row r="209">
      <x:c r="A209" t="n">
        <x:v>208</x:v>
      </x:c>
      <x:c r="B209" t="str">
        <x:v>Plaza Wires</x:v>
      </x:c>
      <x:c r="C209" t="str">
        <x:v>Not Started</x:v>
      </x:c>
      <x:c r="D209" s="12"/>
      <x:c r="E209" s="12"/>
      <x:c r="F209" s="12"/>
      <x:c r="G209" s="12"/>
      <x:c r="H209" s="12"/>
      <x:c r="I209" s="12"/>
      <x:c r="J209" s="14" t="str">
        <x:f>IFERROR(H209/I209,"")</x:f>
      </x:c>
      <x:c r="K209"/>
      <x:c r="L209"/>
      <x:c r="M209"/>
      <x:c r="N209"/>
      <x:c r="O209"/>
      <x:c r="P209"/>
      <x:c r="Q209" t="str">
        <x:f>IFERROR(O209/P209,"")</x:f>
      </x:c>
      <x:c r="R209"/>
      <x:c r="S209"/>
      <x:c r="T209"/>
      <x:c r="U209"/>
      <x:c r="V209" t="str">
        <x:f>IFERROR((T209-U209)/U209,"")</x:f>
      </x:c>
      <x:c r="W209"/>
      <x:c r="X209"/>
      <x:c r="Y209"/>
      <x:c r="Z209"/>
      <x:c r="AA209" t="str"/>
      <x:c r="AB209" t="str"/>
      <x:c r="AC209" t="str">
        <x:v>2026-06-15</x:v>
      </x:c>
    </x:row>
    <x:row r="210">
      <x:c r="A210" t="n">
        <x:v>209</x:v>
      </x:c>
      <x:c r="B210" t="str">
        <x:v>PolicyBazaar</x:v>
      </x:c>
      <x:c r="C210" t="str">
        <x:v>Not Started</x:v>
      </x:c>
      <x:c r="D210" s="12"/>
      <x:c r="E210" s="12"/>
      <x:c r="F210" s="12"/>
      <x:c r="G210" s="12"/>
      <x:c r="H210" s="12"/>
      <x:c r="I210" s="12"/>
      <x:c r="J210" s="14" t="str">
        <x:f>IFERROR(H210/I210,"")</x:f>
      </x:c>
      <x:c r="K210"/>
      <x:c r="L210"/>
      <x:c r="M210"/>
      <x:c r="N210"/>
      <x:c r="O210"/>
      <x:c r="P210"/>
      <x:c r="Q210" t="str">
        <x:f>IFERROR(O210/P210,"")</x:f>
      </x:c>
      <x:c r="R210"/>
      <x:c r="S210"/>
      <x:c r="T210"/>
      <x:c r="U210"/>
      <x:c r="V210" t="str">
        <x:f>IFERROR((T210-U210)/U210,"")</x:f>
      </x:c>
      <x:c r="W210"/>
      <x:c r="X210"/>
      <x:c r="Y210"/>
      <x:c r="Z210"/>
      <x:c r="AA210" t="str"/>
      <x:c r="AB210" t="str"/>
      <x:c r="AC210" t="str">
        <x:v>2026-06-15</x:v>
      </x:c>
    </x:row>
    <x:row r="211">
      <x:c r="A211" t="n">
        <x:v>210</x:v>
      </x:c>
      <x:c r="B211" t="str">
        <x:v>Powerica Ltd</x:v>
      </x:c>
      <x:c r="C211" t="str">
        <x:v>Not Started</x:v>
      </x:c>
      <x:c r="D211" s="12"/>
      <x:c r="E211" s="12"/>
      <x:c r="F211" s="12"/>
      <x:c r="G211" s="12"/>
      <x:c r="H211" s="12"/>
      <x:c r="I211" s="12"/>
      <x:c r="J211" s="14" t="str">
        <x:f>IFERROR(H211/I211,"")</x:f>
      </x:c>
      <x:c r="K211"/>
      <x:c r="L211"/>
      <x:c r="M211"/>
      <x:c r="N211"/>
      <x:c r="O211"/>
      <x:c r="P211"/>
      <x:c r="Q211" t="str">
        <x:f>IFERROR(O211/P211,"")</x:f>
      </x:c>
      <x:c r="R211"/>
      <x:c r="S211"/>
      <x:c r="T211"/>
      <x:c r="U211"/>
      <x:c r="V211" t="str">
        <x:f>IFERROR((T211-U211)/U211,"")</x:f>
      </x:c>
      <x:c r="W211"/>
      <x:c r="X211"/>
      <x:c r="Y211"/>
      <x:c r="Z211"/>
      <x:c r="AA211" t="str"/>
      <x:c r="AB211" t="str"/>
      <x:c r="AC211" t="str">
        <x:v>2026-06-15</x:v>
      </x:c>
    </x:row>
    <x:row r="212">
      <x:c r="A212" t="n">
        <x:v>211</x:v>
      </x:c>
      <x:c r="B212" t="str">
        <x:v>Premier Energies</x:v>
      </x:c>
      <x:c r="C212" t="str">
        <x:v>Not Started</x:v>
      </x:c>
      <x:c r="D212" s="12"/>
      <x:c r="E212" s="12"/>
      <x:c r="F212" s="12"/>
      <x:c r="G212" s="12"/>
      <x:c r="H212" s="12"/>
      <x:c r="I212" s="12"/>
      <x:c r="J212" s="14" t="str">
        <x:f>IFERROR(H212/I212,"")</x:f>
      </x:c>
      <x:c r="K212"/>
      <x:c r="L212"/>
      <x:c r="M212"/>
      <x:c r="N212"/>
      <x:c r="O212"/>
      <x:c r="P212"/>
      <x:c r="Q212" t="str">
        <x:f>IFERROR(O212/P212,"")</x:f>
      </x:c>
      <x:c r="R212"/>
      <x:c r="S212"/>
      <x:c r="T212"/>
      <x:c r="U212"/>
      <x:c r="V212" t="str">
        <x:f>IFERROR((T212-U212)/U212,"")</x:f>
      </x:c>
      <x:c r="W212"/>
      <x:c r="X212"/>
      <x:c r="Y212"/>
      <x:c r="Z212"/>
      <x:c r="AA212" t="str"/>
      <x:c r="AB212" t="str"/>
      <x:c r="AC212" t="str">
        <x:v>2026-06-15</x:v>
      </x:c>
    </x:row>
    <x:row r="213">
      <x:c r="A213" t="n">
        <x:v>212</x:v>
      </x:c>
      <x:c r="B213" t="str">
        <x:v>Prostarm Info Systems Limited</x:v>
      </x:c>
      <x:c r="C213" t="str">
        <x:v>Not Started</x:v>
      </x:c>
      <x:c r="D213" s="12"/>
      <x:c r="E213" s="12"/>
      <x:c r="F213" s="12"/>
      <x:c r="G213" s="12"/>
      <x:c r="H213" s="12"/>
      <x:c r="I213" s="12"/>
      <x:c r="J213" s="14" t="str">
        <x:f>IFERROR(H213/I213,"")</x:f>
      </x:c>
      <x:c r="K213"/>
      <x:c r="L213"/>
      <x:c r="M213"/>
      <x:c r="N213"/>
      <x:c r="O213"/>
      <x:c r="P213"/>
      <x:c r="Q213" t="str">
        <x:f>IFERROR(O213/P213,"")</x:f>
      </x:c>
      <x:c r="R213"/>
      <x:c r="S213"/>
      <x:c r="T213"/>
      <x:c r="U213"/>
      <x:c r="V213" t="str">
        <x:f>IFERROR((T213-U213)/U213,"")</x:f>
      </x:c>
      <x:c r="W213"/>
      <x:c r="X213"/>
      <x:c r="Y213"/>
      <x:c r="Z213"/>
      <x:c r="AA213" t="str"/>
      <x:c r="AB213" t="str"/>
      <x:c r="AC213" t="str">
        <x:v>2026-06-15</x:v>
      </x:c>
    </x:row>
    <x:row r="214">
      <x:c r="A214" t="n">
        <x:v>213</x:v>
      </x:c>
      <x:c r="B214" t="str">
        <x:v>Protean eGov</x:v>
      </x:c>
      <x:c r="C214" t="str">
        <x:v>Not Started</x:v>
      </x:c>
      <x:c r="D214" s="12"/>
      <x:c r="E214" s="12"/>
      <x:c r="F214" s="12"/>
      <x:c r="G214" s="12"/>
      <x:c r="H214" s="12"/>
      <x:c r="I214" s="12"/>
      <x:c r="J214" s="14" t="str">
        <x:f>IFERROR(H214/I214,"")</x:f>
      </x:c>
      <x:c r="K214"/>
      <x:c r="L214"/>
      <x:c r="M214"/>
      <x:c r="N214"/>
      <x:c r="O214"/>
      <x:c r="P214"/>
      <x:c r="Q214" t="str">
        <x:f>IFERROR(O214/P214,"")</x:f>
      </x:c>
      <x:c r="R214"/>
      <x:c r="S214"/>
      <x:c r="T214"/>
      <x:c r="U214"/>
      <x:c r="V214" t="str">
        <x:f>IFERROR((T214-U214)/U214,"")</x:f>
      </x:c>
      <x:c r="W214"/>
      <x:c r="X214"/>
      <x:c r="Y214"/>
      <x:c r="Z214"/>
      <x:c r="AA214" t="str"/>
      <x:c r="AB214" t="str"/>
      <x:c r="AC214" t="str">
        <x:v>2026-06-15</x:v>
      </x:c>
    </x:row>
    <x:row r="215">
      <x:c r="A215" t="n">
        <x:v>214</x:v>
      </x:c>
      <x:c r="B215" t="str">
        <x:v>Prudent Corporate Advisory</x:v>
      </x:c>
      <x:c r="C215" t="str">
        <x:v>Not Started</x:v>
      </x:c>
      <x:c r="D215" s="12"/>
      <x:c r="E215" s="12"/>
      <x:c r="F215" s="12"/>
      <x:c r="G215" s="12"/>
      <x:c r="H215" s="12"/>
      <x:c r="I215" s="12"/>
      <x:c r="J215" s="14" t="str">
        <x:f>IFERROR(H215/I215,"")</x:f>
      </x:c>
      <x:c r="K215"/>
      <x:c r="L215"/>
      <x:c r="M215"/>
      <x:c r="N215"/>
      <x:c r="O215"/>
      <x:c r="P215"/>
      <x:c r="Q215" t="str">
        <x:f>IFERROR(O215/P215,"")</x:f>
      </x:c>
      <x:c r="R215"/>
      <x:c r="S215"/>
      <x:c r="T215"/>
      <x:c r="U215"/>
      <x:c r="V215" t="str">
        <x:f>IFERROR((T215-U215)/U215,"")</x:f>
      </x:c>
      <x:c r="W215"/>
      <x:c r="X215"/>
      <x:c r="Y215"/>
      <x:c r="Z215"/>
      <x:c r="AA215" t="str"/>
      <x:c r="AB215" t="str"/>
      <x:c r="AC215" t="str">
        <x:v>2026-06-15</x:v>
      </x:c>
    </x:row>
    <x:row r="216">
      <x:c r="A216" t="n">
        <x:v>215</x:v>
      </x:c>
      <x:c r="B216" t="str">
        <x:v>Pyramid Technoplast</x:v>
      </x:c>
      <x:c r="C216" t="str">
        <x:v>Not Started</x:v>
      </x:c>
      <x:c r="D216" s="12"/>
      <x:c r="E216" s="12"/>
      <x:c r="F216" s="12"/>
      <x:c r="G216" s="12"/>
      <x:c r="H216" s="12"/>
      <x:c r="I216" s="12"/>
      <x:c r="J216" s="14" t="str">
        <x:f>IFERROR(H216/I216,"")</x:f>
      </x:c>
      <x:c r="K216"/>
      <x:c r="L216"/>
      <x:c r="M216"/>
      <x:c r="N216"/>
      <x:c r="O216"/>
      <x:c r="P216"/>
      <x:c r="Q216" t="str">
        <x:f>IFERROR(O216/P216,"")</x:f>
      </x:c>
      <x:c r="R216"/>
      <x:c r="S216"/>
      <x:c r="T216"/>
      <x:c r="U216"/>
      <x:c r="V216" t="str">
        <x:f>IFERROR((T216-U216)/U216,"")</x:f>
      </x:c>
      <x:c r="W216"/>
      <x:c r="X216"/>
      <x:c r="Y216"/>
      <x:c r="Z216"/>
      <x:c r="AA216" t="str"/>
      <x:c r="AB216" t="str"/>
      <x:c r="AC216" t="str">
        <x:v>2026-06-15</x:v>
      </x:c>
    </x:row>
    <x:row r="217">
      <x:c r="A217" t="n">
        <x:v>216</x:v>
      </x:c>
      <x:c r="B217" t="str">
        <x:v>RBZ Jewellers</x:v>
      </x:c>
      <x:c r="C217" t="str">
        <x:v>Not Started</x:v>
      </x:c>
      <x:c r="D217" s="12"/>
      <x:c r="E217" s="12"/>
      <x:c r="F217" s="12"/>
      <x:c r="G217" s="12"/>
      <x:c r="H217" s="12"/>
      <x:c r="I217" s="12"/>
      <x:c r="J217" s="14" t="str">
        <x:f>IFERROR(H217/I217,"")</x:f>
      </x:c>
      <x:c r="K217"/>
      <x:c r="L217"/>
      <x:c r="M217"/>
      <x:c r="N217"/>
      <x:c r="O217"/>
      <x:c r="P217"/>
      <x:c r="Q217" t="str">
        <x:f>IFERROR(O217/P217,"")</x:f>
      </x:c>
      <x:c r="R217"/>
      <x:c r="S217"/>
      <x:c r="T217"/>
      <x:c r="U217"/>
      <x:c r="V217" t="str">
        <x:f>IFERROR((T217-U217)/U217,"")</x:f>
      </x:c>
      <x:c r="W217"/>
      <x:c r="X217"/>
      <x:c r="Y217"/>
      <x:c r="Z217"/>
      <x:c r="AA217" t="str"/>
      <x:c r="AB217" t="str"/>
      <x:c r="AC217" t="str">
        <x:v>2026-06-15</x:v>
      </x:c>
    </x:row>
    <x:row r="218">
      <x:c r="A218" t="n">
        <x:v>217</x:v>
      </x:c>
      <x:c r="B218" t="str">
        <x:v>RR Kabel</x:v>
      </x:c>
      <x:c r="C218" t="str">
        <x:v>Not Started</x:v>
      </x:c>
      <x:c r="D218" s="12"/>
      <x:c r="E218" s="12"/>
      <x:c r="F218" s="12"/>
      <x:c r="G218" s="12"/>
      <x:c r="H218" s="12"/>
      <x:c r="I218" s="12"/>
      <x:c r="J218" s="14" t="str">
        <x:f>IFERROR(H218/I218,"")</x:f>
      </x:c>
      <x:c r="K218"/>
      <x:c r="L218"/>
      <x:c r="M218"/>
      <x:c r="N218"/>
      <x:c r="O218"/>
      <x:c r="P218"/>
      <x:c r="Q218" t="str">
        <x:f>IFERROR(O218/P218,"")</x:f>
      </x:c>
      <x:c r="R218"/>
      <x:c r="S218"/>
      <x:c r="T218"/>
      <x:c r="U218"/>
      <x:c r="V218" t="str">
        <x:f>IFERROR((T218-U218)/U218,"")</x:f>
      </x:c>
      <x:c r="W218"/>
      <x:c r="X218"/>
      <x:c r="Y218"/>
      <x:c r="Z218"/>
      <x:c r="AA218" t="str"/>
      <x:c r="AB218" t="str"/>
      <x:c r="AC218" t="str">
        <x:v>2026-06-15</x:v>
      </x:c>
    </x:row>
    <x:row r="219">
      <x:c r="A219" t="n">
        <x:v>218</x:v>
      </x:c>
      <x:c r="B219" t="str">
        <x:v>Radiant Cash Management</x:v>
      </x:c>
      <x:c r="C219" t="str">
        <x:v>Not Started</x:v>
      </x:c>
      <x:c r="D219" s="12"/>
      <x:c r="E219" s="12"/>
      <x:c r="F219" s="12"/>
      <x:c r="G219" s="12"/>
      <x:c r="H219" s="12"/>
      <x:c r="I219" s="12"/>
      <x:c r="J219" s="14" t="str">
        <x:f>IFERROR(H219/I219,"")</x:f>
      </x:c>
      <x:c r="K219"/>
      <x:c r="L219"/>
      <x:c r="M219"/>
      <x:c r="N219"/>
      <x:c r="O219"/>
      <x:c r="P219"/>
      <x:c r="Q219" t="str">
        <x:f>IFERROR(O219/P219,"")</x:f>
      </x:c>
      <x:c r="R219"/>
      <x:c r="S219"/>
      <x:c r="T219"/>
      <x:c r="U219"/>
      <x:c r="V219" t="str">
        <x:f>IFERROR((T219-U219)/U219,"")</x:f>
      </x:c>
      <x:c r="W219"/>
      <x:c r="X219"/>
      <x:c r="Y219"/>
      <x:c r="Z219"/>
      <x:c r="AA219" t="str"/>
      <x:c r="AB219" t="str"/>
      <x:c r="AC219" t="str">
        <x:v>2026-06-15</x:v>
      </x:c>
    </x:row>
    <x:row r="220">
      <x:c r="A220" t="n">
        <x:v>219</x:v>
      </x:c>
      <x:c r="B220" t="str">
        <x:v>RailTel</x:v>
      </x:c>
      <x:c r="C220" t="str">
        <x:v>Not Started</x:v>
      </x:c>
      <x:c r="D220" s="12"/>
      <x:c r="E220" s="12"/>
      <x:c r="F220" s="12"/>
      <x:c r="G220" s="12"/>
      <x:c r="H220" s="12"/>
      <x:c r="I220" s="12"/>
      <x:c r="J220" s="14" t="str">
        <x:f>IFERROR(H220/I220,"")</x:f>
      </x:c>
      <x:c r="K220"/>
      <x:c r="L220"/>
      <x:c r="M220"/>
      <x:c r="N220"/>
      <x:c r="O220"/>
      <x:c r="P220"/>
      <x:c r="Q220" t="str">
        <x:f>IFERROR(O220/P220,"")</x:f>
      </x:c>
      <x:c r="R220"/>
      <x:c r="S220"/>
      <x:c r="T220"/>
      <x:c r="U220"/>
      <x:c r="V220" t="str">
        <x:f>IFERROR((T220-U220)/U220,"")</x:f>
      </x:c>
      <x:c r="W220"/>
      <x:c r="X220"/>
      <x:c r="Y220"/>
      <x:c r="Z220"/>
      <x:c r="AA220" t="str"/>
      <x:c r="AB220" t="str"/>
      <x:c r="AC220" t="str">
        <x:v>2026-06-15</x:v>
      </x:c>
    </x:row>
    <x:row r="221">
      <x:c r="A221" t="n">
        <x:v>220</x:v>
      </x:c>
      <x:c r="B221" t="str">
        <x:v>Rainbow Hospital</x:v>
      </x:c>
      <x:c r="C221" t="str">
        <x:v>Not Started</x:v>
      </x:c>
      <x:c r="D221" s="12"/>
      <x:c r="E221" s="12"/>
      <x:c r="F221" s="12"/>
      <x:c r="G221" s="12"/>
      <x:c r="H221" s="12"/>
      <x:c r="I221" s="12"/>
      <x:c r="J221" s="14" t="str">
        <x:f>IFERROR(H221/I221,"")</x:f>
      </x:c>
      <x:c r="K221"/>
      <x:c r="L221"/>
      <x:c r="M221"/>
      <x:c r="N221"/>
      <x:c r="O221"/>
      <x:c r="P221"/>
      <x:c r="Q221" t="str">
        <x:f>IFERROR(O221/P221,"")</x:f>
      </x:c>
      <x:c r="R221"/>
      <x:c r="S221"/>
      <x:c r="T221"/>
      <x:c r="U221"/>
      <x:c r="V221" t="str">
        <x:f>IFERROR((T221-U221)/U221,"")</x:f>
      </x:c>
      <x:c r="W221"/>
      <x:c r="X221"/>
      <x:c r="Y221"/>
      <x:c r="Z221"/>
      <x:c r="AA221" t="str"/>
      <x:c r="AB221" t="str"/>
      <x:c r="AC221" t="str">
        <x:v>2026-06-15</x:v>
      </x:c>
    </x:row>
    <x:row r="222">
      <x:c r="A222" t="n">
        <x:v>221</x:v>
      </x:c>
      <x:c r="B222" t="str">
        <x:v>Rajputana Stainless Ltd</x:v>
      </x:c>
      <x:c r="C222" t="str">
        <x:v>Not Started</x:v>
      </x:c>
      <x:c r="D222" s="12"/>
      <x:c r="E222" s="12"/>
      <x:c r="F222" s="12"/>
      <x:c r="G222" s="12"/>
      <x:c r="H222" s="12"/>
      <x:c r="I222" s="12"/>
      <x:c r="J222" s="14" t="str">
        <x:f>IFERROR(H222/I222,"")</x:f>
      </x:c>
      <x:c r="K222"/>
      <x:c r="L222"/>
      <x:c r="M222"/>
      <x:c r="N222"/>
      <x:c r="O222"/>
      <x:c r="P222"/>
      <x:c r="Q222" t="str">
        <x:f>IFERROR(O222/P222,"")</x:f>
      </x:c>
      <x:c r="R222"/>
      <x:c r="S222"/>
      <x:c r="T222"/>
      <x:c r="U222"/>
      <x:c r="V222" t="str">
        <x:f>IFERROR((T222-U222)/U222,"")</x:f>
      </x:c>
      <x:c r="W222"/>
      <x:c r="X222"/>
      <x:c r="Y222"/>
      <x:c r="Z222"/>
      <x:c r="AA222" t="str"/>
      <x:c r="AB222" t="str"/>
      <x:c r="AC222" t="str">
        <x:v>2026-06-15</x:v>
      </x:c>
    </x:row>
    <x:row r="223">
      <x:c r="A223" t="n">
        <x:v>222</x:v>
      </x:c>
      <x:c r="B223" t="str">
        <x:v>Rategain Travel</x:v>
      </x:c>
      <x:c r="C223" t="str">
        <x:v>Not Started</x:v>
      </x:c>
      <x:c r="D223" s="12"/>
      <x:c r="E223" s="12"/>
      <x:c r="F223" s="12"/>
      <x:c r="G223" s="12"/>
      <x:c r="H223" s="12"/>
      <x:c r="I223" s="12"/>
      <x:c r="J223" s="14" t="str">
        <x:f>IFERROR(H223/I223,"")</x:f>
      </x:c>
      <x:c r="K223"/>
      <x:c r="L223"/>
      <x:c r="M223"/>
      <x:c r="N223"/>
      <x:c r="O223"/>
      <x:c r="P223"/>
      <x:c r="Q223" t="str">
        <x:f>IFERROR(O223/P223,"")</x:f>
      </x:c>
      <x:c r="R223"/>
      <x:c r="S223"/>
      <x:c r="T223"/>
      <x:c r="U223"/>
      <x:c r="V223" t="str">
        <x:f>IFERROR((T223-U223)/U223,"")</x:f>
      </x:c>
      <x:c r="W223"/>
      <x:c r="X223"/>
      <x:c r="Y223"/>
      <x:c r="Z223"/>
      <x:c r="AA223" t="str"/>
      <x:c r="AB223" t="str"/>
      <x:c r="AC223" t="str">
        <x:v>2026-06-15</x:v>
      </x:c>
    </x:row>
    <x:row r="224">
      <x:c r="A224" t="n">
        <x:v>223</x:v>
      </x:c>
      <x:c r="B224" t="str">
        <x:v>Ratnaveer Precision Engineering</x:v>
      </x:c>
      <x:c r="C224" t="str">
        <x:v>Not Started</x:v>
      </x:c>
      <x:c r="D224" s="12"/>
      <x:c r="E224" s="12"/>
      <x:c r="F224" s="12"/>
      <x:c r="G224" s="12"/>
      <x:c r="H224" s="12"/>
      <x:c r="I224" s="12"/>
      <x:c r="J224" s="14" t="str">
        <x:f>IFERROR(H224/I224,"")</x:f>
      </x:c>
      <x:c r="K224"/>
      <x:c r="L224"/>
      <x:c r="M224"/>
      <x:c r="N224"/>
      <x:c r="O224"/>
      <x:c r="P224"/>
      <x:c r="Q224" t="str">
        <x:f>IFERROR(O224/P224,"")</x:f>
      </x:c>
      <x:c r="R224"/>
      <x:c r="S224"/>
      <x:c r="T224"/>
      <x:c r="U224"/>
      <x:c r="V224" t="str">
        <x:f>IFERROR((T224-U224)/U224,"")</x:f>
      </x:c>
      <x:c r="W224"/>
      <x:c r="X224"/>
      <x:c r="Y224"/>
      <x:c r="Z224"/>
      <x:c r="AA224" t="str"/>
      <x:c r="AB224" t="str"/>
      <x:c r="AC224" t="str">
        <x:v>2026-06-15</x:v>
      </x:c>
    </x:row>
    <x:row r="225">
      <x:c r="A225" t="n">
        <x:v>224</x:v>
      </x:c>
      <x:c r="B225" t="str">
        <x:v>Regaal Resources Ltd</x:v>
      </x:c>
      <x:c r="C225" t="str">
        <x:v>Not Started</x:v>
      </x:c>
      <x:c r="D225" s="12"/>
      <x:c r="E225" s="12"/>
      <x:c r="F225" s="12"/>
      <x:c r="G225" s="12"/>
      <x:c r="H225" s="12"/>
      <x:c r="I225" s="12"/>
      <x:c r="J225" s="14" t="str">
        <x:f>IFERROR(H225/I225,"")</x:f>
      </x:c>
      <x:c r="K225"/>
      <x:c r="L225"/>
      <x:c r="M225"/>
      <x:c r="N225"/>
      <x:c r="O225"/>
      <x:c r="P225"/>
      <x:c r="Q225" t="str">
        <x:f>IFERROR(O225/P225,"")</x:f>
      </x:c>
      <x:c r="R225"/>
      <x:c r="S225"/>
      <x:c r="T225"/>
      <x:c r="U225"/>
      <x:c r="V225" t="str">
        <x:f>IFERROR((T225-U225)/U225,"")</x:f>
      </x:c>
      <x:c r="W225"/>
      <x:c r="X225"/>
      <x:c r="Y225"/>
      <x:c r="Z225"/>
      <x:c r="AA225" t="str"/>
      <x:c r="AB225" t="str"/>
      <x:c r="AC225" t="str">
        <x:v>2026-06-15</x:v>
      </x:c>
    </x:row>
    <x:row r="226">
      <x:c r="A226" t="n">
        <x:v>225</x:v>
      </x:c>
      <x:c r="B226" t="str">
        <x:v>Rishabh Instruments</x:v>
      </x:c>
      <x:c r="C226" t="str">
        <x:v>Not Started</x:v>
      </x:c>
      <x:c r="D226" s="12"/>
      <x:c r="E226" s="12"/>
      <x:c r="F226" s="12"/>
      <x:c r="G226" s="12"/>
      <x:c r="H226" s="12"/>
      <x:c r="I226" s="12"/>
      <x:c r="J226" s="14" t="str">
        <x:f>IFERROR(H226/I226,"")</x:f>
      </x:c>
      <x:c r="K226"/>
      <x:c r="L226"/>
      <x:c r="M226"/>
      <x:c r="N226"/>
      <x:c r="O226"/>
      <x:c r="P226"/>
      <x:c r="Q226" t="str">
        <x:f>IFERROR(O226/P226,"")</x:f>
      </x:c>
      <x:c r="R226"/>
      <x:c r="S226"/>
      <x:c r="T226"/>
      <x:c r="U226"/>
      <x:c r="V226" t="str">
        <x:f>IFERROR((T226-U226)/U226,"")</x:f>
      </x:c>
      <x:c r="W226"/>
      <x:c r="X226"/>
      <x:c r="Y226"/>
      <x:c r="Z226"/>
      <x:c r="AA226" t="str"/>
      <x:c r="AB226" t="str"/>
      <x:c r="AC226" t="str">
        <x:v>2026-06-15</x:v>
      </x:c>
    </x:row>
    <x:row r="227">
      <x:c r="A227" t="n">
        <x:v>226</x:v>
      </x:c>
      <x:c r="B227" t="str">
        <x:v>Rolex Rings</x:v>
      </x:c>
      <x:c r="C227" t="str">
        <x:v>Not Started</x:v>
      </x:c>
      <x:c r="D227" s="12"/>
      <x:c r="E227" s="12"/>
      <x:c r="F227" s="12"/>
      <x:c r="G227" s="12"/>
      <x:c r="H227" s="12"/>
      <x:c r="I227" s="12"/>
      <x:c r="J227" s="14" t="str">
        <x:f>IFERROR(H227/I227,"")</x:f>
      </x:c>
      <x:c r="K227"/>
      <x:c r="L227"/>
      <x:c r="M227"/>
      <x:c r="N227"/>
      <x:c r="O227"/>
      <x:c r="P227"/>
      <x:c r="Q227" t="str">
        <x:f>IFERROR(O227/P227,"")</x:f>
      </x:c>
      <x:c r="R227"/>
      <x:c r="S227"/>
      <x:c r="T227"/>
      <x:c r="U227"/>
      <x:c r="V227" t="str">
        <x:f>IFERROR((T227-U227)/U227,"")</x:f>
      </x:c>
      <x:c r="W227"/>
      <x:c r="X227"/>
      <x:c r="Y227"/>
      <x:c r="Z227"/>
      <x:c r="AA227" t="str"/>
      <x:c r="AB227" t="str"/>
      <x:c r="AC227" t="str">
        <x:v>2026-06-15</x:v>
      </x:c>
    </x:row>
    <x:row r="228">
      <x:c r="A228" t="n">
        <x:v>227</x:v>
      </x:c>
      <x:c r="B228" t="str">
        <x:v>Rossari Biotech</x:v>
      </x:c>
      <x:c r="C228" t="str">
        <x:v>Not Started</x:v>
      </x:c>
      <x:c r="D228" s="12"/>
      <x:c r="E228" s="12"/>
      <x:c r="F228" s="12"/>
      <x:c r="G228" s="12"/>
      <x:c r="H228" s="12"/>
      <x:c r="I228" s="12"/>
      <x:c r="J228" s="14" t="str">
        <x:f>IFERROR(H228/I228,"")</x:f>
      </x:c>
      <x:c r="K228"/>
      <x:c r="L228"/>
      <x:c r="M228"/>
      <x:c r="N228"/>
      <x:c r="O228"/>
      <x:c r="P228"/>
      <x:c r="Q228" t="str">
        <x:f>IFERROR(O228/P228,"")</x:f>
      </x:c>
      <x:c r="R228"/>
      <x:c r="S228"/>
      <x:c r="T228"/>
      <x:c r="U228"/>
      <x:c r="V228" t="str">
        <x:f>IFERROR((T228-U228)/U228,"")</x:f>
      </x:c>
      <x:c r="W228"/>
      <x:c r="X228"/>
      <x:c r="Y228"/>
      <x:c r="Z228"/>
      <x:c r="AA228" t="str"/>
      <x:c r="AB228" t="str"/>
      <x:c r="AC228" t="str">
        <x:v>2026-06-15</x:v>
      </x:c>
    </x:row>
    <x:row r="229">
      <x:c r="A229" t="n">
        <x:v>228</x:v>
      </x:c>
      <x:c r="B229" t="str">
        <x:v>Route Mobile</x:v>
      </x:c>
      <x:c r="C229" t="str">
        <x:v>Not Started</x:v>
      </x:c>
      <x:c r="D229" s="12"/>
      <x:c r="E229" s="12"/>
      <x:c r="F229" s="12"/>
      <x:c r="G229" s="12"/>
      <x:c r="H229" s="12"/>
      <x:c r="I229" s="12"/>
      <x:c r="J229" s="14" t="str">
        <x:f>IFERROR(H229/I229,"")</x:f>
      </x:c>
      <x:c r="K229"/>
      <x:c r="L229"/>
      <x:c r="M229"/>
      <x:c r="N229"/>
      <x:c r="O229"/>
      <x:c r="P229"/>
      <x:c r="Q229" t="str">
        <x:f>IFERROR(O229/P229,"")</x:f>
      </x:c>
      <x:c r="R229"/>
      <x:c r="S229"/>
      <x:c r="T229"/>
      <x:c r="U229"/>
      <x:c r="V229" t="str">
        <x:f>IFERROR((T229-U229)/U229,"")</x:f>
      </x:c>
      <x:c r="W229"/>
      <x:c r="X229"/>
      <x:c r="Y229"/>
      <x:c r="Z229"/>
      <x:c r="AA229" t="str"/>
      <x:c r="AB229" t="str"/>
      <x:c r="AC229" t="str">
        <x:v>2026-06-15</x:v>
      </x:c>
    </x:row>
    <x:row r="230">
      <x:c r="A230" t="n">
        <x:v>229</x:v>
      </x:c>
      <x:c r="B230" t="str">
        <x:v>Rubicon Research Ltd</x:v>
      </x:c>
      <x:c r="C230" t="str">
        <x:v>Not Started</x:v>
      </x:c>
      <x:c r="D230" s="12"/>
      <x:c r="E230" s="12"/>
      <x:c r="F230" s="12"/>
      <x:c r="G230" s="12"/>
      <x:c r="H230" s="12"/>
      <x:c r="I230" s="12"/>
      <x:c r="J230" s="14" t="str">
        <x:f>IFERROR(H230/I230,"")</x:f>
      </x:c>
      <x:c r="K230"/>
      <x:c r="L230"/>
      <x:c r="M230"/>
      <x:c r="N230"/>
      <x:c r="O230"/>
      <x:c r="P230"/>
      <x:c r="Q230" t="str">
        <x:f>IFERROR(O230/P230,"")</x:f>
      </x:c>
      <x:c r="R230"/>
      <x:c r="S230"/>
      <x:c r="T230"/>
      <x:c r="U230"/>
      <x:c r="V230" t="str">
        <x:f>IFERROR((T230-U230)/U230,"")</x:f>
      </x:c>
      <x:c r="W230"/>
      <x:c r="X230"/>
      <x:c r="Y230"/>
      <x:c r="Z230"/>
      <x:c r="AA230" t="str"/>
      <x:c r="AB230" t="str"/>
      <x:c r="AC230" t="str">
        <x:v>2026-06-15</x:v>
      </x:c>
    </x:row>
    <x:row r="231">
      <x:c r="A231" t="n">
        <x:v>230</x:v>
      </x:c>
      <x:c r="B231" t="str">
        <x:v>SBFC Finance</x:v>
      </x:c>
      <x:c r="C231" t="str">
        <x:v>Not Started</x:v>
      </x:c>
      <x:c r="D231" s="12"/>
      <x:c r="E231" s="12"/>
      <x:c r="F231" s="12"/>
      <x:c r="G231" s="12"/>
      <x:c r="H231" s="12"/>
      <x:c r="I231" s="12"/>
      <x:c r="J231" s="14" t="str">
        <x:f>IFERROR(H231/I231,"")</x:f>
      </x:c>
      <x:c r="K231"/>
      <x:c r="L231"/>
      <x:c r="M231"/>
      <x:c r="N231"/>
      <x:c r="O231"/>
      <x:c r="P231"/>
      <x:c r="Q231" t="str">
        <x:f>IFERROR(O231/P231,"")</x:f>
      </x:c>
      <x:c r="R231"/>
      <x:c r="S231"/>
      <x:c r="T231"/>
      <x:c r="U231"/>
      <x:c r="V231" t="str">
        <x:f>IFERROR((T231-U231)/U231,"")</x:f>
      </x:c>
      <x:c r="W231"/>
      <x:c r="X231"/>
      <x:c r="Y231"/>
      <x:c r="Z231"/>
      <x:c r="AA231" t="str"/>
      <x:c r="AB231" t="str"/>
      <x:c r="AC231" t="str">
        <x:v>2026-06-15</x:v>
      </x:c>
    </x:row>
    <x:row r="232">
      <x:c r="A232" t="n">
        <x:v>231</x:v>
      </x:c>
      <x:c r="B232" t="str">
        <x:v>SEDEMAC Mechatronics Ltd</x:v>
      </x:c>
      <x:c r="C232" t="str">
        <x:v>Not Started</x:v>
      </x:c>
      <x:c r="D232" s="12"/>
      <x:c r="E232" s="12"/>
      <x:c r="F232" s="12"/>
      <x:c r="G232" s="12"/>
      <x:c r="H232" s="12"/>
      <x:c r="I232" s="12"/>
      <x:c r="J232" s="14" t="str">
        <x:f>IFERROR(H232/I232,"")</x:f>
      </x:c>
      <x:c r="K232"/>
      <x:c r="L232"/>
      <x:c r="M232"/>
      <x:c r="N232"/>
      <x:c r="O232"/>
      <x:c r="P232"/>
      <x:c r="Q232" t="str">
        <x:f>IFERROR(O232/P232,"")</x:f>
      </x:c>
      <x:c r="R232"/>
      <x:c r="S232"/>
      <x:c r="T232"/>
      <x:c r="U232"/>
      <x:c r="V232" t="str">
        <x:f>IFERROR((T232-U232)/U232,"")</x:f>
      </x:c>
      <x:c r="W232"/>
      <x:c r="X232"/>
      <x:c r="Y232"/>
      <x:c r="Z232"/>
      <x:c r="AA232" t="str"/>
      <x:c r="AB232" t="str"/>
      <x:c r="AC232" t="str">
        <x:v>2026-06-15</x:v>
      </x:c>
    </x:row>
    <x:row r="233">
      <x:c r="A233" t="n">
        <x:v>232</x:v>
      </x:c>
      <x:c r="B233" t="str">
        <x:v>SBI Cards</x:v>
      </x:c>
      <x:c r="C233" t="str">
        <x:v>Not Started</x:v>
      </x:c>
      <x:c r="D233" s="12"/>
      <x:c r="E233" s="12"/>
      <x:c r="F233" s="12"/>
      <x:c r="G233" s="12"/>
      <x:c r="H233" s="12"/>
      <x:c r="I233" s="12"/>
      <x:c r="J233" s="14" t="str">
        <x:f>IFERROR(H233/I233,"")</x:f>
      </x:c>
      <x:c r="K233"/>
      <x:c r="L233"/>
      <x:c r="M233"/>
      <x:c r="N233"/>
      <x:c r="O233"/>
      <x:c r="P233"/>
      <x:c r="Q233" t="str">
        <x:f>IFERROR(O233/P233,"")</x:f>
      </x:c>
      <x:c r="R233"/>
      <x:c r="S233"/>
      <x:c r="T233"/>
      <x:c r="U233"/>
      <x:c r="V233" t="str">
        <x:f>IFERROR((T233-U233)/U233,"")</x:f>
      </x:c>
      <x:c r="W233"/>
      <x:c r="X233"/>
      <x:c r="Y233"/>
      <x:c r="Z233"/>
      <x:c r="AA233" t="str"/>
      <x:c r="AB233" t="str"/>
      <x:c r="AC233" t="str">
        <x:v>2026-06-15</x:v>
      </x:c>
    </x:row>
    <x:row r="234">
      <x:c r="A234" t="n">
        <x:v>233</x:v>
      </x:c>
      <x:c r="B234" t="str">
        <x:v>SJS Enterprises</x:v>
      </x:c>
      <x:c r="C234" t="str">
        <x:v>Not Started</x:v>
      </x:c>
      <x:c r="D234" s="12"/>
      <x:c r="E234" s="12"/>
      <x:c r="F234" s="12"/>
      <x:c r="G234" s="12"/>
      <x:c r="H234" s="12"/>
      <x:c r="I234" s="12"/>
      <x:c r="J234" s="14" t="str">
        <x:f>IFERROR(H234/I234,"")</x:f>
      </x:c>
      <x:c r="K234"/>
      <x:c r="L234"/>
      <x:c r="M234"/>
      <x:c r="N234"/>
      <x:c r="O234"/>
      <x:c r="P234"/>
      <x:c r="Q234" t="str">
        <x:f>IFERROR(O234/P234,"")</x:f>
      </x:c>
      <x:c r="R234"/>
      <x:c r="S234"/>
      <x:c r="T234"/>
      <x:c r="U234"/>
      <x:c r="V234" t="str">
        <x:f>IFERROR((T234-U234)/U234,"")</x:f>
      </x:c>
      <x:c r="W234"/>
      <x:c r="X234"/>
      <x:c r="Y234"/>
      <x:c r="Z234"/>
      <x:c r="AA234" t="str"/>
      <x:c r="AB234" t="str"/>
      <x:c r="AC234" t="str">
        <x:v>2026-06-15</x:v>
      </x:c>
    </x:row>
    <x:row r="235">
      <x:c r="A235" t="n">
        <x:v>234</x:v>
      </x:c>
      <x:c r="B235" t="str">
        <x:v>Saatvik Green Energy Ltd</x:v>
      </x:c>
      <x:c r="C235" t="str">
        <x:v>Not Started</x:v>
      </x:c>
      <x:c r="D235" s="12"/>
      <x:c r="E235" s="12"/>
      <x:c r="F235" s="12"/>
      <x:c r="G235" s="12"/>
      <x:c r="H235" s="12"/>
      <x:c r="I235" s="12"/>
      <x:c r="J235" s="14" t="str">
        <x:f>IFERROR(H235/I235,"")</x:f>
      </x:c>
      <x:c r="K235"/>
      <x:c r="L235"/>
      <x:c r="M235"/>
      <x:c r="N235"/>
      <x:c r="O235"/>
      <x:c r="P235"/>
      <x:c r="Q235" t="str">
        <x:f>IFERROR(O235/P235,"")</x:f>
      </x:c>
      <x:c r="R235"/>
      <x:c r="S235"/>
      <x:c r="T235"/>
      <x:c r="U235"/>
      <x:c r="V235" t="str">
        <x:f>IFERROR((T235-U235)/U235,"")</x:f>
      </x:c>
      <x:c r="W235"/>
      <x:c r="X235"/>
      <x:c r="Y235"/>
      <x:c r="Z235"/>
      <x:c r="AA235" t="str"/>
      <x:c r="AB235" t="str"/>
      <x:c r="AC235" t="str">
        <x:v>2026-06-15</x:v>
      </x:c>
    </x:row>
    <x:row r="236">
      <x:c r="A236" t="n">
        <x:v>235</x:v>
      </x:c>
      <x:c r="B236" t="str">
        <x:v>Sah Polymers</x:v>
      </x:c>
      <x:c r="C236" t="str">
        <x:v>Not Started</x:v>
      </x:c>
      <x:c r="D236" s="12"/>
      <x:c r="E236" s="12"/>
      <x:c r="F236" s="12"/>
      <x:c r="G236" s="12"/>
      <x:c r="H236" s="12"/>
      <x:c r="I236" s="12"/>
      <x:c r="J236" s="14" t="str">
        <x:f>IFERROR(H236/I236,"")</x:f>
      </x:c>
      <x:c r="K236"/>
      <x:c r="L236"/>
      <x:c r="M236"/>
      <x:c r="N236"/>
      <x:c r="O236"/>
      <x:c r="P236"/>
      <x:c r="Q236" t="str">
        <x:f>IFERROR(O236/P236,"")</x:f>
      </x:c>
      <x:c r="R236"/>
      <x:c r="S236"/>
      <x:c r="T236"/>
      <x:c r="U236"/>
      <x:c r="V236" t="str">
        <x:f>IFERROR((T236-U236)/U236,"")</x:f>
      </x:c>
      <x:c r="W236"/>
      <x:c r="X236"/>
      <x:c r="Y236"/>
      <x:c r="Z236"/>
      <x:c r="AA236" t="str"/>
      <x:c r="AB236" t="str"/>
      <x:c r="AC236" t="str">
        <x:v>2026-06-15</x:v>
      </x:c>
    </x:row>
    <x:row r="237">
      <x:c r="A237" t="n">
        <x:v>236</x:v>
      </x:c>
      <x:c r="B237" t="str">
        <x:v>Sai Parenterals Ltd</x:v>
      </x:c>
      <x:c r="C237" t="str">
        <x:v>Not Started</x:v>
      </x:c>
      <x:c r="D237" s="12"/>
      <x:c r="E237" s="12"/>
      <x:c r="F237" s="12"/>
      <x:c r="G237" s="12"/>
      <x:c r="H237" s="12"/>
      <x:c r="I237" s="12"/>
      <x:c r="J237" s="14" t="str">
        <x:f>IFERROR(H237/I237,"")</x:f>
      </x:c>
      <x:c r="K237"/>
      <x:c r="L237"/>
      <x:c r="M237"/>
      <x:c r="N237"/>
      <x:c r="O237"/>
      <x:c r="P237"/>
      <x:c r="Q237" t="str">
        <x:f>IFERROR(O237/P237,"")</x:f>
      </x:c>
      <x:c r="R237"/>
      <x:c r="S237"/>
      <x:c r="T237"/>
      <x:c r="U237"/>
      <x:c r="V237" t="str">
        <x:f>IFERROR((T237-U237)/U237,"")</x:f>
      </x:c>
      <x:c r="W237"/>
      <x:c r="X237"/>
      <x:c r="Y237"/>
      <x:c r="Z237"/>
      <x:c r="AA237" t="str"/>
      <x:c r="AB237" t="str"/>
      <x:c r="AC237" t="str">
        <x:v>2026-06-15</x:v>
      </x:c>
    </x:row>
    <x:row r="238">
      <x:c r="A238" t="n">
        <x:v>237</x:v>
      </x:c>
      <x:c r="B238" t="str">
        <x:v>Sai Silks</x:v>
      </x:c>
      <x:c r="C238" t="str">
        <x:v>Not Started</x:v>
      </x:c>
      <x:c r="D238" s="12"/>
      <x:c r="E238" s="12"/>
      <x:c r="F238" s="12"/>
      <x:c r="G238" s="12"/>
      <x:c r="H238" s="12"/>
      <x:c r="I238" s="12"/>
      <x:c r="J238" s="14" t="str">
        <x:f>IFERROR(H238/I238,"")</x:f>
      </x:c>
      <x:c r="K238"/>
      <x:c r="L238"/>
      <x:c r="M238"/>
      <x:c r="N238"/>
      <x:c r="O238"/>
      <x:c r="P238"/>
      <x:c r="Q238" t="str">
        <x:f>IFERROR(O238/P238,"")</x:f>
      </x:c>
      <x:c r="R238"/>
      <x:c r="S238"/>
      <x:c r="T238"/>
      <x:c r="U238"/>
      <x:c r="V238" t="str">
        <x:f>IFERROR((T238-U238)/U238,"")</x:f>
      </x:c>
      <x:c r="W238"/>
      <x:c r="X238"/>
      <x:c r="Y238"/>
      <x:c r="Z238"/>
      <x:c r="AA238" t="str"/>
      <x:c r="AB238" t="str"/>
      <x:c r="AC238" t="str">
        <x:v>2026-06-15</x:v>
      </x:c>
    </x:row>
    <x:row r="239">
      <x:c r="A239" t="n">
        <x:v>238</x:v>
      </x:c>
      <x:c r="B239" t="str">
        <x:v>Samhi Hotels</x:v>
      </x:c>
      <x:c r="C239" t="str">
        <x:v>Not Started</x:v>
      </x:c>
      <x:c r="D239" s="12"/>
      <x:c r="E239" s="12"/>
      <x:c r="F239" s="12"/>
      <x:c r="G239" s="12"/>
      <x:c r="H239" s="12"/>
      <x:c r="I239" s="12"/>
      <x:c r="J239" s="14" t="str">
        <x:f>IFERROR(H239/I239,"")</x:f>
      </x:c>
      <x:c r="K239"/>
      <x:c r="L239"/>
      <x:c r="M239"/>
      <x:c r="N239"/>
      <x:c r="O239"/>
      <x:c r="P239"/>
      <x:c r="Q239" t="str">
        <x:f>IFERROR(O239/P239,"")</x:f>
      </x:c>
      <x:c r="R239"/>
      <x:c r="S239"/>
      <x:c r="T239"/>
      <x:c r="U239"/>
      <x:c r="V239" t="str">
        <x:f>IFERROR((T239-U239)/U239,"")</x:f>
      </x:c>
      <x:c r="W239"/>
      <x:c r="X239"/>
      <x:c r="Y239"/>
      <x:c r="Z239"/>
      <x:c r="AA239" t="str"/>
      <x:c r="AB239" t="str"/>
      <x:c r="AC239" t="str">
        <x:v>2026-06-15</x:v>
      </x:c>
    </x:row>
    <x:row r="240">
      <x:c r="A240" t="n">
        <x:v>239</x:v>
      </x:c>
      <x:c r="B240" t="str">
        <x:v>Sambhv Steel Tubes Limited</x:v>
      </x:c>
      <x:c r="C240" t="str">
        <x:v>Not Started</x:v>
      </x:c>
      <x:c r="D240" s="12"/>
      <x:c r="E240" s="12"/>
      <x:c r="F240" s="12"/>
      <x:c r="G240" s="12"/>
      <x:c r="H240" s="12"/>
      <x:c r="I240" s="12"/>
      <x:c r="J240" s="14" t="str">
        <x:f>IFERROR(H240/I240,"")</x:f>
      </x:c>
      <x:c r="K240"/>
      <x:c r="L240"/>
      <x:c r="M240"/>
      <x:c r="N240"/>
      <x:c r="O240"/>
      <x:c r="P240"/>
      <x:c r="Q240" t="str">
        <x:f>IFERROR(O240/P240,"")</x:f>
      </x:c>
      <x:c r="R240"/>
      <x:c r="S240"/>
      <x:c r="T240"/>
      <x:c r="U240"/>
      <x:c r="V240" t="str">
        <x:f>IFERROR((T240-U240)/U240,"")</x:f>
      </x:c>
      <x:c r="W240"/>
      <x:c r="X240"/>
      <x:c r="Y240"/>
      <x:c r="Z240"/>
      <x:c r="AA240" t="str"/>
      <x:c r="AB240" t="str"/>
      <x:c r="AC240" t="str">
        <x:v>2026-06-15</x:v>
      </x:c>
    </x:row>
    <x:row r="241">
      <x:c r="A241" t="n">
        <x:v>240</x:v>
      </x:c>
      <x:c r="B241" t="str">
        <x:v>Sansera Engineering</x:v>
      </x:c>
      <x:c r="C241" t="str">
        <x:v>Not Started</x:v>
      </x:c>
      <x:c r="D241" s="12"/>
      <x:c r="E241" s="12"/>
      <x:c r="F241" s="12"/>
      <x:c r="G241" s="12"/>
      <x:c r="H241" s="12"/>
      <x:c r="I241" s="12"/>
      <x:c r="J241" s="14" t="str">
        <x:f>IFERROR(H241/I241,"")</x:f>
      </x:c>
      <x:c r="K241"/>
      <x:c r="L241"/>
      <x:c r="M241"/>
      <x:c r="N241"/>
      <x:c r="O241"/>
      <x:c r="P241"/>
      <x:c r="Q241" t="str">
        <x:f>IFERROR(O241/P241,"")</x:f>
      </x:c>
      <x:c r="R241"/>
      <x:c r="S241"/>
      <x:c r="T241"/>
      <x:c r="U241"/>
      <x:c r="V241" t="str">
        <x:f>IFERROR((T241-U241)/U241,"")</x:f>
      </x:c>
      <x:c r="W241"/>
      <x:c r="X241"/>
      <x:c r="Y241"/>
      <x:c r="Z241"/>
      <x:c r="AA241" t="str"/>
      <x:c r="AB241" t="str"/>
      <x:c r="AC241" t="str">
        <x:v>2026-06-15</x:v>
      </x:c>
    </x:row>
    <x:row r="242">
      <x:c r="A242" t="n">
        <x:v>241</x:v>
      </x:c>
      <x:c r="B242" t="str">
        <x:v>Sapphire Foods</x:v>
      </x:c>
      <x:c r="C242" t="str">
        <x:v>Not Started</x:v>
      </x:c>
      <x:c r="D242" s="12"/>
      <x:c r="E242" s="12"/>
      <x:c r="F242" s="12"/>
      <x:c r="G242" s="12"/>
      <x:c r="H242" s="12"/>
      <x:c r="I242" s="12"/>
      <x:c r="J242" s="14" t="str">
        <x:f>IFERROR(H242/I242,"")</x:f>
      </x:c>
      <x:c r="K242"/>
      <x:c r="L242"/>
      <x:c r="M242"/>
      <x:c r="N242"/>
      <x:c r="O242"/>
      <x:c r="P242"/>
      <x:c r="Q242" t="str">
        <x:f>IFERROR(O242/P242,"")</x:f>
      </x:c>
      <x:c r="R242"/>
      <x:c r="S242"/>
      <x:c r="T242"/>
      <x:c r="U242"/>
      <x:c r="V242" t="str">
        <x:f>IFERROR((T242-U242)/U242,"")</x:f>
      </x:c>
      <x:c r="W242"/>
      <x:c r="X242"/>
      <x:c r="Y242"/>
      <x:c r="Z242"/>
      <x:c r="AA242" t="str"/>
      <x:c r="AB242" t="str"/>
      <x:c r="AC242" t="str">
        <x:v>2026-06-15</x:v>
      </x:c>
    </x:row>
    <x:row r="243">
      <x:c r="A243" t="n">
        <x:v>242</x:v>
      </x:c>
      <x:c r="B243" t="str">
        <x:v>Schloss Bangalore Limited</x:v>
      </x:c>
      <x:c r="C243" t="str">
        <x:v>Not Started</x:v>
      </x:c>
      <x:c r="D243" s="12"/>
      <x:c r="E243" s="12"/>
      <x:c r="F243" s="12"/>
      <x:c r="G243" s="12"/>
      <x:c r="H243" s="12"/>
      <x:c r="I243" s="12"/>
      <x:c r="J243" s="14" t="str">
        <x:f>IFERROR(H243/I243,"")</x:f>
      </x:c>
      <x:c r="K243"/>
      <x:c r="L243"/>
      <x:c r="M243"/>
      <x:c r="N243"/>
      <x:c r="O243"/>
      <x:c r="P243"/>
      <x:c r="Q243" t="str">
        <x:f>IFERROR(O243/P243,"")</x:f>
      </x:c>
      <x:c r="R243"/>
      <x:c r="S243"/>
      <x:c r="T243"/>
      <x:c r="U243"/>
      <x:c r="V243" t="str">
        <x:f>IFERROR((T243-U243)/U243,"")</x:f>
      </x:c>
      <x:c r="W243"/>
      <x:c r="X243"/>
      <x:c r="Y243"/>
      <x:c r="Z243"/>
      <x:c r="AA243" t="str"/>
      <x:c r="AB243" t="str"/>
      <x:c r="AC243" t="str">
        <x:v>2026-06-15</x:v>
      </x:c>
    </x:row>
    <x:row r="244">
      <x:c r="A244" t="n">
        <x:v>243</x:v>
      </x:c>
      <x:c r="B244" t="str">
        <x:v>Scoda Tubes Limited</x:v>
      </x:c>
      <x:c r="C244" t="str">
        <x:v>Not Started</x:v>
      </x:c>
      <x:c r="D244" s="12"/>
      <x:c r="E244" s="12"/>
      <x:c r="F244" s="12"/>
      <x:c r="G244" s="12"/>
      <x:c r="H244" s="12"/>
      <x:c r="I244" s="12"/>
      <x:c r="J244" s="14" t="str">
        <x:f>IFERROR(H244/I244,"")</x:f>
      </x:c>
      <x:c r="K244"/>
      <x:c r="L244"/>
      <x:c r="M244"/>
      <x:c r="N244"/>
      <x:c r="O244"/>
      <x:c r="P244"/>
      <x:c r="Q244" t="str">
        <x:f>IFERROR(O244/P244,"")</x:f>
      </x:c>
      <x:c r="R244"/>
      <x:c r="S244"/>
      <x:c r="T244"/>
      <x:c r="U244"/>
      <x:c r="V244" t="str">
        <x:f>IFERROR((T244-U244)/U244,"")</x:f>
      </x:c>
      <x:c r="W244"/>
      <x:c r="X244"/>
      <x:c r="Y244"/>
      <x:c r="Z244"/>
      <x:c r="AA244" t="str"/>
      <x:c r="AB244" t="str"/>
      <x:c r="AC244" t="str">
        <x:v>2026-06-15</x:v>
      </x:c>
    </x:row>
    <x:row r="245">
      <x:c r="A245" t="n">
        <x:v>244</x:v>
      </x:c>
      <x:c r="B245" t="str">
        <x:v>Senco Gold</x:v>
      </x:c>
      <x:c r="C245" t="str">
        <x:v>Not Started</x:v>
      </x:c>
      <x:c r="D245" s="12"/>
      <x:c r="E245" s="12"/>
      <x:c r="F245" s="12"/>
      <x:c r="G245" s="12"/>
      <x:c r="H245" s="12"/>
      <x:c r="I245" s="12"/>
      <x:c r="J245" s="14" t="str">
        <x:f>IFERROR(H245/I245,"")</x:f>
      </x:c>
      <x:c r="K245"/>
      <x:c r="L245"/>
      <x:c r="M245"/>
      <x:c r="N245"/>
      <x:c r="O245"/>
      <x:c r="P245"/>
      <x:c r="Q245" t="str">
        <x:f>IFERROR(O245/P245,"")</x:f>
      </x:c>
      <x:c r="R245"/>
      <x:c r="S245"/>
      <x:c r="T245"/>
      <x:c r="U245"/>
      <x:c r="V245" t="str">
        <x:f>IFERROR((T245-U245)/U245,"")</x:f>
      </x:c>
      <x:c r="W245"/>
      <x:c r="X245"/>
      <x:c r="Y245"/>
      <x:c r="Z245"/>
      <x:c r="AA245" t="str"/>
      <x:c r="AB245" t="str"/>
      <x:c r="AC245" t="str">
        <x:v>2026-06-15</x:v>
      </x:c>
    </x:row>
    <x:row r="246">
      <x:c r="A246" t="n">
        <x:v>245</x:v>
      </x:c>
      <x:c r="B246" t="str">
        <x:v>Senores Pharma</x:v>
      </x:c>
      <x:c r="C246" t="str">
        <x:v>Not Started</x:v>
      </x:c>
      <x:c r="D246" s="12"/>
      <x:c r="E246" s="12"/>
      <x:c r="F246" s="12"/>
      <x:c r="G246" s="12"/>
      <x:c r="H246" s="12"/>
      <x:c r="I246" s="12"/>
      <x:c r="J246" s="14" t="str">
        <x:f>IFERROR(H246/I246,"")</x:f>
      </x:c>
      <x:c r="K246"/>
      <x:c r="L246"/>
      <x:c r="M246"/>
      <x:c r="N246"/>
      <x:c r="O246"/>
      <x:c r="P246"/>
      <x:c r="Q246" t="str">
        <x:f>IFERROR(O246/P246,"")</x:f>
      </x:c>
      <x:c r="R246"/>
      <x:c r="S246"/>
      <x:c r="T246"/>
      <x:c r="U246"/>
      <x:c r="V246" t="str">
        <x:f>IFERROR((T246-U246)/U246,"")</x:f>
      </x:c>
      <x:c r="W246"/>
      <x:c r="X246"/>
      <x:c r="Y246"/>
      <x:c r="Z246"/>
      <x:c r="AA246" t="str"/>
      <x:c r="AB246" t="str"/>
      <x:c r="AC246" t="str">
        <x:v>2026-06-15</x:v>
      </x:c>
    </x:row>
    <x:row r="247">
      <x:c r="A247" t="n">
        <x:v>246</x:v>
      </x:c>
      <x:c r="B247" t="str">
        <x:v>Seshaasai Technologies Ltd</x:v>
      </x:c>
      <x:c r="C247" t="str">
        <x:v>Not Started</x:v>
      </x:c>
      <x:c r="D247" s="12"/>
      <x:c r="E247" s="12"/>
      <x:c r="F247" s="12"/>
      <x:c r="G247" s="12"/>
      <x:c r="H247" s="12"/>
      <x:c r="I247" s="12"/>
      <x:c r="J247" s="14" t="str">
        <x:f>IFERROR(H247/I247,"")</x:f>
      </x:c>
      <x:c r="K247"/>
      <x:c r="L247"/>
      <x:c r="M247"/>
      <x:c r="N247"/>
      <x:c r="O247"/>
      <x:c r="P247"/>
      <x:c r="Q247" t="str">
        <x:f>IFERROR(O247/P247,"")</x:f>
      </x:c>
      <x:c r="R247"/>
      <x:c r="S247"/>
      <x:c r="T247"/>
      <x:c r="U247"/>
      <x:c r="V247" t="str">
        <x:f>IFERROR((T247-U247)/U247,"")</x:f>
      </x:c>
      <x:c r="W247"/>
      <x:c r="X247"/>
      <x:c r="Y247"/>
      <x:c r="Z247"/>
      <x:c r="AA247" t="str"/>
      <x:c r="AB247" t="str"/>
      <x:c r="AC247" t="str">
        <x:v>2026-06-15</x:v>
      </x:c>
    </x:row>
    <x:row r="248">
      <x:c r="A248" t="n">
        <x:v>247</x:v>
      </x:c>
      <x:c r="B248" t="str">
        <x:v>Shadowfax Technologies Ltd</x:v>
      </x:c>
      <x:c r="C248" t="str">
        <x:v>Not Started</x:v>
      </x:c>
      <x:c r="D248" s="12"/>
      <x:c r="E248" s="12"/>
      <x:c r="F248" s="12"/>
      <x:c r="G248" s="12"/>
      <x:c r="H248" s="12"/>
      <x:c r="I248" s="12"/>
      <x:c r="J248" s="14" t="str">
        <x:f>IFERROR(H248/I248,"")</x:f>
      </x:c>
      <x:c r="K248"/>
      <x:c r="L248"/>
      <x:c r="M248"/>
      <x:c r="N248"/>
      <x:c r="O248"/>
      <x:c r="P248"/>
      <x:c r="Q248" t="str">
        <x:f>IFERROR(O248/P248,"")</x:f>
      </x:c>
      <x:c r="R248"/>
      <x:c r="S248"/>
      <x:c r="T248"/>
      <x:c r="U248"/>
      <x:c r="V248" t="str">
        <x:f>IFERROR((T248-U248)/U248,"")</x:f>
      </x:c>
      <x:c r="W248"/>
      <x:c r="X248"/>
      <x:c r="Y248"/>
      <x:c r="Z248"/>
      <x:c r="AA248" t="str"/>
      <x:c r="AB248" t="str"/>
      <x:c r="AC248" t="str">
        <x:v>2026-06-15</x:v>
      </x:c>
    </x:row>
    <x:row r="249">
      <x:c r="A249" t="n">
        <x:v>248</x:v>
      </x:c>
      <x:c r="B249" t="str">
        <x:v>Shanti Gold International Ltd</x:v>
      </x:c>
      <x:c r="C249" t="str">
        <x:v>Not Started</x:v>
      </x:c>
      <x:c r="D249" s="12"/>
      <x:c r="E249" s="12"/>
      <x:c r="F249" s="12"/>
      <x:c r="G249" s="12"/>
      <x:c r="H249" s="12"/>
      <x:c r="I249" s="12"/>
      <x:c r="J249" s="14" t="str">
        <x:f>IFERROR(H249/I249,"")</x:f>
      </x:c>
      <x:c r="K249"/>
      <x:c r="L249"/>
      <x:c r="M249"/>
      <x:c r="N249"/>
      <x:c r="O249"/>
      <x:c r="P249"/>
      <x:c r="Q249" t="str">
        <x:f>IFERROR(O249/P249,"")</x:f>
      </x:c>
      <x:c r="R249"/>
      <x:c r="S249"/>
      <x:c r="T249"/>
      <x:c r="U249"/>
      <x:c r="V249" t="str">
        <x:f>IFERROR((T249-U249)/U249,"")</x:f>
      </x:c>
      <x:c r="W249"/>
      <x:c r="X249"/>
      <x:c r="Y249"/>
      <x:c r="Z249"/>
      <x:c r="AA249" t="str"/>
      <x:c r="AB249" t="str"/>
      <x:c r="AC249" t="str">
        <x:v>2026-06-15</x:v>
      </x:c>
    </x:row>
    <x:row r="250">
      <x:c r="A250" t="n">
        <x:v>249</x:v>
      </x:c>
      <x:c r="B250" t="str">
        <x:v>Shreeji Shipping Global Ltd</x:v>
      </x:c>
      <x:c r="C250" t="str">
        <x:v>Not Started</x:v>
      </x:c>
      <x:c r="D250" s="12"/>
      <x:c r="E250" s="12"/>
      <x:c r="F250" s="12"/>
      <x:c r="G250" s="12"/>
      <x:c r="H250" s="12"/>
      <x:c r="I250" s="12"/>
      <x:c r="J250" s="14" t="str">
        <x:f>IFERROR(H250/I250,"")</x:f>
      </x:c>
      <x:c r="K250"/>
      <x:c r="L250"/>
      <x:c r="M250"/>
      <x:c r="N250"/>
      <x:c r="O250"/>
      <x:c r="P250"/>
      <x:c r="Q250" t="str">
        <x:f>IFERROR(O250/P250,"")</x:f>
      </x:c>
      <x:c r="R250"/>
      <x:c r="S250"/>
      <x:c r="T250"/>
      <x:c r="U250"/>
      <x:c r="V250" t="str">
        <x:f>IFERROR((T250-U250)/U250,"")</x:f>
      </x:c>
      <x:c r="W250"/>
      <x:c r="X250"/>
      <x:c r="Y250"/>
      <x:c r="Z250"/>
      <x:c r="AA250" t="str"/>
      <x:c r="AB250" t="str"/>
      <x:c r="AC250" t="str">
        <x:v>2026-06-15</x:v>
      </x:c>
    </x:row>
    <x:row r="251">
      <x:c r="A251" t="n">
        <x:v>250</x:v>
      </x:c>
      <x:c r="B251" t="str">
        <x:v>Shringar House of Mangalsutra Ltd</x:v>
      </x:c>
      <x:c r="C251" t="str">
        <x:v>Not Started</x:v>
      </x:c>
      <x:c r="D251" s="12"/>
      <x:c r="E251" s="12"/>
      <x:c r="F251" s="12"/>
      <x:c r="G251" s="12"/>
      <x:c r="H251" s="12"/>
      <x:c r="I251" s="12"/>
      <x:c r="J251" s="14" t="str">
        <x:f>IFERROR(H251/I251,"")</x:f>
      </x:c>
      <x:c r="K251"/>
      <x:c r="L251"/>
      <x:c r="M251"/>
      <x:c r="N251"/>
      <x:c r="O251"/>
      <x:c r="P251"/>
      <x:c r="Q251" t="str">
        <x:f>IFERROR(O251/P251,"")</x:f>
      </x:c>
      <x:c r="R251"/>
      <x:c r="S251"/>
      <x:c r="T251"/>
      <x:c r="U251"/>
      <x:c r="V251" t="str">
        <x:f>IFERROR((T251-U251)/U251,"")</x:f>
      </x:c>
      <x:c r="W251"/>
      <x:c r="X251"/>
      <x:c r="Y251"/>
      <x:c r="Z251"/>
      <x:c r="AA251" t="str"/>
      <x:c r="AB251" t="str"/>
      <x:c r="AC251" t="str">
        <x:v>2026-06-15</x:v>
      </x:c>
    </x:row>
    <x:row r="252">
      <x:c r="A252" t="n">
        <x:v>251</x:v>
      </x:c>
      <x:c r="B252" t="str">
        <x:v>Shriram Properties</x:v>
      </x:c>
      <x:c r="C252" t="str">
        <x:v>Not Started</x:v>
      </x:c>
      <x:c r="D252" s="12"/>
      <x:c r="E252" s="12"/>
      <x:c r="F252" s="12"/>
      <x:c r="G252" s="12"/>
      <x:c r="H252" s="12"/>
      <x:c r="I252" s="12"/>
      <x:c r="J252" s="14" t="str">
        <x:f>IFERROR(H252/I252,"")</x:f>
      </x:c>
      <x:c r="K252"/>
      <x:c r="L252"/>
      <x:c r="M252"/>
      <x:c r="N252"/>
      <x:c r="O252"/>
      <x:c r="P252"/>
      <x:c r="Q252" t="str">
        <x:f>IFERROR(O252/P252,"")</x:f>
      </x:c>
      <x:c r="R252"/>
      <x:c r="S252"/>
      <x:c r="T252"/>
      <x:c r="U252"/>
      <x:c r="V252" t="str">
        <x:f>IFERROR((T252-U252)/U252,"")</x:f>
      </x:c>
      <x:c r="W252"/>
      <x:c r="X252"/>
      <x:c r="Y252"/>
      <x:c r="Z252"/>
      <x:c r="AA252" t="str"/>
      <x:c r="AB252" t="str"/>
      <x:c r="AC252" t="str">
        <x:v>2026-06-15</x:v>
      </x:c>
    </x:row>
    <x:row r="253">
      <x:c r="A253" t="n">
        <x:v>252</x:v>
      </x:c>
      <x:c r="B253" t="str">
        <x:v>Shyam Metalics</x:v>
      </x:c>
      <x:c r="C253" t="str">
        <x:v>Not Started</x:v>
      </x:c>
      <x:c r="D253" s="12"/>
      <x:c r="E253" s="12"/>
      <x:c r="F253" s="12"/>
      <x:c r="G253" s="12"/>
      <x:c r="H253" s="12"/>
      <x:c r="I253" s="12"/>
      <x:c r="J253" s="14" t="str">
        <x:f>IFERROR(H253/I253,"")</x:f>
      </x:c>
      <x:c r="K253"/>
      <x:c r="L253"/>
      <x:c r="M253"/>
      <x:c r="N253"/>
      <x:c r="O253"/>
      <x:c r="P253"/>
      <x:c r="Q253" t="str">
        <x:f>IFERROR(O253/P253,"")</x:f>
      </x:c>
      <x:c r="R253"/>
      <x:c r="S253"/>
      <x:c r="T253"/>
      <x:c r="U253"/>
      <x:c r="V253" t="str">
        <x:f>IFERROR((T253-U253)/U253,"")</x:f>
      </x:c>
      <x:c r="W253"/>
      <x:c r="X253"/>
      <x:c r="Y253"/>
      <x:c r="Z253"/>
      <x:c r="AA253" t="str"/>
      <x:c r="AB253" t="str"/>
      <x:c r="AC253" t="str">
        <x:v>2026-06-15</x:v>
      </x:c>
    </x:row>
    <x:row r="254">
      <x:c r="A254" t="n">
        <x:v>253</x:v>
      </x:c>
      <x:c r="B254" t="str">
        <x:v>Sigachi Industries</x:v>
      </x:c>
      <x:c r="C254" t="str">
        <x:v>Not Started</x:v>
      </x:c>
      <x:c r="D254" s="12"/>
      <x:c r="E254" s="12"/>
      <x:c r="F254" s="12"/>
      <x:c r="G254" s="12"/>
      <x:c r="H254" s="12"/>
      <x:c r="I254" s="12"/>
      <x:c r="J254" s="14" t="str">
        <x:f>IFERROR(H254/I254,"")</x:f>
      </x:c>
      <x:c r="K254"/>
      <x:c r="L254"/>
      <x:c r="M254"/>
      <x:c r="N254"/>
      <x:c r="O254"/>
      <x:c r="P254"/>
      <x:c r="Q254" t="str">
        <x:f>IFERROR(O254/P254,"")</x:f>
      </x:c>
      <x:c r="R254"/>
      <x:c r="S254"/>
      <x:c r="T254"/>
      <x:c r="U254"/>
      <x:c r="V254" t="str">
        <x:f>IFERROR((T254-U254)/U254,"")</x:f>
      </x:c>
      <x:c r="W254"/>
      <x:c r="X254"/>
      <x:c r="Y254"/>
      <x:c r="Z254"/>
      <x:c r="AA254" t="str"/>
      <x:c r="AB254" t="str"/>
      <x:c r="AC254" t="str">
        <x:v>2026-06-15</x:v>
      </x:c>
    </x:row>
    <x:row r="255">
      <x:c r="A255" t="n">
        <x:v>254</x:v>
      </x:c>
      <x:c r="B255" t="str">
        <x:v>Signature Global</x:v>
      </x:c>
      <x:c r="C255" t="str">
        <x:v>Not Started</x:v>
      </x:c>
      <x:c r="D255" s="12"/>
      <x:c r="E255" s="12"/>
      <x:c r="F255" s="12"/>
      <x:c r="G255" s="12"/>
      <x:c r="H255" s="12"/>
      <x:c r="I255" s="12"/>
      <x:c r="J255" s="14" t="str">
        <x:f>IFERROR(H255/I255,"")</x:f>
      </x:c>
      <x:c r="K255"/>
      <x:c r="L255"/>
      <x:c r="M255"/>
      <x:c r="N255"/>
      <x:c r="O255"/>
      <x:c r="P255"/>
      <x:c r="Q255" t="str">
        <x:f>IFERROR(O255/P255,"")</x:f>
      </x:c>
      <x:c r="R255"/>
      <x:c r="S255"/>
      <x:c r="T255"/>
      <x:c r="U255"/>
      <x:c r="V255" t="str">
        <x:f>IFERROR((T255-U255)/U255,"")</x:f>
      </x:c>
      <x:c r="W255"/>
      <x:c r="X255"/>
      <x:c r="Y255"/>
      <x:c r="Z255"/>
      <x:c r="AA255" t="str"/>
      <x:c r="AB255" t="str"/>
      <x:c r="AC255" t="str">
        <x:v>2026-06-15</x:v>
      </x:c>
    </x:row>
    <x:row r="256">
      <x:c r="A256" t="n">
        <x:v>255</x:v>
      </x:c>
      <x:c r="B256" t="str">
        <x:v>Smartworks Coworking Spaces Ltd</x:v>
      </x:c>
      <x:c r="C256" t="str">
        <x:v>Not Started</x:v>
      </x:c>
      <x:c r="D256" s="12"/>
      <x:c r="E256" s="12"/>
      <x:c r="F256" s="12"/>
      <x:c r="G256" s="12"/>
      <x:c r="H256" s="12"/>
      <x:c r="I256" s="12"/>
      <x:c r="J256" s="14" t="str">
        <x:f>IFERROR(H256/I256,"")</x:f>
      </x:c>
      <x:c r="K256"/>
      <x:c r="L256"/>
      <x:c r="M256"/>
      <x:c r="N256"/>
      <x:c r="O256"/>
      <x:c r="P256"/>
      <x:c r="Q256" t="str">
        <x:f>IFERROR(O256/P256,"")</x:f>
      </x:c>
      <x:c r="R256"/>
      <x:c r="S256"/>
      <x:c r="T256"/>
      <x:c r="U256"/>
      <x:c r="V256" t="str">
        <x:f>IFERROR((T256-U256)/U256,"")</x:f>
      </x:c>
      <x:c r="W256"/>
      <x:c r="X256"/>
      <x:c r="Y256"/>
      <x:c r="Z256"/>
      <x:c r="AA256" t="str"/>
      <x:c r="AB256" t="str"/>
      <x:c r="AC256" t="str">
        <x:v>2026-06-15</x:v>
      </x:c>
    </x:row>
    <x:row r="257">
      <x:c r="A257" t="n">
        <x:v>256</x:v>
      </x:c>
      <x:c r="B257" t="str">
        <x:v>Solarworld Energy Solutions Ltd</x:v>
      </x:c>
      <x:c r="C257" t="str">
        <x:v>Not Started</x:v>
      </x:c>
      <x:c r="D257" s="12"/>
      <x:c r="E257" s="12"/>
      <x:c r="F257" s="12"/>
      <x:c r="G257" s="12"/>
      <x:c r="H257" s="12"/>
      <x:c r="I257" s="12"/>
      <x:c r="J257" s="14" t="str">
        <x:f>IFERROR(H257/I257,"")</x:f>
      </x:c>
      <x:c r="K257"/>
      <x:c r="L257"/>
      <x:c r="M257"/>
      <x:c r="N257"/>
      <x:c r="O257"/>
      <x:c r="P257"/>
      <x:c r="Q257" t="str">
        <x:f>IFERROR(O257/P257,"")</x:f>
      </x:c>
      <x:c r="R257"/>
      <x:c r="S257"/>
      <x:c r="T257"/>
      <x:c r="U257"/>
      <x:c r="V257" t="str">
        <x:f>IFERROR((T257-U257)/U257,"")</x:f>
      </x:c>
      <x:c r="W257"/>
      <x:c r="X257"/>
      <x:c r="Y257"/>
      <x:c r="Z257"/>
      <x:c r="AA257" t="str"/>
      <x:c r="AB257" t="str"/>
      <x:c r="AC257" t="str">
        <x:v>2026-06-15</x:v>
      </x:c>
    </x:row>
    <x:row r="258">
      <x:c r="A258" t="n">
        <x:v>257</x:v>
      </x:c>
      <x:c r="B258" t="str">
        <x:v>Sona BLW</x:v>
      </x:c>
      <x:c r="C258" t="str">
        <x:v>Not Started</x:v>
      </x:c>
      <x:c r="D258" s="12"/>
      <x:c r="E258" s="12"/>
      <x:c r="F258" s="12"/>
      <x:c r="G258" s="12"/>
      <x:c r="H258" s="12"/>
      <x:c r="I258" s="12"/>
      <x:c r="J258" s="14" t="str">
        <x:f>IFERROR(H258/I258,"")</x:f>
      </x:c>
      <x:c r="K258"/>
      <x:c r="L258"/>
      <x:c r="M258"/>
      <x:c r="N258"/>
      <x:c r="O258"/>
      <x:c r="P258"/>
      <x:c r="Q258" t="str">
        <x:f>IFERROR(O258/P258,"")</x:f>
      </x:c>
      <x:c r="R258"/>
      <x:c r="S258"/>
      <x:c r="T258"/>
      <x:c r="U258"/>
      <x:c r="V258" t="str">
        <x:f>IFERROR((T258-U258)/U258,"")</x:f>
      </x:c>
      <x:c r="W258"/>
      <x:c r="X258"/>
      <x:c r="Y258"/>
      <x:c r="Z258"/>
      <x:c r="AA258" t="str"/>
      <x:c r="AB258" t="str"/>
      <x:c r="AC258" t="str">
        <x:v>2026-06-15</x:v>
      </x:c>
    </x:row>
    <x:row r="259">
      <x:c r="A259" t="n">
        <x:v>258</x:v>
      </x:c>
      <x:c r="B259" t="str">
        <x:v>Sri Lotus Developers &amp; Realty Ltd</x:v>
      </x:c>
      <x:c r="C259" t="str">
        <x:v>Not Started</x:v>
      </x:c>
      <x:c r="D259" s="12"/>
      <x:c r="E259" s="12"/>
      <x:c r="F259" s="12"/>
      <x:c r="G259" s="12"/>
      <x:c r="H259" s="12"/>
      <x:c r="I259" s="12"/>
      <x:c r="J259" s="14" t="str">
        <x:f>IFERROR(H259/I259,"")</x:f>
      </x:c>
      <x:c r="K259"/>
      <x:c r="L259"/>
      <x:c r="M259"/>
      <x:c r="N259"/>
      <x:c r="O259"/>
      <x:c r="P259"/>
      <x:c r="Q259" t="str">
        <x:f>IFERROR(O259/P259,"")</x:f>
      </x:c>
      <x:c r="R259"/>
      <x:c r="S259"/>
      <x:c r="T259"/>
      <x:c r="U259"/>
      <x:c r="V259" t="str">
        <x:f>IFERROR((T259-U259)/U259,"")</x:f>
      </x:c>
      <x:c r="W259"/>
      <x:c r="X259"/>
      <x:c r="Y259"/>
      <x:c r="Z259"/>
      <x:c r="AA259" t="str"/>
      <x:c r="AB259" t="str"/>
      <x:c r="AC259" t="str">
        <x:v>2026-06-15</x:v>
      </x:c>
    </x:row>
    <x:row r="260">
      <x:c r="A260" t="n">
        <x:v>259</x:v>
      </x:c>
      <x:c r="B260" t="str">
        <x:v>Star Health</x:v>
      </x:c>
      <x:c r="C260" t="str">
        <x:v>Not Started</x:v>
      </x:c>
      <x:c r="D260" s="12"/>
      <x:c r="E260" s="12"/>
      <x:c r="F260" s="12"/>
      <x:c r="G260" s="12"/>
      <x:c r="H260" s="12"/>
      <x:c r="I260" s="12"/>
      <x:c r="J260" s="14" t="str">
        <x:f>IFERROR(H260/I260,"")</x:f>
      </x:c>
      <x:c r="K260"/>
      <x:c r="L260"/>
      <x:c r="M260"/>
      <x:c r="N260"/>
      <x:c r="O260"/>
      <x:c r="P260"/>
      <x:c r="Q260" t="str">
        <x:f>IFERROR(O260/P260,"")</x:f>
      </x:c>
      <x:c r="R260"/>
      <x:c r="S260"/>
      <x:c r="T260"/>
      <x:c r="U260"/>
      <x:c r="V260" t="str">
        <x:f>IFERROR((T260-U260)/U260,"")</x:f>
      </x:c>
      <x:c r="W260"/>
      <x:c r="X260"/>
      <x:c r="Y260"/>
      <x:c r="Z260"/>
      <x:c r="AA260" t="str"/>
      <x:c r="AB260" t="str"/>
      <x:c r="AC260" t="str">
        <x:v>2026-06-15</x:v>
      </x:c>
    </x:row>
    <x:row r="261">
      <x:c r="A261" t="n">
        <x:v>260</x:v>
      </x:c>
      <x:c r="B261" t="str">
        <x:v>Stove Kraft</x:v>
      </x:c>
      <x:c r="C261" t="str">
        <x:v>Not Started</x:v>
      </x:c>
      <x:c r="D261" s="12"/>
      <x:c r="E261" s="12"/>
      <x:c r="F261" s="12"/>
      <x:c r="G261" s="12"/>
      <x:c r="H261" s="12"/>
      <x:c r="I261" s="12"/>
      <x:c r="J261" s="14" t="str">
        <x:f>IFERROR(H261/I261,"")</x:f>
      </x:c>
      <x:c r="K261"/>
      <x:c r="L261"/>
      <x:c r="M261"/>
      <x:c r="N261"/>
      <x:c r="O261"/>
      <x:c r="P261"/>
      <x:c r="Q261" t="str">
        <x:f>IFERROR(O261/P261,"")</x:f>
      </x:c>
      <x:c r="R261"/>
      <x:c r="S261"/>
      <x:c r="T261"/>
      <x:c r="U261"/>
      <x:c r="V261" t="str">
        <x:f>IFERROR((T261-U261)/U261,"")</x:f>
      </x:c>
      <x:c r="W261"/>
      <x:c r="X261"/>
      <x:c r="Y261"/>
      <x:c r="Z261"/>
      <x:c r="AA261" t="str"/>
      <x:c r="AB261" t="str"/>
      <x:c r="AC261" t="str">
        <x:v>2026-06-15</x:v>
      </x:c>
    </x:row>
    <x:row r="262">
      <x:c r="A262" t="n">
        <x:v>261</x:v>
      </x:c>
      <x:c r="B262" t="str">
        <x:v>Studds Accessories Ltd</x:v>
      </x:c>
      <x:c r="C262" t="str">
        <x:v>Not Started</x:v>
      </x:c>
      <x:c r="D262" s="12"/>
      <x:c r="E262" s="12"/>
      <x:c r="F262" s="12"/>
      <x:c r="G262" s="12"/>
      <x:c r="H262" s="12"/>
      <x:c r="I262" s="12"/>
      <x:c r="J262" s="14" t="str">
        <x:f>IFERROR(H262/I262,"")</x:f>
      </x:c>
      <x:c r="K262"/>
      <x:c r="L262"/>
      <x:c r="M262"/>
      <x:c r="N262"/>
      <x:c r="O262"/>
      <x:c r="P262"/>
      <x:c r="Q262" t="str">
        <x:f>IFERROR(O262/P262,"")</x:f>
      </x:c>
      <x:c r="R262"/>
      <x:c r="S262"/>
      <x:c r="T262"/>
      <x:c r="U262"/>
      <x:c r="V262" t="str">
        <x:f>IFERROR((T262-U262)/U262,"")</x:f>
      </x:c>
      <x:c r="W262"/>
      <x:c r="X262"/>
      <x:c r="Y262"/>
      <x:c r="Z262"/>
      <x:c r="AA262" t="str"/>
      <x:c r="AB262" t="str"/>
      <x:c r="AC262" t="str">
        <x:v>2026-06-15</x:v>
      </x:c>
    </x:row>
    <x:row r="263">
      <x:c r="A263" t="n">
        <x:v>262</x:v>
      </x:c>
      <x:c r="B263" t="str">
        <x:v>Sudeep Pharma Ltd</x:v>
      </x:c>
      <x:c r="C263" t="str">
        <x:v>Not Started</x:v>
      </x:c>
      <x:c r="D263" s="12"/>
      <x:c r="E263" s="12"/>
      <x:c r="F263" s="12"/>
      <x:c r="G263" s="12"/>
      <x:c r="H263" s="12"/>
      <x:c r="I263" s="12"/>
      <x:c r="J263" s="14" t="str">
        <x:f>IFERROR(H263/I263,"")</x:f>
      </x:c>
      <x:c r="K263"/>
      <x:c r="L263"/>
      <x:c r="M263"/>
      <x:c r="N263"/>
      <x:c r="O263"/>
      <x:c r="P263"/>
      <x:c r="Q263" t="str">
        <x:f>IFERROR(O263/P263,"")</x:f>
      </x:c>
      <x:c r="R263"/>
      <x:c r="S263"/>
      <x:c r="T263"/>
      <x:c r="U263"/>
      <x:c r="V263" t="str">
        <x:f>IFERROR((T263-U263)/U263,"")</x:f>
      </x:c>
      <x:c r="W263"/>
      <x:c r="X263"/>
      <x:c r="Y263"/>
      <x:c r="Z263"/>
      <x:c r="AA263" t="str"/>
      <x:c r="AB263" t="str"/>
      <x:c r="AC263" t="str">
        <x:v>2026-06-15</x:v>
      </x:c>
    </x:row>
    <x:row r="264">
      <x:c r="A264" t="n">
        <x:v>263</x:v>
      </x:c>
      <x:c r="B264" t="str">
        <x:v>Sula Vineyards</x:v>
      </x:c>
      <x:c r="C264" t="str">
        <x:v>Not Started</x:v>
      </x:c>
      <x:c r="D264" s="12"/>
      <x:c r="E264" s="12"/>
      <x:c r="F264" s="12"/>
      <x:c r="G264" s="12"/>
      <x:c r="H264" s="12"/>
      <x:c r="I264" s="12"/>
      <x:c r="J264" s="14" t="str">
        <x:f>IFERROR(H264/I264,"")</x:f>
      </x:c>
      <x:c r="K264"/>
      <x:c r="L264"/>
      <x:c r="M264"/>
      <x:c r="N264"/>
      <x:c r="O264"/>
      <x:c r="P264"/>
      <x:c r="Q264" t="str">
        <x:f>IFERROR(O264/P264,"")</x:f>
      </x:c>
      <x:c r="R264"/>
      <x:c r="S264"/>
      <x:c r="T264"/>
      <x:c r="U264"/>
      <x:c r="V264" t="str">
        <x:f>IFERROR((T264-U264)/U264,"")</x:f>
      </x:c>
      <x:c r="W264"/>
      <x:c r="X264"/>
      <x:c r="Y264"/>
      <x:c r="Z264"/>
      <x:c r="AA264" t="str"/>
      <x:c r="AB264" t="str"/>
      <x:c r="AC264" t="str">
        <x:v>2026-06-15</x:v>
      </x:c>
    </x:row>
    <x:row r="265">
      <x:c r="A265" t="n">
        <x:v>264</x:v>
      </x:c>
      <x:c r="B265" t="str">
        <x:v>Supriya Lifescience</x:v>
      </x:c>
      <x:c r="C265" t="str">
        <x:v>Not Started</x:v>
      </x:c>
      <x:c r="D265" s="12"/>
      <x:c r="E265" s="12"/>
      <x:c r="F265" s="12"/>
      <x:c r="G265" s="12"/>
      <x:c r="H265" s="12"/>
      <x:c r="I265" s="12"/>
      <x:c r="J265" s="14" t="str">
        <x:f>IFERROR(H265/I265,"")</x:f>
      </x:c>
      <x:c r="K265"/>
      <x:c r="L265"/>
      <x:c r="M265"/>
      <x:c r="N265"/>
      <x:c r="O265"/>
      <x:c r="P265"/>
      <x:c r="Q265" t="str">
        <x:f>IFERROR(O265/P265,"")</x:f>
      </x:c>
      <x:c r="R265"/>
      <x:c r="S265"/>
      <x:c r="T265"/>
      <x:c r="U265"/>
      <x:c r="V265" t="str">
        <x:f>IFERROR((T265-U265)/U265,"")</x:f>
      </x:c>
      <x:c r="W265"/>
      <x:c r="X265"/>
      <x:c r="Y265"/>
      <x:c r="Z265"/>
      <x:c r="AA265" t="str"/>
      <x:c r="AB265" t="str"/>
      <x:c r="AC265" t="str">
        <x:v>2026-06-15</x:v>
      </x:c>
    </x:row>
    <x:row r="266">
      <x:c r="A266" t="n">
        <x:v>265</x:v>
      </x:c>
      <x:c r="B266" t="str">
        <x:v>Suraj Estate</x:v>
      </x:c>
      <x:c r="C266" t="str">
        <x:v>Not Started</x:v>
      </x:c>
      <x:c r="D266" s="12"/>
      <x:c r="E266" s="12"/>
      <x:c r="F266" s="12"/>
      <x:c r="G266" s="12"/>
      <x:c r="H266" s="12"/>
      <x:c r="I266" s="12"/>
      <x:c r="J266" s="14" t="str">
        <x:f>IFERROR(H266/I266,"")</x:f>
      </x:c>
      <x:c r="K266"/>
      <x:c r="L266"/>
      <x:c r="M266"/>
      <x:c r="N266"/>
      <x:c r="O266"/>
      <x:c r="P266"/>
      <x:c r="Q266" t="str">
        <x:f>IFERROR(O266/P266,"")</x:f>
      </x:c>
      <x:c r="R266"/>
      <x:c r="S266"/>
      <x:c r="T266"/>
      <x:c r="U266"/>
      <x:c r="V266" t="str">
        <x:f>IFERROR((T266-U266)/U266,"")</x:f>
      </x:c>
      <x:c r="W266"/>
      <x:c r="X266"/>
      <x:c r="Y266"/>
      <x:c r="Z266"/>
      <x:c r="AA266" t="str"/>
      <x:c r="AB266" t="str"/>
      <x:c r="AC266" t="str">
        <x:v>2026-06-15</x:v>
      </x:c>
    </x:row>
    <x:row r="267">
      <x:c r="A267" t="n">
        <x:v>266</x:v>
      </x:c>
      <x:c r="B267" t="str">
        <x:v>Suryoday Bank</x:v>
      </x:c>
      <x:c r="C267" t="str">
        <x:v>Not Started</x:v>
      </x:c>
      <x:c r="D267" s="12"/>
      <x:c r="E267" s="12"/>
      <x:c r="F267" s="12"/>
      <x:c r="G267" s="12"/>
      <x:c r="H267" s="12"/>
      <x:c r="I267" s="12"/>
      <x:c r="J267" s="14" t="str">
        <x:f>IFERROR(H267/I267,"")</x:f>
      </x:c>
      <x:c r="K267"/>
      <x:c r="L267"/>
      <x:c r="M267"/>
      <x:c r="N267"/>
      <x:c r="O267"/>
      <x:c r="P267"/>
      <x:c r="Q267" t="str">
        <x:f>IFERROR(O267/P267,"")</x:f>
      </x:c>
      <x:c r="R267"/>
      <x:c r="S267"/>
      <x:c r="T267"/>
      <x:c r="U267"/>
      <x:c r="V267" t="str">
        <x:f>IFERROR((T267-U267)/U267,"")</x:f>
      </x:c>
      <x:c r="W267"/>
      <x:c r="X267"/>
      <x:c r="Y267"/>
      <x:c r="Z267"/>
      <x:c r="AA267" t="str"/>
      <x:c r="AB267" t="str"/>
      <x:c r="AC267" t="str">
        <x:v>2026-06-15</x:v>
      </x:c>
    </x:row>
    <x:row r="268">
      <x:c r="A268" t="n">
        <x:v>267</x:v>
      </x:c>
      <x:c r="B268" t="str">
        <x:v>Syrma SGS</x:v>
      </x:c>
      <x:c r="C268" t="str">
        <x:v>Not Started</x:v>
      </x:c>
      <x:c r="D268" s="12"/>
      <x:c r="E268" s="12"/>
      <x:c r="F268" s="12"/>
      <x:c r="G268" s="12"/>
      <x:c r="H268" s="12"/>
      <x:c r="I268" s="12"/>
      <x:c r="J268" s="14" t="str">
        <x:f>IFERROR(H268/I268,"")</x:f>
      </x:c>
      <x:c r="K268"/>
      <x:c r="L268"/>
      <x:c r="M268"/>
      <x:c r="N268"/>
      <x:c r="O268"/>
      <x:c r="P268"/>
      <x:c r="Q268" t="str">
        <x:f>IFERROR(O268/P268,"")</x:f>
      </x:c>
      <x:c r="R268"/>
      <x:c r="S268"/>
      <x:c r="T268"/>
      <x:c r="U268"/>
      <x:c r="V268" t="str">
        <x:f>IFERROR((T268-U268)/U268,"")</x:f>
      </x:c>
      <x:c r="W268"/>
      <x:c r="X268"/>
      <x:c r="Y268"/>
      <x:c r="Z268"/>
      <x:c r="AA268" t="str"/>
      <x:c r="AB268" t="str"/>
      <x:c r="AC268" t="str">
        <x:v>2026-06-15</x:v>
      </x:c>
    </x:row>
    <x:row r="269">
      <x:c r="A269" t="n">
        <x:v>268</x:v>
      </x:c>
      <x:c r="B269" t="str">
        <x:v>TBO Tek</x:v>
      </x:c>
      <x:c r="C269" t="str">
        <x:v>Not Started</x:v>
      </x:c>
      <x:c r="D269" s="12"/>
      <x:c r="E269" s="12"/>
      <x:c r="F269" s="12"/>
      <x:c r="G269" s="12"/>
      <x:c r="H269" s="12"/>
      <x:c r="I269" s="12"/>
      <x:c r="J269" s="14" t="str">
        <x:f>IFERROR(H269/I269,"")</x:f>
      </x:c>
      <x:c r="K269"/>
      <x:c r="L269"/>
      <x:c r="M269"/>
      <x:c r="N269"/>
      <x:c r="O269"/>
      <x:c r="P269"/>
      <x:c r="Q269" t="str">
        <x:f>IFERROR(O269/P269,"")</x:f>
      </x:c>
      <x:c r="R269"/>
      <x:c r="S269"/>
      <x:c r="T269"/>
      <x:c r="U269"/>
      <x:c r="V269" t="str">
        <x:f>IFERROR((T269-U269)/U269,"")</x:f>
      </x:c>
      <x:c r="W269"/>
      <x:c r="X269"/>
      <x:c r="Y269"/>
      <x:c r="Z269"/>
      <x:c r="AA269" t="str"/>
      <x:c r="AB269" t="str"/>
      <x:c r="AC269" t="str">
        <x:v>2026-06-15</x:v>
      </x:c>
    </x:row>
    <x:row r="270">
      <x:c r="A270" t="n">
        <x:v>269</x:v>
      </x:c>
      <x:c r="B270" t="str">
        <x:v>TVS Supply Chain</x:v>
      </x:c>
      <x:c r="C270" t="str">
        <x:v>Not Started</x:v>
      </x:c>
      <x:c r="D270" s="12"/>
      <x:c r="E270" s="12"/>
      <x:c r="F270" s="12"/>
      <x:c r="G270" s="12"/>
      <x:c r="H270" s="12"/>
      <x:c r="I270" s="12"/>
      <x:c r="J270" s="14" t="str">
        <x:f>IFERROR(H270/I270,"")</x:f>
      </x:c>
      <x:c r="K270"/>
      <x:c r="L270"/>
      <x:c r="M270"/>
      <x:c r="N270"/>
      <x:c r="O270"/>
      <x:c r="P270"/>
      <x:c r="Q270" t="str">
        <x:f>IFERROR(O270/P270,"")</x:f>
      </x:c>
      <x:c r="R270"/>
      <x:c r="S270"/>
      <x:c r="T270"/>
      <x:c r="U270"/>
      <x:c r="V270" t="str">
        <x:f>IFERROR((T270-U270)/U270,"")</x:f>
      </x:c>
      <x:c r="W270"/>
      <x:c r="X270"/>
      <x:c r="Y270"/>
      <x:c r="Z270"/>
      <x:c r="AA270" t="str"/>
      <x:c r="AB270" t="str"/>
      <x:c r="AC270" t="str">
        <x:v>2026-06-15</x:v>
      </x:c>
    </x:row>
    <x:row r="271">
      <x:c r="A271" t="n">
        <x:v>270</x:v>
      </x:c>
      <x:c r="B271" t="str">
        <x:v>Tamilnad Mercantile Bank</x:v>
      </x:c>
      <x:c r="C271" t="str">
        <x:v>Not Started</x:v>
      </x:c>
      <x:c r="D271" s="12"/>
      <x:c r="E271" s="12"/>
      <x:c r="F271" s="12"/>
      <x:c r="G271" s="12"/>
      <x:c r="H271" s="12"/>
      <x:c r="I271" s="12"/>
      <x:c r="J271" s="14" t="str">
        <x:f>IFERROR(H271/I271,"")</x:f>
      </x:c>
      <x:c r="K271"/>
      <x:c r="L271"/>
      <x:c r="M271"/>
      <x:c r="N271"/>
      <x:c r="O271"/>
      <x:c r="P271"/>
      <x:c r="Q271" t="str">
        <x:f>IFERROR(O271/P271,"")</x:f>
      </x:c>
      <x:c r="R271"/>
      <x:c r="S271"/>
      <x:c r="T271"/>
      <x:c r="U271"/>
      <x:c r="V271" t="str">
        <x:f>IFERROR((T271-U271)/U271,"")</x:f>
      </x:c>
      <x:c r="W271"/>
      <x:c r="X271"/>
      <x:c r="Y271"/>
      <x:c r="Z271"/>
      <x:c r="AA271" t="str"/>
      <x:c r="AB271" t="str"/>
      <x:c r="AC271" t="str">
        <x:v>2026-06-15</x:v>
      </x:c>
    </x:row>
    <x:row r="272">
      <x:c r="A272" t="n">
        <x:v>271</x:v>
      </x:c>
      <x:c r="B272" t="str">
        <x:v>Tarsons Products</x:v>
      </x:c>
      <x:c r="C272" t="str">
        <x:v>Not Started</x:v>
      </x:c>
      <x:c r="D272" s="12"/>
      <x:c r="E272" s="12"/>
      <x:c r="F272" s="12"/>
      <x:c r="G272" s="12"/>
      <x:c r="H272" s="12"/>
      <x:c r="I272" s="12"/>
      <x:c r="J272" s="14" t="str">
        <x:f>IFERROR(H272/I272,"")</x:f>
      </x:c>
      <x:c r="K272"/>
      <x:c r="L272"/>
      <x:c r="M272"/>
      <x:c r="N272"/>
      <x:c r="O272"/>
      <x:c r="P272"/>
      <x:c r="Q272" t="str">
        <x:f>IFERROR(O272/P272,"")</x:f>
      </x:c>
      <x:c r="R272"/>
      <x:c r="S272"/>
      <x:c r="T272"/>
      <x:c r="U272"/>
      <x:c r="V272" t="str">
        <x:f>IFERROR((T272-U272)/U272,"")</x:f>
      </x:c>
      <x:c r="W272"/>
      <x:c r="X272"/>
      <x:c r="Y272"/>
      <x:c r="Z272"/>
      <x:c r="AA272" t="str"/>
      <x:c r="AB272" t="str"/>
      <x:c r="AC272" t="str">
        <x:v>2026-06-15</x:v>
      </x:c>
    </x:row>
    <x:row r="273">
      <x:c r="A273" t="n">
        <x:v>272</x:v>
      </x:c>
      <x:c r="B273" t="str">
        <x:v>Tata Technologies</x:v>
      </x:c>
      <x:c r="C273" t="str">
        <x:v>Not Started</x:v>
      </x:c>
      <x:c r="D273" s="12"/>
      <x:c r="E273" s="12"/>
      <x:c r="F273" s="12"/>
      <x:c r="G273" s="12"/>
      <x:c r="H273" s="12"/>
      <x:c r="I273" s="12"/>
      <x:c r="J273" s="14" t="str">
        <x:f>IFERROR(H273/I273,"")</x:f>
      </x:c>
      <x:c r="K273"/>
      <x:c r="L273"/>
      <x:c r="M273"/>
      <x:c r="N273"/>
      <x:c r="O273"/>
      <x:c r="P273"/>
      <x:c r="Q273" t="str">
        <x:f>IFERROR(O273/P273,"")</x:f>
      </x:c>
      <x:c r="R273"/>
      <x:c r="S273"/>
      <x:c r="T273"/>
      <x:c r="U273"/>
      <x:c r="V273" t="str">
        <x:f>IFERROR((T273-U273)/U273,"")</x:f>
      </x:c>
      <x:c r="W273"/>
      <x:c r="X273"/>
      <x:c r="Y273"/>
      <x:c r="Z273"/>
      <x:c r="AA273" t="str"/>
      <x:c r="AB273" t="str"/>
      <x:c r="AC273" t="str">
        <x:v>2026-06-15</x:v>
      </x:c>
    </x:row>
    <x:row r="274">
      <x:c r="A274" t="n">
        <x:v>273</x:v>
      </x:c>
      <x:c r="B274" t="str">
        <x:v>Tracxn</x:v>
      </x:c>
      <x:c r="C274" t="str">
        <x:v>Not Started</x:v>
      </x:c>
      <x:c r="D274" s="12"/>
      <x:c r="E274" s="12"/>
      <x:c r="F274" s="12"/>
      <x:c r="G274" s="12"/>
      <x:c r="H274" s="12"/>
      <x:c r="I274" s="12"/>
      <x:c r="J274" s="14" t="str">
        <x:f>IFERROR(H274/I274,"")</x:f>
      </x:c>
      <x:c r="K274"/>
      <x:c r="L274"/>
      <x:c r="M274"/>
      <x:c r="N274"/>
      <x:c r="O274"/>
      <x:c r="P274"/>
      <x:c r="Q274" t="str">
        <x:f>IFERROR(O274/P274,"")</x:f>
      </x:c>
      <x:c r="R274"/>
      <x:c r="S274"/>
      <x:c r="T274"/>
      <x:c r="U274"/>
      <x:c r="V274" t="str">
        <x:f>IFERROR((T274-U274)/U274,"")</x:f>
      </x:c>
      <x:c r="W274"/>
      <x:c r="X274"/>
      <x:c r="Y274"/>
      <x:c r="Z274"/>
      <x:c r="AA274" t="str"/>
      <x:c r="AB274" t="str"/>
      <x:c r="AC274" t="str">
        <x:v>2026-06-15</x:v>
      </x:c>
    </x:row>
    <x:row r="275">
      <x:c r="A275" t="n">
        <x:v>274</x:v>
      </x:c>
      <x:c r="B275" t="str">
        <x:v>Travel Food Services Limited</x:v>
      </x:c>
      <x:c r="C275" t="str">
        <x:v>Not Started</x:v>
      </x:c>
      <x:c r="D275" s="12"/>
      <x:c r="E275" s="12"/>
      <x:c r="F275" s="12"/>
      <x:c r="G275" s="12"/>
      <x:c r="H275" s="12"/>
      <x:c r="I275" s="12"/>
      <x:c r="J275" s="14" t="str">
        <x:f>IFERROR(H275/I275,"")</x:f>
      </x:c>
      <x:c r="K275"/>
      <x:c r="L275"/>
      <x:c r="M275"/>
      <x:c r="N275"/>
      <x:c r="O275"/>
      <x:c r="P275"/>
      <x:c r="Q275" t="str">
        <x:f>IFERROR(O275/P275,"")</x:f>
      </x:c>
      <x:c r="R275"/>
      <x:c r="S275"/>
      <x:c r="T275"/>
      <x:c r="U275"/>
      <x:c r="V275" t="str">
        <x:f>IFERROR((T275-U275)/U275,"")</x:f>
      </x:c>
      <x:c r="W275"/>
      <x:c r="X275"/>
      <x:c r="Y275"/>
      <x:c r="Z275"/>
      <x:c r="AA275" t="str"/>
      <x:c r="AB275" t="str"/>
      <x:c r="AC275" t="str">
        <x:v>2026-06-15</x:v>
      </x:c>
    </x:row>
    <x:row r="276">
      <x:c r="A276" t="n">
        <x:v>275</x:v>
      </x:c>
      <x:c r="B276" t="str">
        <x:v>Trualt Bioenergy Ltd</x:v>
      </x:c>
      <x:c r="C276" t="str">
        <x:v>Not Started</x:v>
      </x:c>
      <x:c r="D276" s="12"/>
      <x:c r="E276" s="12"/>
      <x:c r="F276" s="12"/>
      <x:c r="G276" s="12"/>
      <x:c r="H276" s="12"/>
      <x:c r="I276" s="12"/>
      <x:c r="J276" s="14" t="str">
        <x:f>IFERROR(H276/I276,"")</x:f>
      </x:c>
      <x:c r="K276"/>
      <x:c r="L276"/>
      <x:c r="M276"/>
      <x:c r="N276"/>
      <x:c r="O276"/>
      <x:c r="P276"/>
      <x:c r="Q276" t="str">
        <x:f>IFERROR(O276/P276,"")</x:f>
      </x:c>
      <x:c r="R276"/>
      <x:c r="S276"/>
      <x:c r="T276"/>
      <x:c r="U276"/>
      <x:c r="V276" t="str">
        <x:f>IFERROR((T276-U276)/U276,"")</x:f>
      </x:c>
      <x:c r="W276"/>
      <x:c r="X276"/>
      <x:c r="Y276"/>
      <x:c r="Z276"/>
      <x:c r="AA276" t="str"/>
      <x:c r="AB276" t="str"/>
      <x:c r="AC276" t="str">
        <x:v>2026-06-15</x:v>
      </x:c>
    </x:row>
    <x:row r="277">
      <x:c r="A277" t="n">
        <x:v>276</x:v>
      </x:c>
      <x:c r="B277" t="str">
        <x:v>Udayshivakumar Infra</x:v>
      </x:c>
      <x:c r="C277" t="str">
        <x:v>Not Started</x:v>
      </x:c>
      <x:c r="D277" s="12"/>
      <x:c r="E277" s="12"/>
      <x:c r="F277" s="12"/>
      <x:c r="G277" s="12"/>
      <x:c r="H277" s="12"/>
      <x:c r="I277" s="12"/>
      <x:c r="J277" s="14" t="str">
        <x:f>IFERROR(H277/I277,"")</x:f>
      </x:c>
      <x:c r="K277"/>
      <x:c r="L277"/>
      <x:c r="M277"/>
      <x:c r="N277"/>
      <x:c r="O277"/>
      <x:c r="P277"/>
      <x:c r="Q277" t="str">
        <x:f>IFERROR(O277/P277,"")</x:f>
      </x:c>
      <x:c r="R277"/>
      <x:c r="S277"/>
      <x:c r="T277"/>
      <x:c r="U277"/>
      <x:c r="V277" t="str">
        <x:f>IFERROR((T277-U277)/U277,"")</x:f>
      </x:c>
      <x:c r="W277"/>
      <x:c r="X277"/>
      <x:c r="Y277"/>
      <x:c r="Z277"/>
      <x:c r="AA277" t="str"/>
      <x:c r="AB277" t="str"/>
      <x:c r="AC277" t="str">
        <x:v>2026-06-15</x:v>
      </x:c>
    </x:row>
    <x:row r="278">
      <x:c r="A278" t="n">
        <x:v>277</x:v>
      </x:c>
      <x:c r="B278" t="str">
        <x:v>Uma Exports</x:v>
      </x:c>
      <x:c r="C278" t="str">
        <x:v>Not Started</x:v>
      </x:c>
      <x:c r="D278" s="12"/>
      <x:c r="E278" s="12"/>
      <x:c r="F278" s="12"/>
      <x:c r="G278" s="12"/>
      <x:c r="H278" s="12"/>
      <x:c r="I278" s="12"/>
      <x:c r="J278" s="14" t="str">
        <x:f>IFERROR(H278/I278,"")</x:f>
      </x:c>
      <x:c r="K278"/>
      <x:c r="L278"/>
      <x:c r="M278"/>
      <x:c r="N278"/>
      <x:c r="O278"/>
      <x:c r="P278"/>
      <x:c r="Q278" t="str">
        <x:f>IFERROR(O278/P278,"")</x:f>
      </x:c>
      <x:c r="R278"/>
      <x:c r="S278"/>
      <x:c r="T278"/>
      <x:c r="U278"/>
      <x:c r="V278" t="str">
        <x:f>IFERROR((T278-U278)/U278,"")</x:f>
      </x:c>
      <x:c r="W278"/>
      <x:c r="X278"/>
      <x:c r="Y278"/>
      <x:c r="Z278"/>
      <x:c r="AA278" t="str"/>
      <x:c r="AB278" t="str"/>
      <x:c r="AC278" t="str">
        <x:v>2026-06-15</x:v>
      </x:c>
    </x:row>
    <x:row r="279">
      <x:c r="A279" t="n">
        <x:v>278</x:v>
      </x:c>
      <x:c r="B279" t="str">
        <x:v>Unicommerce</x:v>
      </x:c>
      <x:c r="C279" t="str">
        <x:v>Not Started</x:v>
      </x:c>
      <x:c r="D279" s="12"/>
      <x:c r="E279" s="12"/>
      <x:c r="F279" s="12"/>
      <x:c r="G279" s="12"/>
      <x:c r="H279" s="12"/>
      <x:c r="I279" s="12"/>
      <x:c r="J279" s="14" t="str">
        <x:f>IFERROR(H279/I279,"")</x:f>
      </x:c>
      <x:c r="K279"/>
      <x:c r="L279"/>
      <x:c r="M279"/>
      <x:c r="N279"/>
      <x:c r="O279"/>
      <x:c r="P279"/>
      <x:c r="Q279" t="str">
        <x:f>IFERROR(O279/P279,"")</x:f>
      </x:c>
      <x:c r="R279"/>
      <x:c r="S279"/>
      <x:c r="T279"/>
      <x:c r="U279"/>
      <x:c r="V279" t="str">
        <x:f>IFERROR((T279-U279)/U279,"")</x:f>
      </x:c>
      <x:c r="W279"/>
      <x:c r="X279"/>
      <x:c r="Y279"/>
      <x:c r="Z279"/>
      <x:c r="AA279" t="str"/>
      <x:c r="AB279" t="str"/>
      <x:c r="AC279" t="str">
        <x:v>2026-06-15</x:v>
      </x:c>
    </x:row>
    <x:row r="280">
      <x:c r="A280" t="n">
        <x:v>279</x:v>
      </x:c>
      <x:c r="B280" t="str">
        <x:v>Unimech Aero</x:v>
      </x:c>
      <x:c r="C280" t="str">
        <x:v>Not Started</x:v>
      </x:c>
      <x:c r="D280" s="12"/>
      <x:c r="E280" s="12"/>
      <x:c r="F280" s="12"/>
      <x:c r="G280" s="12"/>
      <x:c r="H280" s="12"/>
      <x:c r="I280" s="12"/>
      <x:c r="J280" s="14" t="str">
        <x:f>IFERROR(H280/I280,"")</x:f>
      </x:c>
      <x:c r="K280"/>
      <x:c r="L280"/>
      <x:c r="M280"/>
      <x:c r="N280"/>
      <x:c r="O280"/>
      <x:c r="P280"/>
      <x:c r="Q280" t="str">
        <x:f>IFERROR(O280/P280,"")</x:f>
      </x:c>
      <x:c r="R280"/>
      <x:c r="S280"/>
      <x:c r="T280"/>
      <x:c r="U280"/>
      <x:c r="V280" t="str">
        <x:f>IFERROR((T280-U280)/U280,"")</x:f>
      </x:c>
      <x:c r="W280"/>
      <x:c r="X280"/>
      <x:c r="Y280"/>
      <x:c r="Z280"/>
      <x:c r="AA280" t="str"/>
      <x:c r="AB280" t="str"/>
      <x:c r="AC280" t="str">
        <x:v>2026-06-15</x:v>
      </x:c>
    </x:row>
    <x:row r="281">
      <x:c r="A281" t="n">
        <x:v>280</x:v>
      </x:c>
      <x:c r="B281" t="str">
        <x:v>Uniparts</x:v>
      </x:c>
      <x:c r="C281" t="str">
        <x:v>Not Started</x:v>
      </x:c>
      <x:c r="D281" s="12"/>
      <x:c r="E281" s="12"/>
      <x:c r="F281" s="12"/>
      <x:c r="G281" s="12"/>
      <x:c r="H281" s="12"/>
      <x:c r="I281" s="12"/>
      <x:c r="J281" s="14" t="str">
        <x:f>IFERROR(H281/I281,"")</x:f>
      </x:c>
      <x:c r="K281"/>
      <x:c r="L281"/>
      <x:c r="M281"/>
      <x:c r="N281"/>
      <x:c r="O281"/>
      <x:c r="P281"/>
      <x:c r="Q281" t="str">
        <x:f>IFERROR(O281/P281,"")</x:f>
      </x:c>
      <x:c r="R281"/>
      <x:c r="S281"/>
      <x:c r="T281"/>
      <x:c r="U281"/>
      <x:c r="V281" t="str">
        <x:f>IFERROR((T281-U281)/U281,"")</x:f>
      </x:c>
      <x:c r="W281"/>
      <x:c r="X281"/>
      <x:c r="Y281"/>
      <x:c r="Z281"/>
      <x:c r="AA281" t="str"/>
      <x:c r="AB281" t="str"/>
      <x:c r="AC281" t="str">
        <x:v>2026-06-15</x:v>
      </x:c>
    </x:row>
    <x:row r="282">
      <x:c r="A282" t="n">
        <x:v>281</x:v>
      </x:c>
      <x:c r="B282" t="str">
        <x:v>Updater Services</x:v>
      </x:c>
      <x:c r="C282" t="str">
        <x:v>Not Started</x:v>
      </x:c>
      <x:c r="D282" s="12"/>
      <x:c r="E282" s="12"/>
      <x:c r="F282" s="12"/>
      <x:c r="G282" s="12"/>
      <x:c r="H282" s="12"/>
      <x:c r="I282" s="12"/>
      <x:c r="J282" s="14" t="str">
        <x:f>IFERROR(H282/I282,"")</x:f>
      </x:c>
      <x:c r="K282"/>
      <x:c r="L282"/>
      <x:c r="M282"/>
      <x:c r="N282"/>
      <x:c r="O282"/>
      <x:c r="P282"/>
      <x:c r="Q282" t="str">
        <x:f>IFERROR(O282/P282,"")</x:f>
      </x:c>
      <x:c r="R282"/>
      <x:c r="S282"/>
      <x:c r="T282"/>
      <x:c r="U282"/>
      <x:c r="V282" t="str">
        <x:f>IFERROR((T282-U282)/U282,"")</x:f>
      </x:c>
      <x:c r="W282"/>
      <x:c r="X282"/>
      <x:c r="Y282"/>
      <x:c r="Z282"/>
      <x:c r="AA282" t="str"/>
      <x:c r="AB282" t="str"/>
      <x:c r="AC282" t="str">
        <x:v>2026-06-15</x:v>
      </x:c>
    </x:row>
    <x:row r="283">
      <x:c r="A283" t="n">
        <x:v>282</x:v>
      </x:c>
      <x:c r="B283" t="str">
        <x:v>Urban Co Ltd</x:v>
      </x:c>
      <x:c r="C283" t="str">
        <x:v>Not Started</x:v>
      </x:c>
      <x:c r="D283" s="12"/>
      <x:c r="E283" s="12"/>
      <x:c r="F283" s="12"/>
      <x:c r="G283" s="12"/>
      <x:c r="H283" s="12"/>
      <x:c r="I283" s="12"/>
      <x:c r="J283" s="14" t="str">
        <x:f>IFERROR(H283/I283,"")</x:f>
      </x:c>
      <x:c r="K283"/>
      <x:c r="L283"/>
      <x:c r="M283"/>
      <x:c r="N283"/>
      <x:c r="O283"/>
      <x:c r="P283"/>
      <x:c r="Q283" t="str">
        <x:f>IFERROR(O283/P283,"")</x:f>
      </x:c>
      <x:c r="R283"/>
      <x:c r="S283"/>
      <x:c r="T283"/>
      <x:c r="U283"/>
      <x:c r="V283" t="str">
        <x:f>IFERROR((T283-U283)/U283,"")</x:f>
      </x:c>
      <x:c r="W283"/>
      <x:c r="X283"/>
      <x:c r="Y283"/>
      <x:c r="Z283"/>
      <x:c r="AA283" t="str"/>
      <x:c r="AB283" t="str"/>
      <x:c r="AC283" t="str">
        <x:v>2026-06-15</x:v>
      </x:c>
    </x:row>
    <x:row r="284">
      <x:c r="A284" t="n">
        <x:v>283</x:v>
      </x:c>
      <x:c r="B284" t="str">
        <x:v>Utkarsh Small Finance Bank</x:v>
      </x:c>
      <x:c r="C284" t="str">
        <x:v>Not Started</x:v>
      </x:c>
      <x:c r="D284" s="12"/>
      <x:c r="E284" s="12"/>
      <x:c r="F284" s="12"/>
      <x:c r="G284" s="12"/>
      <x:c r="H284" s="12"/>
      <x:c r="I284" s="12"/>
      <x:c r="J284" s="14" t="str">
        <x:f>IFERROR(H284/I284,"")</x:f>
      </x:c>
      <x:c r="K284"/>
      <x:c r="L284"/>
      <x:c r="M284"/>
      <x:c r="N284"/>
      <x:c r="O284"/>
      <x:c r="P284"/>
      <x:c r="Q284" t="str">
        <x:f>IFERROR(O284/P284,"")</x:f>
      </x:c>
      <x:c r="R284"/>
      <x:c r="S284"/>
      <x:c r="T284"/>
      <x:c r="U284"/>
      <x:c r="V284" t="str">
        <x:f>IFERROR((T284-U284)/U284,"")</x:f>
      </x:c>
      <x:c r="W284"/>
      <x:c r="X284"/>
      <x:c r="Y284"/>
      <x:c r="Z284"/>
      <x:c r="AA284" t="str"/>
      <x:c r="AB284" t="str"/>
      <x:c r="AC284" t="str">
        <x:v>2026-06-15</x:v>
      </x:c>
    </x:row>
    <x:row r="285">
      <x:c r="A285" t="n">
        <x:v>284</x:v>
      </x:c>
      <x:c r="B285" t="str">
        <x:v>UTI AMC</x:v>
      </x:c>
      <x:c r="C285" t="str">
        <x:v>Not Started</x:v>
      </x:c>
      <x:c r="D285" s="12"/>
      <x:c r="E285" s="12"/>
      <x:c r="F285" s="12"/>
      <x:c r="G285" s="12"/>
      <x:c r="H285" s="12"/>
      <x:c r="I285" s="12"/>
      <x:c r="J285" s="14" t="str">
        <x:f>IFERROR(H285/I285,"")</x:f>
      </x:c>
      <x:c r="K285"/>
      <x:c r="L285"/>
      <x:c r="M285"/>
      <x:c r="N285"/>
      <x:c r="O285"/>
      <x:c r="P285"/>
      <x:c r="Q285" t="str">
        <x:f>IFERROR(O285/P285,"")</x:f>
      </x:c>
      <x:c r="R285"/>
      <x:c r="S285"/>
      <x:c r="T285"/>
      <x:c r="U285"/>
      <x:c r="V285" t="str">
        <x:f>IFERROR((T285-U285)/U285,"")</x:f>
      </x:c>
      <x:c r="W285"/>
      <x:c r="X285"/>
      <x:c r="Y285"/>
      <x:c r="Z285"/>
      <x:c r="AA285" t="str"/>
      <x:c r="AB285" t="str"/>
      <x:c r="AC285" t="str">
        <x:v>2026-06-15</x:v>
      </x:c>
    </x:row>
    <x:row r="286">
      <x:c r="A286" t="n">
        <x:v>285</x:v>
      </x:c>
      <x:c r="B286" t="str">
        <x:v>VMS TMT Ltd</x:v>
      </x:c>
      <x:c r="C286" t="str">
        <x:v>Not Started</x:v>
      </x:c>
      <x:c r="D286" s="12"/>
      <x:c r="E286" s="12"/>
      <x:c r="F286" s="12"/>
      <x:c r="G286" s="12"/>
      <x:c r="H286" s="12"/>
      <x:c r="I286" s="12"/>
      <x:c r="J286" s="14" t="str">
        <x:f>IFERROR(H286/I286,"")</x:f>
      </x:c>
      <x:c r="K286"/>
      <x:c r="L286"/>
      <x:c r="M286"/>
      <x:c r="N286"/>
      <x:c r="O286"/>
      <x:c r="P286"/>
      <x:c r="Q286" t="str">
        <x:f>IFERROR(O286/P286,"")</x:f>
      </x:c>
      <x:c r="R286"/>
      <x:c r="S286"/>
      <x:c r="T286"/>
      <x:c r="U286"/>
      <x:c r="V286" t="str">
        <x:f>IFERROR((T286-U286)/U286,"")</x:f>
      </x:c>
      <x:c r="W286"/>
      <x:c r="X286"/>
      <x:c r="Y286"/>
      <x:c r="Z286"/>
      <x:c r="AA286" t="str"/>
      <x:c r="AB286" t="str"/>
      <x:c r="AC286" t="str">
        <x:v>2026-06-15</x:v>
      </x:c>
    </x:row>
    <x:row r="287">
      <x:c r="A287" t="n">
        <x:v>286</x:v>
      </x:c>
      <x:c r="B287" t="str">
        <x:v>Valiant Laboratories</x:v>
      </x:c>
      <x:c r="C287" t="str">
        <x:v>Not Started</x:v>
      </x:c>
      <x:c r="D287" s="12"/>
      <x:c r="E287" s="12"/>
      <x:c r="F287" s="12"/>
      <x:c r="G287" s="12"/>
      <x:c r="H287" s="12"/>
      <x:c r="I287" s="12"/>
      <x:c r="J287" s="14" t="str">
        <x:f>IFERROR(H287/I287,"")</x:f>
      </x:c>
      <x:c r="K287"/>
      <x:c r="L287"/>
      <x:c r="M287"/>
      <x:c r="N287"/>
      <x:c r="O287"/>
      <x:c r="P287"/>
      <x:c r="Q287" t="str">
        <x:f>IFERROR(O287/P287,"")</x:f>
      </x:c>
      <x:c r="R287"/>
      <x:c r="S287"/>
      <x:c r="T287"/>
      <x:c r="U287"/>
      <x:c r="V287" t="str">
        <x:f>IFERROR((T287-U287)/U287,"")</x:f>
      </x:c>
      <x:c r="W287"/>
      <x:c r="X287"/>
      <x:c r="Y287"/>
      <x:c r="Z287"/>
      <x:c r="AA287" t="str"/>
      <x:c r="AB287" t="str"/>
      <x:c r="AC287" t="str">
        <x:v>2026-06-15</x:v>
      </x:c>
    </x:row>
    <x:row r="288">
      <x:c r="A288" t="n">
        <x:v>287</x:v>
      </x:c>
      <x:c r="B288" t="str">
        <x:v>Vedant Fashions</x:v>
      </x:c>
      <x:c r="C288" t="str">
        <x:v>Not Started</x:v>
      </x:c>
      <x:c r="D288" s="12"/>
      <x:c r="E288" s="12"/>
      <x:c r="F288" s="12"/>
      <x:c r="G288" s="12"/>
      <x:c r="H288" s="12"/>
      <x:c r="I288" s="12"/>
      <x:c r="J288" s="14" t="str">
        <x:f>IFERROR(H288/I288,"")</x:f>
      </x:c>
      <x:c r="K288"/>
      <x:c r="L288"/>
      <x:c r="M288"/>
      <x:c r="N288"/>
      <x:c r="O288"/>
      <x:c r="P288"/>
      <x:c r="Q288" t="str">
        <x:f>IFERROR(O288/P288,"")</x:f>
      </x:c>
      <x:c r="R288"/>
      <x:c r="S288"/>
      <x:c r="T288"/>
      <x:c r="U288"/>
      <x:c r="V288" t="str">
        <x:f>IFERROR((T288-U288)/U288,"")</x:f>
      </x:c>
      <x:c r="W288"/>
      <x:c r="X288"/>
      <x:c r="Y288"/>
      <x:c r="Z288"/>
      <x:c r="AA288" t="str"/>
      <x:c r="AB288" t="str"/>
      <x:c r="AC288" t="str">
        <x:v>2026-06-15</x:v>
      </x:c>
    </x:row>
    <x:row r="289">
      <x:c r="A289" t="n">
        <x:v>288</x:v>
      </x:c>
      <x:c r="B289" t="str">
        <x:v>Ventive Hosp</x:v>
      </x:c>
      <x:c r="C289" t="str">
        <x:v>Not Started</x:v>
      </x:c>
      <x:c r="D289" s="12"/>
      <x:c r="E289" s="12"/>
      <x:c r="F289" s="12"/>
      <x:c r="G289" s="12"/>
      <x:c r="H289" s="12"/>
      <x:c r="I289" s="12"/>
      <x:c r="J289" s="14" t="str">
        <x:f>IFERROR(H289/I289,"")</x:f>
      </x:c>
      <x:c r="K289"/>
      <x:c r="L289"/>
      <x:c r="M289"/>
      <x:c r="N289"/>
      <x:c r="O289"/>
      <x:c r="P289"/>
      <x:c r="Q289" t="str">
        <x:f>IFERROR(O289/P289,"")</x:f>
      </x:c>
      <x:c r="R289"/>
      <x:c r="S289"/>
      <x:c r="T289"/>
      <x:c r="U289"/>
      <x:c r="V289" t="str">
        <x:f>IFERROR((T289-U289)/U289,"")</x:f>
      </x:c>
      <x:c r="W289"/>
      <x:c r="X289"/>
      <x:c r="Y289"/>
      <x:c r="Z289"/>
      <x:c r="AA289" t="str"/>
      <x:c r="AB289" t="str"/>
      <x:c r="AC289" t="str">
        <x:v>2026-06-15</x:v>
      </x:c>
    </x:row>
    <x:row r="290">
      <x:c r="A290" t="n">
        <x:v>289</x:v>
      </x:c>
      <x:c r="B290" t="str">
        <x:v>Venus Pipes</x:v>
      </x:c>
      <x:c r="C290" t="str">
        <x:v>Not Started</x:v>
      </x:c>
      <x:c r="D290" s="12"/>
      <x:c r="E290" s="12"/>
      <x:c r="F290" s="12"/>
      <x:c r="G290" s="12"/>
      <x:c r="H290" s="12"/>
      <x:c r="I290" s="12"/>
      <x:c r="J290" s="14" t="str">
        <x:f>IFERROR(H290/I290,"")</x:f>
      </x:c>
      <x:c r="K290"/>
      <x:c r="L290"/>
      <x:c r="M290"/>
      <x:c r="N290"/>
      <x:c r="O290"/>
      <x:c r="P290"/>
      <x:c r="Q290" t="str">
        <x:f>IFERROR(O290/P290,"")</x:f>
      </x:c>
      <x:c r="R290"/>
      <x:c r="S290"/>
      <x:c r="T290"/>
      <x:c r="U290"/>
      <x:c r="V290" t="str">
        <x:f>IFERROR((T290-U290)/U290,"")</x:f>
      </x:c>
      <x:c r="W290"/>
      <x:c r="X290"/>
      <x:c r="Y290"/>
      <x:c r="Z290"/>
      <x:c r="AA290" t="str"/>
      <x:c r="AB290" t="str"/>
      <x:c r="AC290" t="str">
        <x:v>2026-06-15</x:v>
      </x:c>
    </x:row>
    <x:row r="291">
      <x:c r="A291" t="n">
        <x:v>290</x:v>
      </x:c>
      <x:c r="B291" t="str">
        <x:v>Veranda Learning</x:v>
      </x:c>
      <x:c r="C291" t="str">
        <x:v>Not Started</x:v>
      </x:c>
      <x:c r="D291" s="12"/>
      <x:c r="E291" s="12"/>
      <x:c r="F291" s="12"/>
      <x:c r="G291" s="12"/>
      <x:c r="H291" s="12"/>
      <x:c r="I291" s="12"/>
      <x:c r="J291" s="14" t="str">
        <x:f>IFERROR(H291/I291,"")</x:f>
      </x:c>
      <x:c r="K291"/>
      <x:c r="L291"/>
      <x:c r="M291"/>
      <x:c r="N291"/>
      <x:c r="O291"/>
      <x:c r="P291"/>
      <x:c r="Q291" t="str">
        <x:f>IFERROR(O291/P291,"")</x:f>
      </x:c>
      <x:c r="R291"/>
      <x:c r="S291"/>
      <x:c r="T291"/>
      <x:c r="U291"/>
      <x:c r="V291" t="str">
        <x:f>IFERROR((T291-U291)/U291,"")</x:f>
      </x:c>
      <x:c r="W291"/>
      <x:c r="X291"/>
      <x:c r="Y291"/>
      <x:c r="Z291"/>
      <x:c r="AA291" t="str"/>
      <x:c r="AB291" t="str"/>
      <x:c r="AC291" t="str">
        <x:v>2026-06-15</x:v>
      </x:c>
    </x:row>
    <x:row r="292">
      <x:c r="A292" t="n">
        <x:v>291</x:v>
      </x:c>
      <x:c r="B292" t="str">
        <x:v>Vidya Wires Ltd</x:v>
      </x:c>
      <x:c r="C292" t="str">
        <x:v>Not Started</x:v>
      </x:c>
      <x:c r="D292" s="12"/>
      <x:c r="E292" s="12"/>
      <x:c r="F292" s="12"/>
      <x:c r="G292" s="12"/>
      <x:c r="H292" s="12"/>
      <x:c r="I292" s="12"/>
      <x:c r="J292" s="14" t="str">
        <x:f>IFERROR(H292/I292,"")</x:f>
      </x:c>
      <x:c r="K292"/>
      <x:c r="L292"/>
      <x:c r="M292"/>
      <x:c r="N292"/>
      <x:c r="O292"/>
      <x:c r="P292"/>
      <x:c r="Q292" t="str">
        <x:f>IFERROR(O292/P292,"")</x:f>
      </x:c>
      <x:c r="R292"/>
      <x:c r="S292"/>
      <x:c r="T292"/>
      <x:c r="U292"/>
      <x:c r="V292" t="str">
        <x:f>IFERROR((T292-U292)/U292,"")</x:f>
      </x:c>
      <x:c r="W292"/>
      <x:c r="X292"/>
      <x:c r="Y292"/>
      <x:c r="Z292"/>
      <x:c r="AA292" t="str"/>
      <x:c r="AB292" t="str"/>
      <x:c r="AC292" t="str">
        <x:v>2026-06-15</x:v>
      </x:c>
    </x:row>
    <x:row r="293">
      <x:c r="A293" t="n">
        <x:v>292</x:v>
      </x:c>
      <x:c r="B293" t="str">
        <x:v>Vikram Solar Ltd</x:v>
      </x:c>
      <x:c r="C293" t="str">
        <x:v>Not Started</x:v>
      </x:c>
      <x:c r="D293" s="12"/>
      <x:c r="E293" s="12"/>
      <x:c r="F293" s="12"/>
      <x:c r="G293" s="12"/>
      <x:c r="H293" s="12"/>
      <x:c r="I293" s="12"/>
      <x:c r="J293" s="14" t="str">
        <x:f>IFERROR(H293/I293,"")</x:f>
      </x:c>
      <x:c r="K293"/>
      <x:c r="L293"/>
      <x:c r="M293"/>
      <x:c r="N293"/>
      <x:c r="O293"/>
      <x:c r="P293"/>
      <x:c r="Q293" t="str">
        <x:f>IFERROR(O293/P293,"")</x:f>
      </x:c>
      <x:c r="R293"/>
      <x:c r="S293"/>
      <x:c r="T293"/>
      <x:c r="U293"/>
      <x:c r="V293" t="str">
        <x:f>IFERROR((T293-U293)/U293,"")</x:f>
      </x:c>
      <x:c r="W293"/>
      <x:c r="X293"/>
      <x:c r="Y293"/>
      <x:c r="Z293"/>
      <x:c r="AA293" t="str"/>
      <x:c r="AB293" t="str"/>
      <x:c r="AC293" t="str">
        <x:v>2026-06-15</x:v>
      </x:c>
    </x:row>
    <x:row r="294">
      <x:c r="A294" t="n">
        <x:v>293</x:v>
      </x:c>
      <x:c r="B294" t="str">
        <x:v>Vikran Engineering Ltd</x:v>
      </x:c>
      <x:c r="C294" t="str">
        <x:v>Not Started</x:v>
      </x:c>
      <x:c r="D294" s="12"/>
      <x:c r="E294" s="12"/>
      <x:c r="F294" s="12"/>
      <x:c r="G294" s="12"/>
      <x:c r="H294" s="12"/>
      <x:c r="I294" s="12"/>
      <x:c r="J294" s="14" t="str">
        <x:f>IFERROR(H294/I294,"")</x:f>
      </x:c>
      <x:c r="K294"/>
      <x:c r="L294"/>
      <x:c r="M294"/>
      <x:c r="N294"/>
      <x:c r="O294"/>
      <x:c r="P294"/>
      <x:c r="Q294" t="str">
        <x:f>IFERROR(O294/P294,"")</x:f>
      </x:c>
      <x:c r="R294"/>
      <x:c r="S294"/>
      <x:c r="T294"/>
      <x:c r="U294"/>
      <x:c r="V294" t="str">
        <x:f>IFERROR((T294-U294)/U294,"")</x:f>
      </x:c>
      <x:c r="W294"/>
      <x:c r="X294"/>
      <x:c r="Y294"/>
      <x:c r="Z294"/>
      <x:c r="AA294" t="str"/>
      <x:c r="AB294" t="str"/>
      <x:c r="AC294" t="str">
        <x:v>2026-06-15</x:v>
      </x:c>
    </x:row>
    <x:row r="295">
      <x:c r="A295" t="n">
        <x:v>294</x:v>
      </x:c>
      <x:c r="B295" t="str">
        <x:v>Vishnu Prakash Punglia</x:v>
      </x:c>
      <x:c r="C295" t="str">
        <x:v>Not Started</x:v>
      </x:c>
      <x:c r="D295" s="12"/>
      <x:c r="E295" s="12"/>
      <x:c r="F295" s="12"/>
      <x:c r="G295" s="12"/>
      <x:c r="H295" s="12"/>
      <x:c r="I295" s="12"/>
      <x:c r="J295" s="14" t="str">
        <x:f>IFERROR(H295/I295,"")</x:f>
      </x:c>
      <x:c r="K295"/>
      <x:c r="L295"/>
      <x:c r="M295"/>
      <x:c r="N295"/>
      <x:c r="O295"/>
      <x:c r="P295"/>
      <x:c r="Q295" t="str">
        <x:f>IFERROR(O295/P295,"")</x:f>
      </x:c>
      <x:c r="R295"/>
      <x:c r="S295"/>
      <x:c r="T295"/>
      <x:c r="U295"/>
      <x:c r="V295" t="str">
        <x:f>IFERROR((T295-U295)/U295,"")</x:f>
      </x:c>
      <x:c r="W295"/>
      <x:c r="X295"/>
      <x:c r="Y295"/>
      <x:c r="Z295"/>
      <x:c r="AA295" t="str"/>
      <x:c r="AB295" t="str"/>
      <x:c r="AC295" t="str">
        <x:v>2026-06-15</x:v>
      </x:c>
    </x:row>
    <x:row r="296">
      <x:c r="A296" t="n">
        <x:v>295</x:v>
      </x:c>
      <x:c r="B296" t="str">
        <x:v>Wakefit Innovations Ltd</x:v>
      </x:c>
      <x:c r="C296" t="str">
        <x:v>Not Started</x:v>
      </x:c>
      <x:c r="D296" s="12"/>
      <x:c r="E296" s="12"/>
      <x:c r="F296" s="12"/>
      <x:c r="G296" s="12"/>
      <x:c r="H296" s="12"/>
      <x:c r="I296" s="12"/>
      <x:c r="J296" s="14" t="str">
        <x:f>IFERROR(H296/I296,"")</x:f>
      </x:c>
      <x:c r="K296"/>
      <x:c r="L296"/>
      <x:c r="M296"/>
      <x:c r="N296"/>
      <x:c r="O296"/>
      <x:c r="P296"/>
      <x:c r="Q296" t="str">
        <x:f>IFERROR(O296/P296,"")</x:f>
      </x:c>
      <x:c r="R296"/>
      <x:c r="S296"/>
      <x:c r="T296"/>
      <x:c r="U296"/>
      <x:c r="V296" t="str">
        <x:f>IFERROR((T296-U296)/U296,"")</x:f>
      </x:c>
      <x:c r="W296"/>
      <x:c r="X296"/>
      <x:c r="Y296"/>
      <x:c r="Z296"/>
      <x:c r="AA296" t="str"/>
      <x:c r="AB296" t="str"/>
      <x:c r="AC296" t="str">
        <x:v>2026-06-15</x:v>
      </x:c>
    </x:row>
    <x:row r="297">
      <x:c r="A297" t="n">
        <x:v>296</x:v>
      </x:c>
      <x:c r="B297" t="str">
        <x:v>WeWork India Management Ltd</x:v>
      </x:c>
      <x:c r="C297" t="str">
        <x:v>Not Started</x:v>
      </x:c>
      <x:c r="D297" s="12"/>
      <x:c r="E297" s="12"/>
      <x:c r="F297" s="12"/>
      <x:c r="G297" s="12"/>
      <x:c r="H297" s="12"/>
      <x:c r="I297" s="12"/>
      <x:c r="J297" s="14" t="str">
        <x:f>IFERROR(H297/I297,"")</x:f>
      </x:c>
      <x:c r="K297"/>
      <x:c r="L297"/>
      <x:c r="M297"/>
      <x:c r="N297"/>
      <x:c r="O297"/>
      <x:c r="P297"/>
      <x:c r="Q297" t="str">
        <x:f>IFERROR(O297/P297,"")</x:f>
      </x:c>
      <x:c r="R297"/>
      <x:c r="S297"/>
      <x:c r="T297"/>
      <x:c r="U297"/>
      <x:c r="V297" t="str">
        <x:f>IFERROR((T297-U297)/U297,"")</x:f>
      </x:c>
      <x:c r="W297"/>
      <x:c r="X297"/>
      <x:c r="Y297"/>
      <x:c r="Z297"/>
      <x:c r="AA297" t="str"/>
      <x:c r="AB297" t="str"/>
      <x:c r="AC297" t="str">
        <x:v>2026-06-15</x:v>
      </x:c>
    </x:row>
    <x:row r="298">
      <x:c r="A298" t="n">
        <x:v>297</x:v>
      </x:c>
      <x:c r="B298" t="str">
        <x:v>Windlas Biotech</x:v>
      </x:c>
      <x:c r="C298" t="str">
        <x:v>Not Started</x:v>
      </x:c>
      <x:c r="D298" s="12"/>
      <x:c r="E298" s="12"/>
      <x:c r="F298" s="12"/>
      <x:c r="G298" s="12"/>
      <x:c r="H298" s="12"/>
      <x:c r="I298" s="12"/>
      <x:c r="J298" s="14" t="str">
        <x:f>IFERROR(H298/I298,"")</x:f>
      </x:c>
      <x:c r="K298"/>
      <x:c r="L298"/>
      <x:c r="M298"/>
      <x:c r="N298"/>
      <x:c r="O298"/>
      <x:c r="P298"/>
      <x:c r="Q298" t="str">
        <x:f>IFERROR(O298/P298,"")</x:f>
      </x:c>
      <x:c r="R298"/>
      <x:c r="S298"/>
      <x:c r="T298"/>
      <x:c r="U298"/>
      <x:c r="V298" t="str">
        <x:f>IFERROR((T298-U298)/U298,"")</x:f>
      </x:c>
      <x:c r="W298"/>
      <x:c r="X298"/>
      <x:c r="Y298"/>
      <x:c r="Z298"/>
      <x:c r="AA298" t="str"/>
      <x:c r="AB298" t="str"/>
      <x:c r="AC298" t="str">
        <x:v>2026-06-15</x:v>
      </x:c>
    </x:row>
    <x:row r="299">
      <x:c r="A299" t="n">
        <x:v>298</x:v>
      </x:c>
      <x:c r="B299" t="str">
        <x:v>Yatharth Hospital</x:v>
      </x:c>
      <x:c r="C299" t="str">
        <x:v>Not Started</x:v>
      </x:c>
      <x:c r="D299" s="12"/>
      <x:c r="E299" s="12"/>
      <x:c r="F299" s="12"/>
      <x:c r="G299" s="12"/>
      <x:c r="H299" s="12"/>
      <x:c r="I299" s="12"/>
      <x:c r="J299" s="14" t="str">
        <x:f>IFERROR(H299/I299,"")</x:f>
      </x:c>
      <x:c r="K299"/>
      <x:c r="L299"/>
      <x:c r="M299"/>
      <x:c r="N299"/>
      <x:c r="O299"/>
      <x:c r="P299"/>
      <x:c r="Q299" t="str">
        <x:f>IFERROR(O299/P299,"")</x:f>
      </x:c>
      <x:c r="R299"/>
      <x:c r="S299"/>
      <x:c r="T299"/>
      <x:c r="U299"/>
      <x:c r="V299" t="str">
        <x:f>IFERROR((T299-U299)/U299,"")</x:f>
      </x:c>
      <x:c r="W299"/>
      <x:c r="X299"/>
      <x:c r="Y299"/>
      <x:c r="Z299"/>
      <x:c r="AA299" t="str"/>
      <x:c r="AB299" t="str"/>
      <x:c r="AC299" t="str">
        <x:v>2026-06-15</x:v>
      </x:c>
    </x:row>
    <x:row r="300">
      <x:c r="A300" t="n">
        <x:v>299</x:v>
      </x:c>
      <x:c r="B300" t="str">
        <x:v>Yatra Online</x:v>
      </x:c>
      <x:c r="C300" t="str">
        <x:v>Not Started</x:v>
      </x:c>
      <x:c r="D300" s="12"/>
      <x:c r="E300" s="12"/>
      <x:c r="F300" s="12"/>
      <x:c r="G300" s="12"/>
      <x:c r="H300" s="12"/>
      <x:c r="I300" s="12"/>
      <x:c r="J300" s="14" t="str">
        <x:f>IFERROR(H300/I300,"")</x:f>
      </x:c>
      <x:c r="K300"/>
      <x:c r="L300"/>
      <x:c r="M300"/>
      <x:c r="N300"/>
      <x:c r="O300"/>
      <x:c r="P300"/>
      <x:c r="Q300" t="str">
        <x:f>IFERROR(O300/P300,"")</x:f>
      </x:c>
      <x:c r="R300"/>
      <x:c r="S300"/>
      <x:c r="T300"/>
      <x:c r="U300"/>
      <x:c r="V300" t="str">
        <x:f>IFERROR((T300-U300)/U300,"")</x:f>
      </x:c>
      <x:c r="W300"/>
      <x:c r="X300"/>
      <x:c r="Y300"/>
      <x:c r="Z300"/>
      <x:c r="AA300" t="str"/>
      <x:c r="AB300" t="str"/>
      <x:c r="AC300" t="str">
        <x:v>2026-06-15</x:v>
      </x:c>
    </x:row>
    <x:row r="301">
      <x:c r="A301" t="n">
        <x:v>300</x:v>
      </x:c>
      <x:c r="B301" t="str">
        <x:v>Zaggle Prepaid</x:v>
      </x:c>
      <x:c r="C301" t="str">
        <x:v>Not Started</x:v>
      </x:c>
      <x:c r="D301" s="12"/>
      <x:c r="E301" s="12"/>
      <x:c r="F301" s="12"/>
      <x:c r="G301" s="12"/>
      <x:c r="H301" s="12"/>
      <x:c r="I301" s="12"/>
      <x:c r="J301" s="14" t="str">
        <x:f>IFERROR(H301/I301,"")</x:f>
      </x:c>
      <x:c r="K301"/>
      <x:c r="L301"/>
      <x:c r="M301"/>
      <x:c r="N301"/>
      <x:c r="O301"/>
      <x:c r="P301"/>
      <x:c r="Q301" t="str">
        <x:f>IFERROR(O301/P301,"")</x:f>
      </x:c>
      <x:c r="R301"/>
      <x:c r="S301"/>
      <x:c r="T301"/>
      <x:c r="U301"/>
      <x:c r="V301" t="str">
        <x:f>IFERROR((T301-U301)/U301,"")</x:f>
      </x:c>
      <x:c r="W301"/>
      <x:c r="X301"/>
      <x:c r="Y301"/>
      <x:c r="Z301"/>
      <x:c r="AA301" t="str"/>
      <x:c r="AB301" t="str"/>
      <x:c r="AC301" t="str">
        <x:v>2026-06-15</x:v>
      </x:c>
    </x:row>
    <x:row r="302">
      <x:c r="A302" t="n">
        <x:v>301</x:v>
      </x:c>
      <x:c r="B302" t="str">
        <x:v>Zomato</x:v>
      </x:c>
      <x:c r="C302" t="str">
        <x:v>Not Started</x:v>
      </x:c>
      <x:c r="D302" s="12"/>
      <x:c r="E302" s="12"/>
      <x:c r="F302" s="12"/>
      <x:c r="G302" s="12"/>
      <x:c r="H302" s="12"/>
      <x:c r="I302" s="12"/>
      <x:c r="J302" s="14" t="str">
        <x:f>IFERROR(H302/I302,"")</x:f>
      </x:c>
      <x:c r="K302"/>
      <x:c r="L302"/>
      <x:c r="M302"/>
      <x:c r="N302"/>
      <x:c r="O302"/>
      <x:c r="P302"/>
      <x:c r="Q302" t="str">
        <x:f>IFERROR(O302/P302,"")</x:f>
      </x:c>
      <x:c r="R302"/>
      <x:c r="S302"/>
      <x:c r="T302"/>
      <x:c r="U302"/>
      <x:c r="V302" t="str">
        <x:f>IFERROR((T302-U302)/U302,"")</x:f>
      </x:c>
      <x:c r="W302"/>
      <x:c r="X302"/>
      <x:c r="Y302"/>
      <x:c r="Z302"/>
      <x:c r="AA302" t="str"/>
      <x:c r="AB302" t="str"/>
      <x:c r="AC302" t="str">
        <x:v>2026-06-15</x:v>
      </x:c>
    </x:row>
    <x:row r="303">
      <x:c r="A303" t="n">
        <x:v>302</x:v>
      </x:c>
      <x:c r="B303" t="str">
        <x:v>eMudhra</x:v>
      </x:c>
      <x:c r="C303" t="str">
        <x:v>Not Started</x:v>
      </x:c>
      <x:c r="D303" s="12"/>
      <x:c r="E303" s="12"/>
      <x:c r="F303" s="12"/>
      <x:c r="G303" s="12"/>
      <x:c r="H303" s="12"/>
      <x:c r="I303" s="12"/>
      <x:c r="J303" s="14" t="str">
        <x:f>IFERROR(H303/I303,"")</x:f>
      </x:c>
      <x:c r="K303"/>
      <x:c r="L303"/>
      <x:c r="M303"/>
      <x:c r="N303"/>
      <x:c r="O303"/>
      <x:c r="P303"/>
      <x:c r="Q303" t="str">
        <x:f>IFERROR(O303/P303,"")</x:f>
      </x:c>
      <x:c r="R303"/>
      <x:c r="S303"/>
      <x:c r="T303"/>
      <x:c r="U303"/>
      <x:c r="V303" t="str">
        <x:f>IFERROR((T303-U303)/U303,"")</x:f>
      </x:c>
      <x:c r="W303"/>
      <x:c r="X303"/>
      <x:c r="Y303"/>
      <x:c r="Z303"/>
      <x:c r="AA303" t="str"/>
      <x:c r="AB303" t="str"/>
      <x:c r="AC303" t="str">
        <x:v>2026-06-15</x:v>
      </x:c>
    </x:row>
    <x:row r="304">
      <x:c r="A304" t="n">
        <x:v>303</x:v>
      </x:c>
      <x:c r="B304" t="str">
        <x:v>ixigo</x:v>
      </x:c>
      <x:c r="C304" t="str">
        <x:v>Not Started</x:v>
      </x:c>
      <x:c r="D304" s="12"/>
      <x:c r="E304" s="12"/>
      <x:c r="F304" s="12"/>
      <x:c r="G304" s="12"/>
      <x:c r="H304" s="12"/>
      <x:c r="I304" s="12"/>
      <x:c r="J304" s="14" t="str">
        <x:f>IFERROR(H304/I304,"")</x:f>
      </x:c>
      <x:c r="K304"/>
      <x:c r="L304"/>
      <x:c r="M304"/>
      <x:c r="N304"/>
      <x:c r="O304"/>
      <x:c r="P304"/>
      <x:c r="Q304" t="str">
        <x:f>IFERROR(O304/P304,"")</x:f>
      </x:c>
      <x:c r="R304"/>
      <x:c r="S304"/>
      <x:c r="T304"/>
      <x:c r="U304"/>
      <x:c r="V304" t="str">
        <x:f>IFERROR((T304-U304)/U304,"")</x:f>
      </x:c>
      <x:c r="W304"/>
      <x:c r="X304"/>
      <x:c r="Y304"/>
      <x:c r="Z304"/>
      <x:c r="AA304" t="str"/>
      <x:c r="AB304" t="str"/>
      <x:c r="AC304" t="str">
        <x:v>2026-06-15</x:v>
      </x:c>
    </x:row>
    <x:row r="305">
      <x:c r="A305" t="n">
        <x:v>304</x:v>
      </x:c>
      <x:c r="B305" t="str">
        <x:v>Aadhar Housing</x:v>
      </x:c>
      <x:c r="C305" t="str">
        <x:v>Not Started</x:v>
      </x:c>
      <x:c r="D305" s="12"/>
      <x:c r="E305" s="12"/>
      <x:c r="F305" s="12"/>
      <x:c r="G305" s="12"/>
      <x:c r="H305" s="12"/>
      <x:c r="I305" s="12"/>
      <x:c r="J305" s="14" t="str">
        <x:f>IFERROR(H305/I305,"")</x:f>
      </x:c>
      <x:c r="K305"/>
      <x:c r="L305"/>
      <x:c r="M305"/>
      <x:c r="N305"/>
      <x:c r="O305"/>
      <x:c r="P305"/>
      <x:c r="Q305" t="str">
        <x:f>IFERROR(O305/P305,"")</x:f>
      </x:c>
      <x:c r="R305"/>
      <x:c r="S305"/>
      <x:c r="T305"/>
      <x:c r="U305"/>
      <x:c r="V305" t="str">
        <x:f>IFERROR((T305-U305)/U305,"")</x:f>
      </x:c>
      <x:c r="W305"/>
      <x:c r="X305"/>
      <x:c r="Y305"/>
      <x:c r="Z305"/>
      <x:c r="AA305" t="str"/>
      <x:c r="AB305" t="str"/>
      <x:c r="AC305" t="str">
        <x:v>2026-06-15</x:v>
      </x:c>
    </x:row>
  </x:sheetData>
  <x:dataValidations count="4">
    <x:dataValidation type="list" sqref="K2:K305">
      <x:formula1>"rising,falling,flat,volatile,unknown"</x:formula1>
    </x:dataValidation>
    <x:dataValidation type="list" sqref="C2:C305">
      <x:formula1>"Not Started,Auto Filled,Needs Review,Verified,Not Available"</x:formula1>
    </x:dataValidation>
    <x:dataValidation type="list" sqref="S2:S305">
      <x:formula1>"High Domestic,Mixed,Offshore/Momentum,Weak,Unknown"</x:formula1>
    </x:dataValidation>
    <x:dataValidation type="list" sqref="AA2:AA305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50735182d043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95" hidden="0" customWidth="1"/>
  </x:cols>
  <x:sheetData>
    <x:row r="1">
      <x:c r="A1" s="17" t="str">
        <x:v>AACapital IPO Data Enrichment Pack</x:v>
      </x:c>
      <x:c r="B1" s="20" t="str"/>
    </x:row>
    <x:row r="2">
      <x:c r="A2" t="str">
        <x:v>Purpose</x:v>
      </x:c>
      <x:c r="B2" t="str">
        <x:v>Collect subscription, GMP T-1, GMP direction, OFS %, BRLM, anchor quality, and PE fields for IPO backtesting.</x:v>
      </x:c>
    </x:row>
    <x:row r="3">
      <x:c r="A3" t="str">
        <x:v>How to use</x:v>
      </x:c>
      <x:c r="B3" t="str">
        <x:v>Run the included Python script against this workbook or export the IPO_Data_Collection sheet to CSV.</x:v>
      </x:c>
    </x:row>
    <x:row r="4">
      <x:c r="A4" t="str">
        <x:v>Required fields</x:v>
      </x:c>
      <x:c r="B4" t="str">
        <x:v>qib_x, nii_x, retail_x, total_x, gmp_t1, gmp_pct_of_issue, gmp_direction, ofs_pct.</x:v>
      </x:c>
    </x:row>
    <x:row r="5">
      <x:c r="A5" t="str">
        <x:v>Good sources</x:v>
      </x:c>
      <x:c r="B5" t="str">
        <x:v>InvestorGain, Chittorgarh, IPOWatch, Moneycontrol, NSE/BSE, RHP/Prospectus, Screener IPO pages.</x:v>
      </x:c>
    </x:row>
    <x:row r="6">
      <x:c r="A6" t="str">
        <x:v>Data quality rule</x:v>
      </x:c>
      <x:c r="B6" t="str">
        <x:v>Never overwrite a verified row unless force_update=true in the script.</x:v>
      </x:c>
    </x:row>
    <x:row r="7">
      <x:c r="A7" t="str">
        <x:v>Formula notes</x:v>
      </x:c>
      <x:c r="B7" t="str">
        <x:v>gmp_pct_of_issue = gmp_t1 / issue_price; ofs_pct = ofs_amt_cr / total_issue_amt_cr; valuation_gap_pct = (ipo_pe - peer_median_pe) / peer_median_pe.</x:v>
      </x:c>
    </x:row>
    <x:row r="8">
      <x:c r="A8" t="str">
        <x:v>Backtest rule</x:v>
      </x:c>
      <x:c r="B8" t="str">
        <x:v>Use only data available before/on listing day for scoring. Use post-listing data only as outcomes.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23" t="str">
        <x:v>field</x:v>
      </x:c>
      <x:c r="B1" s="26" t="str">
        <x:v>primary_source</x:v>
      </x:c>
      <x:c r="C1" s="26" t="str">
        <x:v>fallback_source</x:v>
      </x:c>
      <x:c r="D1" s="26" t="str">
        <x:v>validation_notes</x:v>
      </x:c>
    </x:row>
    <x:row r="2">
      <x:c r="A2" t="str">
        <x:v>qib_x</x:v>
      </x:c>
      <x:c r="B2" t="str">
        <x:v>Chittorgarh / InvestorGain IPO subscription table</x:v>
      </x:c>
      <x:c r="C2" t="str">
        <x:v>Moneycontrol final subscription article; NSE/BSE</x:v>
      </x:c>
      <x:c r="D2" t="str">
        <x:v>Must be final subscription after close, not day-1/day-2 interim.</x:v>
      </x:c>
    </x:row>
    <x:row r="3">
      <x:c r="A3" t="str">
        <x:v>nii_x</x:v>
      </x:c>
      <x:c r="B3" t="str">
        <x:v>Chittorgarh / InvestorGain IPO subscription table</x:v>
      </x:c>
      <x:c r="C3" t="str">
        <x:v>Moneycontrol final subscription article; NSE/BSE</x:v>
      </x:c>
      <x:c r="D3" t="str">
        <x:v>NII/HNI sometimes split into bNII/sNII; use total NII where available.</x:v>
      </x:c>
    </x:row>
    <x:row r="4">
      <x:c r="A4" t="str">
        <x:v>retail_x</x:v>
      </x:c>
      <x:c r="B4" t="str">
        <x:v>Chittorgarh / InvestorGain IPO subscription table</x:v>
      </x:c>
      <x:c r="C4" t="str">
        <x:v>Moneycontrol final subscription article; NSE/BSE</x:v>
      </x:c>
      <x:c r="D4" t="str">
        <x:v>Use final retail times.</x:v>
      </x:c>
    </x:row>
    <x:row r="5">
      <x:c r="A5" t="str">
        <x:v>total_x</x:v>
      </x:c>
      <x:c r="B5" t="str">
        <x:v>Chittorgarh / InvestorGain IPO subscription table</x:v>
      </x:c>
      <x:c r="C5" t="str">
        <x:v>Moneycontrol final subscription article; NSE/BSE</x:v>
      </x:c>
      <x:c r="D5" t="str">
        <x:v>Use final overall subscription.</x:v>
      </x:c>
    </x:row>
    <x:row r="6">
      <x:c r="A6" t="str">
        <x:v>gmp_t1</x:v>
      </x:c>
      <x:c r="B6" t="str">
        <x:v>InvestorGain GMP page</x:v>
      </x:c>
      <x:c r="C6" t="str">
        <x:v>IPOWatch / IPO Central / Chittorgarh GMP snapshot</x:v>
      </x:c>
      <x:c r="D6" t="str">
        <x:v>Use GMP one day before listing; store rupee GMP and compute % of issue.</x:v>
      </x:c>
    </x:row>
    <x:row r="7">
      <x:c r="A7" t="str">
        <x:v>gmp_direction</x:v>
      </x:c>
      <x:c r="B7" t="str">
        <x:v>InvestorGain historical GMP table</x:v>
      </x:c>
      <x:c r="C7" t="str">
        <x:v>IPOWatch historical GMP text</x:v>
      </x:c>
      <x:c r="D7" t="str">
        <x:v>Compare T-3/T-1 or min/max trend.</x:v>
      </x:c>
    </x:row>
    <x:row r="8">
      <x:c r="A8" t="str">
        <x:v>ofs_pct</x:v>
      </x:c>
      <x:c r="B8" t="str">
        <x:v>RHP/DRHP / IPO details page</x:v>
      </x:c>
      <x:c r="C8" t="str">
        <x:v>Chittorgarh / InvestorGain issue details</x:v>
      </x:c>
      <x:c r="D8" t="str">
        <x:v>OFS % = OFS amount / total issue size.</x:v>
      </x:c>
    </x:row>
    <x:row r="9">
      <x:c r="A9" t="str">
        <x:v>brlm_names</x:v>
      </x:c>
      <x:c r="B9" t="str">
        <x:v>RHP/DRHP / IPO details page</x:v>
      </x:c>
      <x:c r="C9" t="str">
        <x:v>Chittorgarh / InvestorGain</x:v>
      </x:c>
      <x:c r="D9" t="str">
        <x:v>Comma-separated lead managers.</x:v>
      </x:c>
    </x:row>
    <x:row r="10">
      <x:c r="A10" t="str">
        <x:v>anchor_quality</x:v>
      </x:c>
      <x:c r="B10" t="str">
        <x:v>Anchor allotment exchange filing</x:v>
      </x:c>
      <x:c r="C10" t="str">
        <x:v>RHP/IPO news reports</x:v>
      </x:c>
      <x:c r="D10" t="str">
        <x:v>Manual classification is acceptable initially.</x:v>
      </x:c>
    </x:row>
    <x:row r="11">
      <x:c r="A11" t="str">
        <x:v>ipo_pe</x:v>
      </x:c>
      <x:c r="B11" t="str">
        <x:v>RHP valuation section / IPO note</x:v>
      </x:c>
      <x:c r="C11" t="str">
        <x:v>Broker reports / Screener IPO page</x:v>
      </x:c>
      <x:c r="D11" t="str">
        <x:v>Use asking P/E at upper price band.</x:v>
      </x:c>
    </x:row>
    <x:row r="12">
      <x:c r="A12" t="str">
        <x:v>peer_median_pe</x:v>
      </x:c>
      <x:c r="B12" t="str">
        <x:v>Peer list from RHP / broker report</x:v>
      </x:c>
      <x:c r="C12" t="str">
        <x:v>AACapital fundamentals universe</x:v>
      </x:c>
      <x:c r="D12" t="str">
        <x:v>Median listed peer PE at IPO month.</x:v>
      </x:c>
    </x:row>
  </x:sheetData>
  <x:pageMargins left="0.7" right="0.7" top="0.75" bottom="0.75" header="0.3" footer="0.3"/>
  <x:tableParts count="1">
    <x:tablePart xmlns:r="http://schemas.openxmlformats.org/officeDocument/2006/relationships" r:id="Ra5c218e7d19143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.25" hidden="0" customWidth="1"/>
    <x:col min="2" max="2" width="4.75" hidden="0" customWidth="1"/>
    <x:col min="3" max="3" width="4.25" hidden="0" customWidth="1"/>
    <x:col min="4" max="4" width="6.25" hidden="0" customWidth="1"/>
    <x:col min="5" max="5" width="5.880000114440918" hidden="0" customWidth="1"/>
    <x:col min="6" max="6" width="12.380000114440918" hidden="0" customWidth="1"/>
    <x:col min="7" max="7" width="14.380000114440918" hidden="0" customWidth="1"/>
    <x:col min="8" max="8" width="11.630000114440918" hidden="0" customWidth="1"/>
    <x:col min="9" max="9" width="6.130000114440918" hidden="0" customWidth="1"/>
    <x:col min="10" max="10" width="12" hidden="0" customWidth="1"/>
    <x:col min="11" max="11" width="5.75" hidden="0" customWidth="1"/>
    <x:col min="12" max="12" width="13.5" hidden="0" customWidth="1"/>
    <x:col min="13" max="13" width="9.75" hidden="0" customWidth="1"/>
  </x:cols>
  <x:sheetData>
    <x:row r="1">
      <x:c r="A1" s="30" t="str">
        <x:v>ipo_name</x:v>
      </x:c>
      <x:c r="B1" s="30" t="str">
        <x:v>qib_x</x:v>
      </x:c>
      <x:c r="C1" s="30" t="str">
        <x:v>nii_x</x:v>
      </x:c>
      <x:c r="D1" s="30" t="str">
        <x:v>retail_x</x:v>
      </x:c>
      <x:c r="E1" s="30" t="str">
        <x:v>total_x</x:v>
      </x:c>
      <x:c r="F1" s="30" t="str">
        <x:v>qib_retail_ratio</x:v>
      </x:c>
      <x:c r="G1" s="30" t="str">
        <x:v>gmp_pct_of_issue</x:v>
      </x:c>
      <x:c r="H1" s="30" t="str">
        <x:v>gmp_direction</x:v>
      </x:c>
      <x:c r="I1" s="30" t="str">
        <x:v>ofs_pct</x:v>
      </x:c>
      <x:c r="J1" s="30" t="str">
        <x:v>anchor_quality</x:v>
      </x:c>
      <x:c r="K1" s="30" t="str">
        <x:v>ipo_pe</x:v>
      </x:c>
      <x:c r="L1" s="30" t="str">
        <x:v>peer_median_pe</x:v>
      </x:c>
      <x:c r="M1" s="30" t="str">
        <x:v>score_ready</x:v>
      </x:c>
    </x:row>
    <x:row r="2">
      <x:c r="A2" t="str">
        <x:f>IPO_Data_Collection!B2</x:f>
        <x:v>AGS Transact</x:v>
      </x:c>
      <x:c r="B2" t="n">
        <x:f>IPO_Data_Collection!D2</x:f>
        <x:v>0</x:v>
      </x:c>
      <x:c r="C2" t="n">
        <x:f>IPO_Data_Collection!E2</x:f>
        <x:v>0</x:v>
      </x:c>
      <x:c r="D2" t="n">
        <x:f>IPO_Data_Collection!F2</x:f>
        <x:v>0</x:v>
      </x:c>
      <x:c r="E2" t="n">
        <x:f>IPO_Data_Collection!G2</x:f>
        <x:v>0</x:v>
      </x:c>
      <x:c r="F2" t="str">
        <x:f>IFERROR(B2/D2,"")</x:f>
      </x:c>
      <x:c r="G2" t="n">
        <x:f>IPO_Data_Collection!J2</x:f>
        <x:v>0</x:v>
      </x:c>
      <x:c r="H2" t="n">
        <x:f>IPO_Data_Collection!K2</x:f>
        <x:v>0</x:v>
      </x:c>
      <x:c r="I2" t="n">
        <x:f>IPO_Data_Collection!Q2</x:f>
        <x:v>0</x:v>
      </x:c>
      <x:c r="J2" t="n">
        <x:f>IPO_Data_Collection!S2</x:f>
        <x:v>0</x:v>
      </x:c>
      <x:c r="K2" t="n">
        <x:f>IPO_Data_Collection!T2</x:f>
        <x:v>0</x:v>
      </x:c>
      <x:c r="L2" t="n">
        <x:f>IPO_Data_Collection!U2</x:f>
        <x:v>0</x:v>
      </x:c>
      <x:c r="M2" t="str">
        <x:f>IF(COUNTA(B2:I2)&gt;=7,"Ready","Missing")</x:f>
        <x:v>Ready</x:v>
      </x:c>
    </x:row>
    <x:row r="3">
      <x:c r="A3" t="str">
        <x:f>IPO_Data_Collection!B3</x:f>
        <x:v>Abans Holdings</x:v>
      </x:c>
      <x:c r="B3" t="n">
        <x:f>IPO_Data_Collection!D3</x:f>
        <x:v>0</x:v>
      </x:c>
      <x:c r="C3" t="n">
        <x:f>IPO_Data_Collection!E3</x:f>
        <x:v>0</x:v>
      </x:c>
      <x:c r="D3" t="n">
        <x:f>IPO_Data_Collection!F3</x:f>
        <x:v>0</x:v>
      </x:c>
      <x:c r="E3" t="n">
        <x:f>IPO_Data_Collection!G3</x:f>
        <x:v>0</x:v>
      </x:c>
      <x:c r="F3" t="str">
        <x:f>IFERROR(B3/D3,"")</x:f>
      </x:c>
      <x:c r="G3" t="n">
        <x:f>IPO_Data_Collection!J3</x:f>
        <x:v>0</x:v>
      </x:c>
      <x:c r="H3" t="n">
        <x:f>IPO_Data_Collection!K3</x:f>
        <x:v>0</x:v>
      </x:c>
      <x:c r="I3" t="n">
        <x:f>IPO_Data_Collection!Q3</x:f>
        <x:v>0</x:v>
      </x:c>
      <x:c r="J3" t="n">
        <x:f>IPO_Data_Collection!S3</x:f>
        <x:v>0</x:v>
      </x:c>
      <x:c r="K3" t="n">
        <x:f>IPO_Data_Collection!T3</x:f>
        <x:v>0</x:v>
      </x:c>
      <x:c r="L3" t="n">
        <x:f>IPO_Data_Collection!U3</x:f>
        <x:v>0</x:v>
      </x:c>
      <x:c r="M3" t="str">
        <x:f>IF(COUNTA(B3:I3)&gt;=7,"Ready","Missing")</x:f>
        <x:v>Ready</x:v>
      </x:c>
    </x:row>
    <x:row r="4">
      <x:c r="A4" t="str">
        <x:f>IPO_Data_Collection!B4</x:f>
        <x:v>Adani Wilmar</x:v>
      </x:c>
      <x:c r="B4" t="n">
        <x:f>IPO_Data_Collection!D4</x:f>
        <x:v>0</x:v>
      </x:c>
      <x:c r="C4" t="n">
        <x:f>IPO_Data_Collection!E4</x:f>
        <x:v>0</x:v>
      </x:c>
      <x:c r="D4" t="n">
        <x:f>IPO_Data_Collection!F4</x:f>
        <x:v>0</x:v>
      </x:c>
      <x:c r="E4" t="n">
        <x:f>IPO_Data_Collection!G4</x:f>
        <x:v>0</x:v>
      </x:c>
      <x:c r="F4" t="str">
        <x:f>IFERROR(B4/D4,"")</x:f>
      </x:c>
      <x:c r="G4" t="n">
        <x:f>IPO_Data_Collection!J4</x:f>
        <x:v>0</x:v>
      </x:c>
      <x:c r="H4" t="n">
        <x:f>IPO_Data_Collection!K4</x:f>
        <x:v>0</x:v>
      </x:c>
      <x:c r="I4" t="n">
        <x:f>IPO_Data_Collection!Q4</x:f>
        <x:v>0</x:v>
      </x:c>
      <x:c r="J4" t="n">
        <x:f>IPO_Data_Collection!S4</x:f>
        <x:v>0</x:v>
      </x:c>
      <x:c r="K4" t="n">
        <x:f>IPO_Data_Collection!T4</x:f>
        <x:v>0</x:v>
      </x:c>
      <x:c r="L4" t="n">
        <x:f>IPO_Data_Collection!U4</x:f>
        <x:v>0</x:v>
      </x:c>
      <x:c r="M4" t="str">
        <x:f>IF(COUNTA(B4:I4)&gt;=7,"Ready","Missing")</x:f>
        <x:v>Ready</x:v>
      </x:c>
    </x:row>
    <x:row r="5">
      <x:c r="A5" t="str">
        <x:f>IPO_Data_Collection!B5</x:f>
        <x:v>Aditya Birla AMC</x:v>
      </x:c>
      <x:c r="B5" t="n">
        <x:f>IPO_Data_Collection!D5</x:f>
        <x:v>0</x:v>
      </x:c>
      <x:c r="C5" t="n">
        <x:f>IPO_Data_Collection!E5</x:f>
        <x:v>0</x:v>
      </x:c>
      <x:c r="D5" t="n">
        <x:f>IPO_Data_Collection!F5</x:f>
        <x:v>0</x:v>
      </x:c>
      <x:c r="E5" t="n">
        <x:f>IPO_Data_Collection!G5</x:f>
        <x:v>0</x:v>
      </x:c>
      <x:c r="F5" t="str">
        <x:f>IFERROR(B5/D5,"")</x:f>
      </x:c>
      <x:c r="G5" t="n">
        <x:f>IPO_Data_Collection!J5</x:f>
        <x:v>0</x:v>
      </x:c>
      <x:c r="H5" t="n">
        <x:f>IPO_Data_Collection!K5</x:f>
        <x:v>0</x:v>
      </x:c>
      <x:c r="I5" t="n">
        <x:f>IPO_Data_Collection!Q5</x:f>
        <x:v>0</x:v>
      </x:c>
      <x:c r="J5" t="n">
        <x:f>IPO_Data_Collection!S5</x:f>
        <x:v>0</x:v>
      </x:c>
      <x:c r="K5" t="n">
        <x:f>IPO_Data_Collection!T5</x:f>
        <x:v>0</x:v>
      </x:c>
      <x:c r="L5" t="n">
        <x:f>IPO_Data_Collection!U5</x:f>
        <x:v>0</x:v>
      </x:c>
      <x:c r="M5" t="str">
        <x:f>IF(COUNTA(B5:I5)&gt;=7,"Ready","Missing")</x:f>
        <x:v>Ready</x:v>
      </x:c>
    </x:row>
    <x:row r="6">
      <x:c r="A6" t="str">
        <x:f>IPO_Data_Collection!B6</x:f>
        <x:v>Aditya Infotech Ltd</x:v>
      </x:c>
      <x:c r="B6" t="n">
        <x:f>IPO_Data_Collection!D6</x:f>
        <x:v>0</x:v>
      </x:c>
      <x:c r="C6" t="n">
        <x:f>IPO_Data_Collection!E6</x:f>
        <x:v>0</x:v>
      </x:c>
      <x:c r="D6" t="n">
        <x:f>IPO_Data_Collection!F6</x:f>
        <x:v>0</x:v>
      </x:c>
      <x:c r="E6" t="n">
        <x:f>IPO_Data_Collection!G6</x:f>
        <x:v>0</x:v>
      </x:c>
      <x:c r="F6" t="str">
        <x:f>IFERROR(B6/D6,"")</x:f>
      </x:c>
      <x:c r="G6" t="n">
        <x:f>IPO_Data_Collection!J6</x:f>
        <x:v>0</x:v>
      </x:c>
      <x:c r="H6" t="n">
        <x:f>IPO_Data_Collection!K6</x:f>
        <x:v>0</x:v>
      </x:c>
      <x:c r="I6" t="n">
        <x:f>IPO_Data_Collection!Q6</x:f>
        <x:v>0</x:v>
      </x:c>
      <x:c r="J6" t="n">
        <x:f>IPO_Data_Collection!S6</x:f>
        <x:v>0</x:v>
      </x:c>
      <x:c r="K6" t="n">
        <x:f>IPO_Data_Collection!T6</x:f>
        <x:v>0</x:v>
      </x:c>
      <x:c r="L6" t="n">
        <x:f>IPO_Data_Collection!U6</x:f>
        <x:v>0</x:v>
      </x:c>
      <x:c r="M6" t="str">
        <x:f>IF(COUNTA(B6:I6)&gt;=7,"Ready","Missing")</x:f>
        <x:v>Ready</x:v>
      </x:c>
    </x:row>
    <x:row r="7">
      <x:c r="A7" t="str">
        <x:f>IPO_Data_Collection!B7</x:f>
        <x:v>Advance Agrolife Ltd</x:v>
      </x:c>
      <x:c r="B7" t="n">
        <x:f>IPO_Data_Collection!D7</x:f>
        <x:v>0</x:v>
      </x:c>
      <x:c r="C7" t="n">
        <x:f>IPO_Data_Collection!E7</x:f>
        <x:v>0</x:v>
      </x:c>
      <x:c r="D7" t="n">
        <x:f>IPO_Data_Collection!F7</x:f>
        <x:v>0</x:v>
      </x:c>
      <x:c r="E7" t="n">
        <x:f>IPO_Data_Collection!G7</x:f>
        <x:v>0</x:v>
      </x:c>
      <x:c r="F7" t="str">
        <x:f>IFERROR(B7/D7,"")</x:f>
      </x:c>
      <x:c r="G7" t="n">
        <x:f>IPO_Data_Collection!J7</x:f>
        <x:v>0</x:v>
      </x:c>
      <x:c r="H7" t="n">
        <x:f>IPO_Data_Collection!K7</x:f>
        <x:v>0</x:v>
      </x:c>
      <x:c r="I7" t="n">
        <x:f>IPO_Data_Collection!Q7</x:f>
        <x:v>0</x:v>
      </x:c>
      <x:c r="J7" t="n">
        <x:f>IPO_Data_Collection!S7</x:f>
        <x:v>0</x:v>
      </x:c>
      <x:c r="K7" t="n">
        <x:f>IPO_Data_Collection!T7</x:f>
        <x:v>0</x:v>
      </x:c>
      <x:c r="L7" t="n">
        <x:f>IPO_Data_Collection!U7</x:f>
        <x:v>0</x:v>
      </x:c>
      <x:c r="M7" t="str">
        <x:f>IF(COUNTA(B7:I7)&gt;=7,"Ready","Missing")</x:f>
        <x:v>Ready</x:v>
      </x:c>
    </x:row>
    <x:row r="8">
      <x:c r="A8" t="str">
        <x:f>IPO_Data_Collection!B8</x:f>
        <x:v>Aegis Vopak Terminals Limited</x:v>
      </x:c>
      <x:c r="B8" t="n">
        <x:f>IPO_Data_Collection!D8</x:f>
        <x:v>0</x:v>
      </x:c>
      <x:c r="C8" t="n">
        <x:f>IPO_Data_Collection!E8</x:f>
        <x:v>0</x:v>
      </x:c>
      <x:c r="D8" t="n">
        <x:f>IPO_Data_Collection!F8</x:f>
        <x:v>0</x:v>
      </x:c>
      <x:c r="E8" t="n">
        <x:f>IPO_Data_Collection!G8</x:f>
        <x:v>0</x:v>
      </x:c>
      <x:c r="F8" t="str">
        <x:f>IFERROR(B8/D8,"")</x:f>
      </x:c>
      <x:c r="G8" t="n">
        <x:f>IPO_Data_Collection!J8</x:f>
        <x:v>0</x:v>
      </x:c>
      <x:c r="H8" t="n">
        <x:f>IPO_Data_Collection!K8</x:f>
        <x:v>0</x:v>
      </x:c>
      <x:c r="I8" t="n">
        <x:f>IPO_Data_Collection!Q8</x:f>
        <x:v>0</x:v>
      </x:c>
      <x:c r="J8" t="n">
        <x:f>IPO_Data_Collection!S8</x:f>
        <x:v>0</x:v>
      </x:c>
      <x:c r="K8" t="n">
        <x:f>IPO_Data_Collection!T8</x:f>
        <x:v>0</x:v>
      </x:c>
      <x:c r="L8" t="n">
        <x:f>IPO_Data_Collection!U8</x:f>
        <x:v>0</x:v>
      </x:c>
      <x:c r="M8" t="str">
        <x:f>IF(COUNTA(B8:I8)&gt;=7,"Ready","Missing")</x:f>
        <x:v>Ready</x:v>
      </x:c>
    </x:row>
    <x:row r="9">
      <x:c r="A9" t="str">
        <x:f>IPO_Data_Collection!B9</x:f>
        <x:v>Aequs Ltd</x:v>
      </x:c>
      <x:c r="B9" t="n">
        <x:f>IPO_Data_Collection!D9</x:f>
        <x:v>0</x:v>
      </x:c>
      <x:c r="C9" t="n">
        <x:f>IPO_Data_Collection!E9</x:f>
        <x:v>0</x:v>
      </x:c>
      <x:c r="D9" t="n">
        <x:f>IPO_Data_Collection!F9</x:f>
        <x:v>0</x:v>
      </x:c>
      <x:c r="E9" t="n">
        <x:f>IPO_Data_Collection!G9</x:f>
        <x:v>0</x:v>
      </x:c>
      <x:c r="F9" t="str">
        <x:f>IFERROR(B9/D9,"")</x:f>
      </x:c>
      <x:c r="G9" t="n">
        <x:f>IPO_Data_Collection!J9</x:f>
        <x:v>0</x:v>
      </x:c>
      <x:c r="H9" t="n">
        <x:f>IPO_Data_Collection!K9</x:f>
        <x:v>0</x:v>
      </x:c>
      <x:c r="I9" t="n">
        <x:f>IPO_Data_Collection!Q9</x:f>
        <x:v>0</x:v>
      </x:c>
      <x:c r="J9" t="n">
        <x:f>IPO_Data_Collection!S9</x:f>
        <x:v>0</x:v>
      </x:c>
      <x:c r="K9" t="n">
        <x:f>IPO_Data_Collection!T9</x:f>
        <x:v>0</x:v>
      </x:c>
      <x:c r="L9" t="n">
        <x:f>IPO_Data_Collection!U9</x:f>
        <x:v>0</x:v>
      </x:c>
      <x:c r="M9" t="str">
        <x:f>IF(COUNTA(B9:I9)&gt;=7,"Ready","Missing")</x:f>
        <x:v>Ready</x:v>
      </x:c>
    </x:row>
    <x:row r="10">
      <x:c r="A10" t="str">
        <x:f>IPO_Data_Collection!B10</x:f>
        <x:v>Aeroflex Industries</x:v>
      </x:c>
      <x:c r="B10" t="n">
        <x:f>IPO_Data_Collection!D10</x:f>
        <x:v>0</x:v>
      </x:c>
      <x:c r="C10" t="n">
        <x:f>IPO_Data_Collection!E10</x:f>
        <x:v>0</x:v>
      </x:c>
      <x:c r="D10" t="n">
        <x:f>IPO_Data_Collection!F10</x:f>
        <x:v>0</x:v>
      </x:c>
      <x:c r="E10" t="n">
        <x:f>IPO_Data_Collection!G10</x:f>
        <x:v>0</x:v>
      </x:c>
      <x:c r="F10" t="str">
        <x:f>IFERROR(B10/D10,"")</x:f>
      </x:c>
      <x:c r="G10" t="n">
        <x:f>IPO_Data_Collection!J10</x:f>
        <x:v>0</x:v>
      </x:c>
      <x:c r="H10" t="n">
        <x:f>IPO_Data_Collection!K10</x:f>
        <x:v>0</x:v>
      </x:c>
      <x:c r="I10" t="n">
        <x:f>IPO_Data_Collection!Q10</x:f>
        <x:v>0</x:v>
      </x:c>
      <x:c r="J10" t="n">
        <x:f>IPO_Data_Collection!S10</x:f>
        <x:v>0</x:v>
      </x:c>
      <x:c r="K10" t="n">
        <x:f>IPO_Data_Collection!T10</x:f>
        <x:v>0</x:v>
      </x:c>
      <x:c r="L10" t="n">
        <x:f>IPO_Data_Collection!U10</x:f>
        <x:v>0</x:v>
      </x:c>
      <x:c r="M10" t="str">
        <x:f>IF(COUNTA(B10:I10)&gt;=7,"Ready","Missing")</x:f>
        <x:v>Ready</x:v>
      </x:c>
    </x:row>
    <x:row r="11">
      <x:c r="A11" t="str">
        <x:f>IPO_Data_Collection!B11</x:f>
        <x:v>Aether Industries</x:v>
      </x:c>
      <x:c r="B11" t="n">
        <x:f>IPO_Data_Collection!D11</x:f>
        <x:v>0</x:v>
      </x:c>
      <x:c r="C11" t="n">
        <x:f>IPO_Data_Collection!E11</x:f>
        <x:v>0</x:v>
      </x:c>
      <x:c r="D11" t="n">
        <x:f>IPO_Data_Collection!F11</x:f>
        <x:v>0</x:v>
      </x:c>
      <x:c r="E11" t="n">
        <x:f>IPO_Data_Collection!G11</x:f>
        <x:v>0</x:v>
      </x:c>
      <x:c r="F11" t="str">
        <x:f>IFERROR(B11/D11,"")</x:f>
      </x:c>
      <x:c r="G11" t="n">
        <x:f>IPO_Data_Collection!J11</x:f>
        <x:v>0</x:v>
      </x:c>
      <x:c r="H11" t="n">
        <x:f>IPO_Data_Collection!K11</x:f>
        <x:v>0</x:v>
      </x:c>
      <x:c r="I11" t="n">
        <x:f>IPO_Data_Collection!Q11</x:f>
        <x:v>0</x:v>
      </x:c>
      <x:c r="J11" t="n">
        <x:f>IPO_Data_Collection!S11</x:f>
        <x:v>0</x:v>
      </x:c>
      <x:c r="K11" t="n">
        <x:f>IPO_Data_Collection!T11</x:f>
        <x:v>0</x:v>
      </x:c>
      <x:c r="L11" t="n">
        <x:f>IPO_Data_Collection!U11</x:f>
        <x:v>0</x:v>
      </x:c>
      <x:c r="M11" t="str">
        <x:f>IF(COUNTA(B11:I11)&gt;=7,"Ready","Missing")</x:f>
        <x:v>Ready</x:v>
      </x:c>
    </x:row>
    <x:row r="12">
      <x:c r="A12" t="str">
        <x:f>IPO_Data_Collection!B12</x:f>
        <x:v>All Time Plastics Ltd</x:v>
      </x:c>
      <x:c r="B12" t="n">
        <x:f>IPO_Data_Collection!D12</x:f>
        <x:v>0</x:v>
      </x:c>
      <x:c r="C12" t="n">
        <x:f>IPO_Data_Collection!E12</x:f>
        <x:v>0</x:v>
      </x:c>
      <x:c r="D12" t="n">
        <x:f>IPO_Data_Collection!F12</x:f>
        <x:v>0</x:v>
      </x:c>
      <x:c r="E12" t="n">
        <x:f>IPO_Data_Collection!G12</x:f>
        <x:v>0</x:v>
      </x:c>
      <x:c r="F12" t="str">
        <x:f>IFERROR(B12/D12,"")</x:f>
      </x:c>
      <x:c r="G12" t="n">
        <x:f>IPO_Data_Collection!J12</x:f>
        <x:v>0</x:v>
      </x:c>
      <x:c r="H12" t="n">
        <x:f>IPO_Data_Collection!K12</x:f>
        <x:v>0</x:v>
      </x:c>
      <x:c r="I12" t="n">
        <x:f>IPO_Data_Collection!Q12</x:f>
        <x:v>0</x:v>
      </x:c>
      <x:c r="J12" t="n">
        <x:f>IPO_Data_Collection!S12</x:f>
        <x:v>0</x:v>
      </x:c>
      <x:c r="K12" t="n">
        <x:f>IPO_Data_Collection!T12</x:f>
        <x:v>0</x:v>
      </x:c>
      <x:c r="L12" t="n">
        <x:f>IPO_Data_Collection!U12</x:f>
        <x:v>0</x:v>
      </x:c>
      <x:c r="M12" t="str">
        <x:f>IF(COUNTA(B12:I12)&gt;=7,"Ready","Missing")</x:f>
        <x:v>Ready</x:v>
      </x:c>
    </x:row>
    <x:row r="13">
      <x:c r="A13" t="str">
        <x:f>IPO_Data_Collection!B13</x:f>
        <x:v>Amagi Media Labs Ltd</x:v>
      </x:c>
      <x:c r="B13" t="n">
        <x:f>IPO_Data_Collection!D13</x:f>
        <x:v>0</x:v>
      </x:c>
      <x:c r="C13" t="n">
        <x:f>IPO_Data_Collection!E13</x:f>
        <x:v>0</x:v>
      </x:c>
      <x:c r="D13" t="n">
        <x:f>IPO_Data_Collection!F13</x:f>
        <x:v>0</x:v>
      </x:c>
      <x:c r="E13" t="n">
        <x:f>IPO_Data_Collection!G13</x:f>
        <x:v>0</x:v>
      </x:c>
      <x:c r="F13" t="str">
        <x:f>IFERROR(B13/D13,"")</x:f>
      </x:c>
      <x:c r="G13" t="n">
        <x:f>IPO_Data_Collection!J13</x:f>
        <x:v>0</x:v>
      </x:c>
      <x:c r="H13" t="n">
        <x:f>IPO_Data_Collection!K13</x:f>
        <x:v>0</x:v>
      </x:c>
      <x:c r="I13" t="n">
        <x:f>IPO_Data_Collection!Q13</x:f>
        <x:v>0</x:v>
      </x:c>
      <x:c r="J13" t="n">
        <x:f>IPO_Data_Collection!S13</x:f>
        <x:v>0</x:v>
      </x:c>
      <x:c r="K13" t="n">
        <x:f>IPO_Data_Collection!T13</x:f>
        <x:v>0</x:v>
      </x:c>
      <x:c r="L13" t="n">
        <x:f>IPO_Data_Collection!U13</x:f>
        <x:v>0</x:v>
      </x:c>
      <x:c r="M13" t="str">
        <x:f>IF(COUNTA(B13:I13)&gt;=7,"Ready","Missing")</x:f>
        <x:v>Ready</x:v>
      </x:c>
    </x:row>
    <x:row r="14">
      <x:c r="A14" t="str">
        <x:f>IPO_Data_Collection!B14</x:f>
        <x:v>Amanta Healthcare Ltd</x:v>
      </x:c>
      <x:c r="B14" t="n">
        <x:f>IPO_Data_Collection!D14</x:f>
        <x:v>0</x:v>
      </x:c>
      <x:c r="C14" t="n">
        <x:f>IPO_Data_Collection!E14</x:f>
        <x:v>0</x:v>
      </x:c>
      <x:c r="D14" t="n">
        <x:f>IPO_Data_Collection!F14</x:f>
        <x:v>0</x:v>
      </x:c>
      <x:c r="E14" t="n">
        <x:f>IPO_Data_Collection!G14</x:f>
        <x:v>0</x:v>
      </x:c>
      <x:c r="F14" t="str">
        <x:f>IFERROR(B14/D14,"")</x:f>
      </x:c>
      <x:c r="G14" t="n">
        <x:f>IPO_Data_Collection!J14</x:f>
        <x:v>0</x:v>
      </x:c>
      <x:c r="H14" t="n">
        <x:f>IPO_Data_Collection!K14</x:f>
        <x:v>0</x:v>
      </x:c>
      <x:c r="I14" t="n">
        <x:f>IPO_Data_Collection!Q14</x:f>
        <x:v>0</x:v>
      </x:c>
      <x:c r="J14" t="n">
        <x:f>IPO_Data_Collection!S14</x:f>
        <x:v>0</x:v>
      </x:c>
      <x:c r="K14" t="n">
        <x:f>IPO_Data_Collection!T14</x:f>
        <x:v>0</x:v>
      </x:c>
      <x:c r="L14" t="n">
        <x:f>IPO_Data_Collection!U14</x:f>
        <x:v>0</x:v>
      </x:c>
      <x:c r="M14" t="str">
        <x:f>IF(COUNTA(B14:I14)&gt;=7,"Ready","Missing")</x:f>
        <x:v>Ready</x:v>
      </x:c>
    </x:row>
    <x:row r="15">
      <x:c r="A15" t="str">
        <x:f>IPO_Data_Collection!B15</x:f>
        <x:v>Ami Organics</x:v>
      </x:c>
      <x:c r="B15" t="n">
        <x:f>IPO_Data_Collection!D15</x:f>
        <x:v>0</x:v>
      </x:c>
      <x:c r="C15" t="n">
        <x:f>IPO_Data_Collection!E15</x:f>
        <x:v>0</x:v>
      </x:c>
      <x:c r="D15" t="n">
        <x:f>IPO_Data_Collection!F15</x:f>
        <x:v>0</x:v>
      </x:c>
      <x:c r="E15" t="n">
        <x:f>IPO_Data_Collection!G15</x:f>
        <x:v>0</x:v>
      </x:c>
      <x:c r="F15" t="str">
        <x:f>IFERROR(B15/D15,"")</x:f>
      </x:c>
      <x:c r="G15" t="n">
        <x:f>IPO_Data_Collection!J15</x:f>
        <x:v>0</x:v>
      </x:c>
      <x:c r="H15" t="n">
        <x:f>IPO_Data_Collection!K15</x:f>
        <x:v>0</x:v>
      </x:c>
      <x:c r="I15" t="n">
        <x:f>IPO_Data_Collection!Q15</x:f>
        <x:v>0</x:v>
      </x:c>
      <x:c r="J15" t="n">
        <x:f>IPO_Data_Collection!S15</x:f>
        <x:v>0</x:v>
      </x:c>
      <x:c r="K15" t="n">
        <x:f>IPO_Data_Collection!T15</x:f>
        <x:v>0</x:v>
      </x:c>
      <x:c r="L15" t="n">
        <x:f>IPO_Data_Collection!U15</x:f>
        <x:v>0</x:v>
      </x:c>
      <x:c r="M15" t="str">
        <x:f>IF(COUNTA(B15:I15)&gt;=7,"Ready","Missing")</x:f>
        <x:v>Ready</x:v>
      </x:c>
    </x:row>
    <x:row r="16">
      <x:c r="A16" t="str">
        <x:f>IPO_Data_Collection!B16</x:f>
        <x:v>Amir Chand Jagdish Kumar Exports Ltd</x:v>
      </x:c>
      <x:c r="B16" t="n">
        <x:f>IPO_Data_Collection!D16</x:f>
        <x:v>0</x:v>
      </x:c>
      <x:c r="C16" t="n">
        <x:f>IPO_Data_Collection!E16</x:f>
        <x:v>0</x:v>
      </x:c>
      <x:c r="D16" t="n">
        <x:f>IPO_Data_Collection!F16</x:f>
        <x:v>0</x:v>
      </x:c>
      <x:c r="E16" t="n">
        <x:f>IPO_Data_Collection!G16</x:f>
        <x:v>0</x:v>
      </x:c>
      <x:c r="F16" t="str">
        <x:f>IFERROR(B16/D16,"")</x:f>
      </x:c>
      <x:c r="G16" t="n">
        <x:f>IPO_Data_Collection!J16</x:f>
        <x:v>0</x:v>
      </x:c>
      <x:c r="H16" t="n">
        <x:f>IPO_Data_Collection!K16</x:f>
        <x:v>0</x:v>
      </x:c>
      <x:c r="I16" t="n">
        <x:f>IPO_Data_Collection!Q16</x:f>
        <x:v>0</x:v>
      </x:c>
      <x:c r="J16" t="n">
        <x:f>IPO_Data_Collection!S16</x:f>
        <x:v>0</x:v>
      </x:c>
      <x:c r="K16" t="n">
        <x:f>IPO_Data_Collection!T16</x:f>
        <x:v>0</x:v>
      </x:c>
      <x:c r="L16" t="n">
        <x:f>IPO_Data_Collection!U16</x:f>
        <x:v>0</x:v>
      </x:c>
      <x:c r="M16" t="str">
        <x:f>IF(COUNTA(B16:I16)&gt;=7,"Ready","Missing")</x:f>
        <x:v>Ready</x:v>
      </x:c>
    </x:row>
    <x:row r="17">
      <x:c r="A17" t="str">
        <x:f>IPO_Data_Collection!B17</x:f>
        <x:v>Anand Rathi Share and Stock Brokers Ltd</x:v>
      </x:c>
      <x:c r="B17" t="n">
        <x:f>IPO_Data_Collection!D17</x:f>
        <x:v>0</x:v>
      </x:c>
      <x:c r="C17" t="n">
        <x:f>IPO_Data_Collection!E17</x:f>
        <x:v>0</x:v>
      </x:c>
      <x:c r="D17" t="n">
        <x:f>IPO_Data_Collection!F17</x:f>
        <x:v>0</x:v>
      </x:c>
      <x:c r="E17" t="n">
        <x:f>IPO_Data_Collection!G17</x:f>
        <x:v>0</x:v>
      </x:c>
      <x:c r="F17" t="str">
        <x:f>IFERROR(B17/D17,"")</x:f>
      </x:c>
      <x:c r="G17" t="n">
        <x:f>IPO_Data_Collection!J17</x:f>
        <x:v>0</x:v>
      </x:c>
      <x:c r="H17" t="n">
        <x:f>IPO_Data_Collection!K17</x:f>
        <x:v>0</x:v>
      </x:c>
      <x:c r="I17" t="n">
        <x:f>IPO_Data_Collection!Q17</x:f>
        <x:v>0</x:v>
      </x:c>
      <x:c r="J17" t="n">
        <x:f>IPO_Data_Collection!S17</x:f>
        <x:v>0</x:v>
      </x:c>
      <x:c r="K17" t="n">
        <x:f>IPO_Data_Collection!T17</x:f>
        <x:v>0</x:v>
      </x:c>
      <x:c r="L17" t="n">
        <x:f>IPO_Data_Collection!U17</x:f>
        <x:v>0</x:v>
      </x:c>
      <x:c r="M17" t="str">
        <x:f>IF(COUNTA(B17:I17)&gt;=7,"Ready","Missing")</x:f>
        <x:v>Ready</x:v>
      </x:c>
    </x:row>
    <x:row r="18">
      <x:c r="A18" t="str">
        <x:f>IPO_Data_Collection!B18</x:f>
        <x:v>Anand Rathi Wealth</x:v>
      </x:c>
      <x:c r="B18" t="n">
        <x:f>IPO_Data_Collection!D18</x:f>
        <x:v>0</x:v>
      </x:c>
      <x:c r="C18" t="n">
        <x:f>IPO_Data_Collection!E18</x:f>
        <x:v>0</x:v>
      </x:c>
      <x:c r="D18" t="n">
        <x:f>IPO_Data_Collection!F18</x:f>
        <x:v>0</x:v>
      </x:c>
      <x:c r="E18" t="n">
        <x:f>IPO_Data_Collection!G18</x:f>
        <x:v>0</x:v>
      </x:c>
      <x:c r="F18" t="str">
        <x:f>IFERROR(B18/D18,"")</x:f>
      </x:c>
      <x:c r="G18" t="n">
        <x:f>IPO_Data_Collection!J18</x:f>
        <x:v>0</x:v>
      </x:c>
      <x:c r="H18" t="n">
        <x:f>IPO_Data_Collection!K18</x:f>
        <x:v>0</x:v>
      </x:c>
      <x:c r="I18" t="n">
        <x:f>IPO_Data_Collection!Q18</x:f>
        <x:v>0</x:v>
      </x:c>
      <x:c r="J18" t="n">
        <x:f>IPO_Data_Collection!S18</x:f>
        <x:v>0</x:v>
      </x:c>
      <x:c r="K18" t="n">
        <x:f>IPO_Data_Collection!T18</x:f>
        <x:v>0</x:v>
      </x:c>
      <x:c r="L18" t="n">
        <x:f>IPO_Data_Collection!U18</x:f>
        <x:v>0</x:v>
      </x:c>
      <x:c r="M18" t="str">
        <x:f>IF(COUNTA(B18:I18)&gt;=7,"Ready","Missing")</x:f>
        <x:v>Ready</x:v>
      </x:c>
    </x:row>
    <x:row r="19">
      <x:c r="A19" t="str">
        <x:f>IPO_Data_Collection!B19</x:f>
        <x:v>Angel Broking</x:v>
      </x:c>
      <x:c r="B19" t="n">
        <x:f>IPO_Data_Collection!D19</x:f>
        <x:v>0</x:v>
      </x:c>
      <x:c r="C19" t="n">
        <x:f>IPO_Data_Collection!E19</x:f>
        <x:v>0</x:v>
      </x:c>
      <x:c r="D19" t="n">
        <x:f>IPO_Data_Collection!F19</x:f>
        <x:v>0</x:v>
      </x:c>
      <x:c r="E19" t="n">
        <x:f>IPO_Data_Collection!G19</x:f>
        <x:v>0</x:v>
      </x:c>
      <x:c r="F19" t="str">
        <x:f>IFERROR(B19/D19,"")</x:f>
      </x:c>
      <x:c r="G19" t="n">
        <x:f>IPO_Data_Collection!J19</x:f>
        <x:v>0</x:v>
      </x:c>
      <x:c r="H19" t="n">
        <x:f>IPO_Data_Collection!K19</x:f>
        <x:v>0</x:v>
      </x:c>
      <x:c r="I19" t="n">
        <x:f>IPO_Data_Collection!Q19</x:f>
        <x:v>0</x:v>
      </x:c>
      <x:c r="J19" t="n">
        <x:f>IPO_Data_Collection!S19</x:f>
        <x:v>0</x:v>
      </x:c>
      <x:c r="K19" t="n">
        <x:f>IPO_Data_Collection!T19</x:f>
        <x:v>0</x:v>
      </x:c>
      <x:c r="L19" t="n">
        <x:f>IPO_Data_Collection!U19</x:f>
        <x:v>0</x:v>
      </x:c>
      <x:c r="M19" t="str">
        <x:f>IF(COUNTA(B19:I19)&gt;=7,"Ready","Missing")</x:f>
        <x:v>Ready</x:v>
      </x:c>
    </x:row>
    <x:row r="20">
      <x:c r="A20" t="str">
        <x:f>IPO_Data_Collection!B20</x:f>
        <x:v>Anlon Healthcare Ltd</x:v>
      </x:c>
      <x:c r="B20" t="n">
        <x:f>IPO_Data_Collection!D20</x:f>
        <x:v>0</x:v>
      </x:c>
      <x:c r="C20" t="n">
        <x:f>IPO_Data_Collection!E20</x:f>
        <x:v>0</x:v>
      </x:c>
      <x:c r="D20" t="n">
        <x:f>IPO_Data_Collection!F20</x:f>
        <x:v>0</x:v>
      </x:c>
      <x:c r="E20" t="n">
        <x:f>IPO_Data_Collection!G20</x:f>
        <x:v>0</x:v>
      </x:c>
      <x:c r="F20" t="str">
        <x:f>IFERROR(B20/D20,"")</x:f>
      </x:c>
      <x:c r="G20" t="n">
        <x:f>IPO_Data_Collection!J20</x:f>
        <x:v>0</x:v>
      </x:c>
      <x:c r="H20" t="n">
        <x:f>IPO_Data_Collection!K20</x:f>
        <x:v>0</x:v>
      </x:c>
      <x:c r="I20" t="n">
        <x:f>IPO_Data_Collection!Q20</x:f>
        <x:v>0</x:v>
      </x:c>
      <x:c r="J20" t="n">
        <x:f>IPO_Data_Collection!S20</x:f>
        <x:v>0</x:v>
      </x:c>
      <x:c r="K20" t="n">
        <x:f>IPO_Data_Collection!T20</x:f>
        <x:v>0</x:v>
      </x:c>
      <x:c r="L20" t="n">
        <x:f>IPO_Data_Collection!U20</x:f>
        <x:v>0</x:v>
      </x:c>
      <x:c r="M20" t="str">
        <x:f>IF(COUNTA(B20:I20)&gt;=7,"Ready","Missing")</x:f>
        <x:v>Ready</x:v>
      </x:c>
    </x:row>
    <x:row r="21">
      <x:c r="A21" t="str">
        <x:f>IPO_Data_Collection!B21</x:f>
        <x:v>Anthem Biosciences Ltd</x:v>
      </x:c>
      <x:c r="B21" t="n">
        <x:f>IPO_Data_Collection!D21</x:f>
        <x:v>0</x:v>
      </x:c>
      <x:c r="C21" t="n">
        <x:f>IPO_Data_Collection!E21</x:f>
        <x:v>0</x:v>
      </x:c>
      <x:c r="D21" t="n">
        <x:f>IPO_Data_Collection!F21</x:f>
        <x:v>0</x:v>
      </x:c>
      <x:c r="E21" t="n">
        <x:f>IPO_Data_Collection!G21</x:f>
        <x:v>0</x:v>
      </x:c>
      <x:c r="F21" t="str">
        <x:f>IFERROR(B21/D21,"")</x:f>
      </x:c>
      <x:c r="G21" t="n">
        <x:f>IPO_Data_Collection!J21</x:f>
        <x:v>0</x:v>
      </x:c>
      <x:c r="H21" t="n">
        <x:f>IPO_Data_Collection!K21</x:f>
        <x:v>0</x:v>
      </x:c>
      <x:c r="I21" t="n">
        <x:f>IPO_Data_Collection!Q21</x:f>
        <x:v>0</x:v>
      </x:c>
      <x:c r="J21" t="n">
        <x:f>IPO_Data_Collection!S21</x:f>
        <x:v>0</x:v>
      </x:c>
      <x:c r="K21" t="n">
        <x:f>IPO_Data_Collection!T21</x:f>
        <x:v>0</x:v>
      </x:c>
      <x:c r="L21" t="n">
        <x:f>IPO_Data_Collection!U21</x:f>
        <x:v>0</x:v>
      </x:c>
      <x:c r="M21" t="str">
        <x:f>IF(COUNTA(B21:I21)&gt;=7,"Ready","Missing")</x:f>
        <x:v>Ready</x:v>
      </x:c>
    </x:row>
    <x:row r="22">
      <x:c r="A22" t="str">
        <x:f>IPO_Data_Collection!B22</x:f>
        <x:v>Antony Waste Handling Cell</x:v>
      </x:c>
      <x:c r="B22" t="n">
        <x:f>IPO_Data_Collection!D22</x:f>
        <x:v>0</x:v>
      </x:c>
      <x:c r="C22" t="n">
        <x:f>IPO_Data_Collection!E22</x:f>
        <x:v>0</x:v>
      </x:c>
      <x:c r="D22" t="n">
        <x:f>IPO_Data_Collection!F22</x:f>
        <x:v>0</x:v>
      </x:c>
      <x:c r="E22" t="n">
        <x:f>IPO_Data_Collection!G22</x:f>
        <x:v>0</x:v>
      </x:c>
      <x:c r="F22" t="str">
        <x:f>IFERROR(B22/D22,"")</x:f>
      </x:c>
      <x:c r="G22" t="n">
        <x:f>IPO_Data_Collection!J22</x:f>
        <x:v>0</x:v>
      </x:c>
      <x:c r="H22" t="n">
        <x:f>IPO_Data_Collection!K22</x:f>
        <x:v>0</x:v>
      </x:c>
      <x:c r="I22" t="n">
        <x:f>IPO_Data_Collection!Q22</x:f>
        <x:v>0</x:v>
      </x:c>
      <x:c r="J22" t="n">
        <x:f>IPO_Data_Collection!S22</x:f>
        <x:v>0</x:v>
      </x:c>
      <x:c r="K22" t="n">
        <x:f>IPO_Data_Collection!T22</x:f>
        <x:v>0</x:v>
      </x:c>
      <x:c r="L22" t="n">
        <x:f>IPO_Data_Collection!U22</x:f>
        <x:v>0</x:v>
      </x:c>
      <x:c r="M22" t="str">
        <x:f>IF(COUNTA(B22:I22)&gt;=7,"Ready","Missing")</x:f>
        <x:v>Ready</x:v>
      </x:c>
    </x:row>
    <x:row r="23">
      <x:c r="A23" t="str">
        <x:f>IPO_Data_Collection!B23</x:f>
        <x:v>Anupam Rasayan</x:v>
      </x:c>
      <x:c r="B23" t="n">
        <x:f>IPO_Data_Collection!D23</x:f>
        <x:v>0</x:v>
      </x:c>
      <x:c r="C23" t="n">
        <x:f>IPO_Data_Collection!E23</x:f>
        <x:v>0</x:v>
      </x:c>
      <x:c r="D23" t="n">
        <x:f>IPO_Data_Collection!F23</x:f>
        <x:v>0</x:v>
      </x:c>
      <x:c r="E23" t="n">
        <x:f>IPO_Data_Collection!G23</x:f>
        <x:v>0</x:v>
      </x:c>
      <x:c r="F23" t="str">
        <x:f>IFERROR(B23/D23,"")</x:f>
      </x:c>
      <x:c r="G23" t="n">
        <x:f>IPO_Data_Collection!J23</x:f>
        <x:v>0</x:v>
      </x:c>
      <x:c r="H23" t="n">
        <x:f>IPO_Data_Collection!K23</x:f>
        <x:v>0</x:v>
      </x:c>
      <x:c r="I23" t="n">
        <x:f>IPO_Data_Collection!Q23</x:f>
        <x:v>0</x:v>
      </x:c>
      <x:c r="J23" t="n">
        <x:f>IPO_Data_Collection!S23</x:f>
        <x:v>0</x:v>
      </x:c>
      <x:c r="K23" t="n">
        <x:f>IPO_Data_Collection!T23</x:f>
        <x:v>0</x:v>
      </x:c>
      <x:c r="L23" t="n">
        <x:f>IPO_Data_Collection!U23</x:f>
        <x:v>0</x:v>
      </x:c>
      <x:c r="M23" t="str">
        <x:f>IF(COUNTA(B23:I23)&gt;=7,"Ready","Missing")</x:f>
        <x:v>Ready</x:v>
      </x:c>
    </x:row>
    <x:row r="24">
      <x:c r="A24" t="str">
        <x:f>IPO_Data_Collection!B24</x:f>
        <x:v>Aptus Value Housing Finance</x:v>
      </x:c>
      <x:c r="B24" t="n">
        <x:f>IPO_Data_Collection!D24</x:f>
        <x:v>0</x:v>
      </x:c>
      <x:c r="C24" t="n">
        <x:f>IPO_Data_Collection!E24</x:f>
        <x:v>0</x:v>
      </x:c>
      <x:c r="D24" t="n">
        <x:f>IPO_Data_Collection!F24</x:f>
        <x:v>0</x:v>
      </x:c>
      <x:c r="E24" t="n">
        <x:f>IPO_Data_Collection!G24</x:f>
        <x:v>0</x:v>
      </x:c>
      <x:c r="F24" t="str">
        <x:f>IFERROR(B24/D24,"")</x:f>
      </x:c>
      <x:c r="G24" t="n">
        <x:f>IPO_Data_Collection!J24</x:f>
        <x:v>0</x:v>
      </x:c>
      <x:c r="H24" t="n">
        <x:f>IPO_Data_Collection!K24</x:f>
        <x:v>0</x:v>
      </x:c>
      <x:c r="I24" t="n">
        <x:f>IPO_Data_Collection!Q24</x:f>
        <x:v>0</x:v>
      </x:c>
      <x:c r="J24" t="n">
        <x:f>IPO_Data_Collection!S24</x:f>
        <x:v>0</x:v>
      </x:c>
      <x:c r="K24" t="n">
        <x:f>IPO_Data_Collection!T24</x:f>
        <x:v>0</x:v>
      </x:c>
      <x:c r="L24" t="n">
        <x:f>IPO_Data_Collection!U24</x:f>
        <x:v>0</x:v>
      </x:c>
      <x:c r="M24" t="str">
        <x:f>IF(COUNTA(B24:I24)&gt;=7,"Ready","Missing")</x:f>
        <x:v>Ready</x:v>
      </x:c>
    </x:row>
    <x:row r="25">
      <x:c r="A25" t="str">
        <x:f>IPO_Data_Collection!B25</x:f>
        <x:v>Archean Chemical</x:v>
      </x:c>
      <x:c r="B25" t="n">
        <x:f>IPO_Data_Collection!D25</x:f>
        <x:v>0</x:v>
      </x:c>
      <x:c r="C25" t="n">
        <x:f>IPO_Data_Collection!E25</x:f>
        <x:v>0</x:v>
      </x:c>
      <x:c r="D25" t="n">
        <x:f>IPO_Data_Collection!F25</x:f>
        <x:v>0</x:v>
      </x:c>
      <x:c r="E25" t="n">
        <x:f>IPO_Data_Collection!G25</x:f>
        <x:v>0</x:v>
      </x:c>
      <x:c r="F25" t="str">
        <x:f>IFERROR(B25/D25,"")</x:f>
      </x:c>
      <x:c r="G25" t="n">
        <x:f>IPO_Data_Collection!J25</x:f>
        <x:v>0</x:v>
      </x:c>
      <x:c r="H25" t="n">
        <x:f>IPO_Data_Collection!K25</x:f>
        <x:v>0</x:v>
      </x:c>
      <x:c r="I25" t="n">
        <x:f>IPO_Data_Collection!Q25</x:f>
        <x:v>0</x:v>
      </x:c>
      <x:c r="J25" t="n">
        <x:f>IPO_Data_Collection!S25</x:f>
        <x:v>0</x:v>
      </x:c>
      <x:c r="K25" t="n">
        <x:f>IPO_Data_Collection!T25</x:f>
        <x:v>0</x:v>
      </x:c>
      <x:c r="L25" t="n">
        <x:f>IPO_Data_Collection!U25</x:f>
        <x:v>0</x:v>
      </x:c>
      <x:c r="M25" t="str">
        <x:f>IF(COUNTA(B25:I25)&gt;=7,"Ready","Missing")</x:f>
        <x:v>Ready</x:v>
      </x:c>
    </x:row>
    <x:row r="26">
      <x:c r="A26" t="str">
        <x:f>IPO_Data_Collection!B26</x:f>
        <x:v>Arisinfra Solutions Limited</x:v>
      </x:c>
      <x:c r="B26" t="n">
        <x:f>IPO_Data_Collection!D26</x:f>
        <x:v>0</x:v>
      </x:c>
      <x:c r="C26" t="n">
        <x:f>IPO_Data_Collection!E26</x:f>
        <x:v>0</x:v>
      </x:c>
      <x:c r="D26" t="n">
        <x:f>IPO_Data_Collection!F26</x:f>
        <x:v>0</x:v>
      </x:c>
      <x:c r="E26" t="n">
        <x:f>IPO_Data_Collection!G26</x:f>
        <x:v>0</x:v>
      </x:c>
      <x:c r="F26" t="str">
        <x:f>IFERROR(B26/D26,"")</x:f>
      </x:c>
      <x:c r="G26" t="n">
        <x:f>IPO_Data_Collection!J26</x:f>
        <x:v>0</x:v>
      </x:c>
      <x:c r="H26" t="n">
        <x:f>IPO_Data_Collection!K26</x:f>
        <x:v>0</x:v>
      </x:c>
      <x:c r="I26" t="n">
        <x:f>IPO_Data_Collection!Q26</x:f>
        <x:v>0</x:v>
      </x:c>
      <x:c r="J26" t="n">
        <x:f>IPO_Data_Collection!S26</x:f>
        <x:v>0</x:v>
      </x:c>
      <x:c r="K26" t="n">
        <x:f>IPO_Data_Collection!T26</x:f>
        <x:v>0</x:v>
      </x:c>
      <x:c r="L26" t="n">
        <x:f>IPO_Data_Collection!U26</x:f>
        <x:v>0</x:v>
      </x:c>
      <x:c r="M26" t="str">
        <x:f>IF(COUNTA(B26:I26)&gt;=7,"Ready","Missing")</x:f>
        <x:v>Ready</x:v>
      </x:c>
    </x:row>
    <x:row r="27">
      <x:c r="A27" t="str">
        <x:f>IPO_Data_Collection!B27</x:f>
        <x:v>ASK Automotive</x:v>
      </x:c>
      <x:c r="B27" t="n">
        <x:f>IPO_Data_Collection!D27</x:f>
        <x:v>0</x:v>
      </x:c>
      <x:c r="C27" t="n">
        <x:f>IPO_Data_Collection!E27</x:f>
        <x:v>0</x:v>
      </x:c>
      <x:c r="D27" t="n">
        <x:f>IPO_Data_Collection!F27</x:f>
        <x:v>0</x:v>
      </x:c>
      <x:c r="E27" t="n">
        <x:f>IPO_Data_Collection!G27</x:f>
        <x:v>0</x:v>
      </x:c>
      <x:c r="F27" t="str">
        <x:f>IFERROR(B27/D27,"")</x:f>
      </x:c>
      <x:c r="G27" t="n">
        <x:f>IPO_Data_Collection!J27</x:f>
        <x:v>0</x:v>
      </x:c>
      <x:c r="H27" t="n">
        <x:f>IPO_Data_Collection!K27</x:f>
        <x:v>0</x:v>
      </x:c>
      <x:c r="I27" t="n">
        <x:f>IPO_Data_Collection!Q27</x:f>
        <x:v>0</x:v>
      </x:c>
      <x:c r="J27" t="n">
        <x:f>IPO_Data_Collection!S27</x:f>
        <x:v>0</x:v>
      </x:c>
      <x:c r="K27" t="n">
        <x:f>IPO_Data_Collection!T27</x:f>
        <x:v>0</x:v>
      </x:c>
      <x:c r="L27" t="n">
        <x:f>IPO_Data_Collection!U27</x:f>
        <x:v>0</x:v>
      </x:c>
      <x:c r="M27" t="str">
        <x:f>IF(COUNTA(B27:I27)&gt;=7,"Ready","Missing")</x:f>
        <x:v>Ready</x:v>
      </x:c>
    </x:row>
    <x:row r="28">
      <x:c r="A28" t="str">
        <x:f>IPO_Data_Collection!B28</x:f>
        <x:v>Ather Energy Limited</x:v>
      </x:c>
      <x:c r="B28" t="n">
        <x:f>IPO_Data_Collection!D28</x:f>
        <x:v>0</x:v>
      </x:c>
      <x:c r="C28" t="n">
        <x:f>IPO_Data_Collection!E28</x:f>
        <x:v>0</x:v>
      </x:c>
      <x:c r="D28" t="n">
        <x:f>IPO_Data_Collection!F28</x:f>
        <x:v>0</x:v>
      </x:c>
      <x:c r="E28" t="n">
        <x:f>IPO_Data_Collection!G28</x:f>
        <x:v>0</x:v>
      </x:c>
      <x:c r="F28" t="str">
        <x:f>IFERROR(B28/D28,"")</x:f>
      </x:c>
      <x:c r="G28" t="n">
        <x:f>IPO_Data_Collection!J28</x:f>
        <x:v>0</x:v>
      </x:c>
      <x:c r="H28" t="n">
        <x:f>IPO_Data_Collection!K28</x:f>
        <x:v>0</x:v>
      </x:c>
      <x:c r="I28" t="n">
        <x:f>IPO_Data_Collection!Q28</x:f>
        <x:v>0</x:v>
      </x:c>
      <x:c r="J28" t="n">
        <x:f>IPO_Data_Collection!S28</x:f>
        <x:v>0</x:v>
      </x:c>
      <x:c r="K28" t="n">
        <x:f>IPO_Data_Collection!T28</x:f>
        <x:v>0</x:v>
      </x:c>
      <x:c r="L28" t="n">
        <x:f>IPO_Data_Collection!U28</x:f>
        <x:v>0</x:v>
      </x:c>
      <x:c r="M28" t="str">
        <x:f>IF(COUNTA(B28:I28)&gt;=7,"Ready","Missing")</x:f>
        <x:v>Ready</x:v>
      </x:c>
    </x:row>
    <x:row r="29">
      <x:c r="A29" t="str">
        <x:f>IPO_Data_Collection!B29</x:f>
        <x:v>Atlanta Electricals Ltd</x:v>
      </x:c>
      <x:c r="B29" t="n">
        <x:f>IPO_Data_Collection!D29</x:f>
        <x:v>0</x:v>
      </x:c>
      <x:c r="C29" t="n">
        <x:f>IPO_Data_Collection!E29</x:f>
        <x:v>0</x:v>
      </x:c>
      <x:c r="D29" t="n">
        <x:f>IPO_Data_Collection!F29</x:f>
        <x:v>0</x:v>
      </x:c>
      <x:c r="E29" t="n">
        <x:f>IPO_Data_Collection!G29</x:f>
        <x:v>0</x:v>
      </x:c>
      <x:c r="F29" t="str">
        <x:f>IFERROR(B29/D29,"")</x:f>
      </x:c>
      <x:c r="G29" t="n">
        <x:f>IPO_Data_Collection!J29</x:f>
        <x:v>0</x:v>
      </x:c>
      <x:c r="H29" t="n">
        <x:f>IPO_Data_Collection!K29</x:f>
        <x:v>0</x:v>
      </x:c>
      <x:c r="I29" t="n">
        <x:f>IPO_Data_Collection!Q29</x:f>
        <x:v>0</x:v>
      </x:c>
      <x:c r="J29" t="n">
        <x:f>IPO_Data_Collection!S29</x:f>
        <x:v>0</x:v>
      </x:c>
      <x:c r="K29" t="n">
        <x:f>IPO_Data_Collection!T29</x:f>
        <x:v>0</x:v>
      </x:c>
      <x:c r="L29" t="n">
        <x:f>IPO_Data_Collection!U29</x:f>
        <x:v>0</x:v>
      </x:c>
      <x:c r="M29" t="str">
        <x:f>IF(COUNTA(B29:I29)&gt;=7,"Ready","Missing")</x:f>
        <x:v>Ready</x:v>
      </x:c>
    </x:row>
    <x:row r="30">
      <x:c r="A30" t="str">
        <x:f>IPO_Data_Collection!B30</x:f>
        <x:v>Avalon Technologies</x:v>
      </x:c>
      <x:c r="B30" t="n">
        <x:f>IPO_Data_Collection!D30</x:f>
        <x:v>0</x:v>
      </x:c>
      <x:c r="C30" t="n">
        <x:f>IPO_Data_Collection!E30</x:f>
        <x:v>0</x:v>
      </x:c>
      <x:c r="D30" t="n">
        <x:f>IPO_Data_Collection!F30</x:f>
        <x:v>0</x:v>
      </x:c>
      <x:c r="E30" t="n">
        <x:f>IPO_Data_Collection!G30</x:f>
        <x:v>0</x:v>
      </x:c>
      <x:c r="F30" t="str">
        <x:f>IFERROR(B30/D30,"")</x:f>
      </x:c>
      <x:c r="G30" t="n">
        <x:f>IPO_Data_Collection!J30</x:f>
        <x:v>0</x:v>
      </x:c>
      <x:c r="H30" t="n">
        <x:f>IPO_Data_Collection!K30</x:f>
        <x:v>0</x:v>
      </x:c>
      <x:c r="I30" t="n">
        <x:f>IPO_Data_Collection!Q30</x:f>
        <x:v>0</x:v>
      </x:c>
      <x:c r="J30" t="n">
        <x:f>IPO_Data_Collection!S30</x:f>
        <x:v>0</x:v>
      </x:c>
      <x:c r="K30" t="n">
        <x:f>IPO_Data_Collection!T30</x:f>
        <x:v>0</x:v>
      </x:c>
      <x:c r="L30" t="n">
        <x:f>IPO_Data_Collection!U30</x:f>
        <x:v>0</x:v>
      </x:c>
      <x:c r="M30" t="str">
        <x:f>IF(COUNTA(B30:I30)&gt;=7,"Ready","Missing")</x:f>
        <x:v>Ready</x:v>
      </x:c>
    </x:row>
    <x:row r="31">
      <x:c r="A31" t="str">
        <x:f>IPO_Data_Collection!B31</x:f>
        <x:v>Aye Finance Ltd</x:v>
      </x:c>
      <x:c r="B31" t="n">
        <x:f>IPO_Data_Collection!D31</x:f>
        <x:v>0</x:v>
      </x:c>
      <x:c r="C31" t="n">
        <x:f>IPO_Data_Collection!E31</x:f>
        <x:v>0</x:v>
      </x:c>
      <x:c r="D31" t="n">
        <x:f>IPO_Data_Collection!F31</x:f>
        <x:v>0</x:v>
      </x:c>
      <x:c r="E31" t="n">
        <x:f>IPO_Data_Collection!G31</x:f>
        <x:v>0</x:v>
      </x:c>
      <x:c r="F31" t="str">
        <x:f>IFERROR(B31/D31,"")</x:f>
      </x:c>
      <x:c r="G31" t="n">
        <x:f>IPO_Data_Collection!J31</x:f>
        <x:v>0</x:v>
      </x:c>
      <x:c r="H31" t="n">
        <x:f>IPO_Data_Collection!K31</x:f>
        <x:v>0</x:v>
      </x:c>
      <x:c r="I31" t="n">
        <x:f>IPO_Data_Collection!Q31</x:f>
        <x:v>0</x:v>
      </x:c>
      <x:c r="J31" t="n">
        <x:f>IPO_Data_Collection!S31</x:f>
        <x:v>0</x:v>
      </x:c>
      <x:c r="K31" t="n">
        <x:f>IPO_Data_Collection!T31</x:f>
        <x:v>0</x:v>
      </x:c>
      <x:c r="L31" t="n">
        <x:f>IPO_Data_Collection!U31</x:f>
        <x:v>0</x:v>
      </x:c>
      <x:c r="M31" t="str">
        <x:f>IF(COUNTA(B31:I31)&gt;=7,"Ready","Missing")</x:f>
        <x:v>Ready</x:v>
      </x:c>
    </x:row>
    <x:row r="32">
      <x:c r="A32" t="str">
        <x:f>IPO_Data_Collection!B32</x:f>
        <x:v>Azad Engineering</x:v>
      </x:c>
      <x:c r="B32" t="n">
        <x:f>IPO_Data_Collection!D32</x:f>
        <x:v>0</x:v>
      </x:c>
      <x:c r="C32" t="n">
        <x:f>IPO_Data_Collection!E32</x:f>
        <x:v>0</x:v>
      </x:c>
      <x:c r="D32" t="n">
        <x:f>IPO_Data_Collection!F32</x:f>
        <x:v>0</x:v>
      </x:c>
      <x:c r="E32" t="n">
        <x:f>IPO_Data_Collection!G32</x:f>
        <x:v>0</x:v>
      </x:c>
      <x:c r="F32" t="str">
        <x:f>IFERROR(B32/D32,"")</x:f>
      </x:c>
      <x:c r="G32" t="n">
        <x:f>IPO_Data_Collection!J32</x:f>
        <x:v>0</x:v>
      </x:c>
      <x:c r="H32" t="n">
        <x:f>IPO_Data_Collection!K32</x:f>
        <x:v>0</x:v>
      </x:c>
      <x:c r="I32" t="n">
        <x:f>IPO_Data_Collection!Q32</x:f>
        <x:v>0</x:v>
      </x:c>
      <x:c r="J32" t="n">
        <x:f>IPO_Data_Collection!S32</x:f>
        <x:v>0</x:v>
      </x:c>
      <x:c r="K32" t="n">
        <x:f>IPO_Data_Collection!T32</x:f>
        <x:v>0</x:v>
      </x:c>
      <x:c r="L32" t="n">
        <x:f>IPO_Data_Collection!U32</x:f>
        <x:v>0</x:v>
      </x:c>
      <x:c r="M32" t="str">
        <x:f>IF(COUNTA(B32:I32)&gt;=7,"Ready","Missing")</x:f>
        <x:v>Ready</x:v>
      </x:c>
    </x:row>
    <x:row r="33">
      <x:c r="A33" t="str">
        <x:f>IPO_Data_Collection!B33</x:f>
        <x:v>BLS E-Services</x:v>
      </x:c>
      <x:c r="B33" t="n">
        <x:f>IPO_Data_Collection!D33</x:f>
        <x:v>0</x:v>
      </x:c>
      <x:c r="C33" t="n">
        <x:f>IPO_Data_Collection!E33</x:f>
        <x:v>0</x:v>
      </x:c>
      <x:c r="D33" t="n">
        <x:f>IPO_Data_Collection!F33</x:f>
        <x:v>0</x:v>
      </x:c>
      <x:c r="E33" t="n">
        <x:f>IPO_Data_Collection!G33</x:f>
        <x:v>0</x:v>
      </x:c>
      <x:c r="F33" t="str">
        <x:f>IFERROR(B33/D33,"")</x:f>
      </x:c>
      <x:c r="G33" t="n">
        <x:f>IPO_Data_Collection!J33</x:f>
        <x:v>0</x:v>
      </x:c>
      <x:c r="H33" t="n">
        <x:f>IPO_Data_Collection!K33</x:f>
        <x:v>0</x:v>
      </x:c>
      <x:c r="I33" t="n">
        <x:f>IPO_Data_Collection!Q33</x:f>
        <x:v>0</x:v>
      </x:c>
      <x:c r="J33" t="n">
        <x:f>IPO_Data_Collection!S33</x:f>
        <x:v>0</x:v>
      </x:c>
      <x:c r="K33" t="n">
        <x:f>IPO_Data_Collection!T33</x:f>
        <x:v>0</x:v>
      </x:c>
      <x:c r="L33" t="n">
        <x:f>IPO_Data_Collection!U33</x:f>
        <x:v>0</x:v>
      </x:c>
      <x:c r="M33" t="str">
        <x:f>IF(COUNTA(B33:I33)&gt;=7,"Ready","Missing")</x:f>
        <x:v>Ready</x:v>
      </x:c>
    </x:row>
    <x:row r="34">
      <x:c r="A34" t="str">
        <x:f>IPO_Data_Collection!B34</x:f>
        <x:v>BMW Ventures Ltd</x:v>
      </x:c>
      <x:c r="B34" t="n">
        <x:f>IPO_Data_Collection!D34</x:f>
        <x:v>0</x:v>
      </x:c>
      <x:c r="C34" t="n">
        <x:f>IPO_Data_Collection!E34</x:f>
        <x:v>0</x:v>
      </x:c>
      <x:c r="D34" t="n">
        <x:f>IPO_Data_Collection!F34</x:f>
        <x:v>0</x:v>
      </x:c>
      <x:c r="E34" t="n">
        <x:f>IPO_Data_Collection!G34</x:f>
        <x:v>0</x:v>
      </x:c>
      <x:c r="F34" t="str">
        <x:f>IFERROR(B34/D34,"")</x:f>
      </x:c>
      <x:c r="G34" t="n">
        <x:f>IPO_Data_Collection!J34</x:f>
        <x:v>0</x:v>
      </x:c>
      <x:c r="H34" t="n">
        <x:f>IPO_Data_Collection!K34</x:f>
        <x:v>0</x:v>
      </x:c>
      <x:c r="I34" t="n">
        <x:f>IPO_Data_Collection!Q34</x:f>
        <x:v>0</x:v>
      </x:c>
      <x:c r="J34" t="n">
        <x:f>IPO_Data_Collection!S34</x:f>
        <x:v>0</x:v>
      </x:c>
      <x:c r="K34" t="n">
        <x:f>IPO_Data_Collection!T34</x:f>
        <x:v>0</x:v>
      </x:c>
      <x:c r="L34" t="n">
        <x:f>IPO_Data_Collection!U34</x:f>
        <x:v>0</x:v>
      </x:c>
      <x:c r="M34" t="str">
        <x:f>IF(COUNTA(B34:I34)&gt;=7,"Ready","Missing")</x:f>
        <x:v>Ready</x:v>
      </x:c>
    </x:row>
    <x:row r="35">
      <x:c r="A35" t="str">
        <x:f>IPO_Data_Collection!B35</x:f>
        <x:v>Bagmane Prime Office REIT</x:v>
      </x:c>
      <x:c r="B35" t="n">
        <x:f>IPO_Data_Collection!D35</x:f>
        <x:v>0</x:v>
      </x:c>
      <x:c r="C35" t="n">
        <x:f>IPO_Data_Collection!E35</x:f>
        <x:v>0</x:v>
      </x:c>
      <x:c r="D35" t="n">
        <x:f>IPO_Data_Collection!F35</x:f>
        <x:v>0</x:v>
      </x:c>
      <x:c r="E35" t="n">
        <x:f>IPO_Data_Collection!G35</x:f>
        <x:v>0</x:v>
      </x:c>
      <x:c r="F35" t="str">
        <x:f>IFERROR(B35/D35,"")</x:f>
      </x:c>
      <x:c r="G35" t="n">
        <x:f>IPO_Data_Collection!J35</x:f>
        <x:v>0</x:v>
      </x:c>
      <x:c r="H35" t="n">
        <x:f>IPO_Data_Collection!K35</x:f>
        <x:v>0</x:v>
      </x:c>
      <x:c r="I35" t="n">
        <x:f>IPO_Data_Collection!Q35</x:f>
        <x:v>0</x:v>
      </x:c>
      <x:c r="J35" t="n">
        <x:f>IPO_Data_Collection!S35</x:f>
        <x:v>0</x:v>
      </x:c>
      <x:c r="K35" t="n">
        <x:f>IPO_Data_Collection!T35</x:f>
        <x:v>0</x:v>
      </x:c>
      <x:c r="L35" t="n">
        <x:f>IPO_Data_Collection!U35</x:f>
        <x:v>0</x:v>
      </x:c>
      <x:c r="M35" t="str">
        <x:f>IF(COUNTA(B35:I35)&gt;=7,"Ready","Missing")</x:f>
        <x:v>Ready</x:v>
      </x:c>
    </x:row>
    <x:row r="36">
      <x:c r="A36" t="str">
        <x:f>IPO_Data_Collection!B36</x:f>
        <x:v>Bansal Wire</x:v>
      </x:c>
      <x:c r="B36" t="n">
        <x:f>IPO_Data_Collection!D36</x:f>
        <x:v>0</x:v>
      </x:c>
      <x:c r="C36" t="n">
        <x:f>IPO_Data_Collection!E36</x:f>
        <x:v>0</x:v>
      </x:c>
      <x:c r="D36" t="n">
        <x:f>IPO_Data_Collection!F36</x:f>
        <x:v>0</x:v>
      </x:c>
      <x:c r="E36" t="n">
        <x:f>IPO_Data_Collection!G36</x:f>
        <x:v>0</x:v>
      </x:c>
      <x:c r="F36" t="str">
        <x:f>IFERROR(B36/D36,"")</x:f>
      </x:c>
      <x:c r="G36" t="n">
        <x:f>IPO_Data_Collection!J36</x:f>
        <x:v>0</x:v>
      </x:c>
      <x:c r="H36" t="n">
        <x:f>IPO_Data_Collection!K36</x:f>
        <x:v>0</x:v>
      </x:c>
      <x:c r="I36" t="n">
        <x:f>IPO_Data_Collection!Q36</x:f>
        <x:v>0</x:v>
      </x:c>
      <x:c r="J36" t="n">
        <x:f>IPO_Data_Collection!S36</x:f>
        <x:v>0</x:v>
      </x:c>
      <x:c r="K36" t="n">
        <x:f>IPO_Data_Collection!T36</x:f>
        <x:v>0</x:v>
      </x:c>
      <x:c r="L36" t="n">
        <x:f>IPO_Data_Collection!U36</x:f>
        <x:v>0</x:v>
      </x:c>
      <x:c r="M36" t="str">
        <x:f>IF(COUNTA(B36:I36)&gt;=7,"Ready","Missing")</x:f>
        <x:v>Ready</x:v>
      </x:c>
    </x:row>
    <x:row r="37">
      <x:c r="A37" t="str">
        <x:f>IPO_Data_Collection!B37</x:f>
        <x:v>Barbeque Nation</x:v>
      </x:c>
      <x:c r="B37" t="n">
        <x:f>IPO_Data_Collection!D37</x:f>
        <x:v>0</x:v>
      </x:c>
      <x:c r="C37" t="n">
        <x:f>IPO_Data_Collection!E37</x:f>
        <x:v>0</x:v>
      </x:c>
      <x:c r="D37" t="n">
        <x:f>IPO_Data_Collection!F37</x:f>
        <x:v>0</x:v>
      </x:c>
      <x:c r="E37" t="n">
        <x:f>IPO_Data_Collection!G37</x:f>
        <x:v>0</x:v>
      </x:c>
      <x:c r="F37" t="str">
        <x:f>IFERROR(B37/D37,"")</x:f>
      </x:c>
      <x:c r="G37" t="n">
        <x:f>IPO_Data_Collection!J37</x:f>
        <x:v>0</x:v>
      </x:c>
      <x:c r="H37" t="n">
        <x:f>IPO_Data_Collection!K37</x:f>
        <x:v>0</x:v>
      </x:c>
      <x:c r="I37" t="n">
        <x:f>IPO_Data_Collection!Q37</x:f>
        <x:v>0</x:v>
      </x:c>
      <x:c r="J37" t="n">
        <x:f>IPO_Data_Collection!S37</x:f>
        <x:v>0</x:v>
      </x:c>
      <x:c r="K37" t="n">
        <x:f>IPO_Data_Collection!T37</x:f>
        <x:v>0</x:v>
      </x:c>
      <x:c r="L37" t="n">
        <x:f>IPO_Data_Collection!U37</x:f>
        <x:v>0</x:v>
      </x:c>
      <x:c r="M37" t="str">
        <x:f>IF(COUNTA(B37:I37)&gt;=7,"Ready","Missing")</x:f>
        <x:v>Ready</x:v>
      </x:c>
    </x:row>
    <x:row r="38">
      <x:c r="A38" t="str">
        <x:f>IPO_Data_Collection!B38</x:f>
        <x:v>Belrise Industries Limited</x:v>
      </x:c>
      <x:c r="B38" t="n">
        <x:f>IPO_Data_Collection!D38</x:f>
        <x:v>0</x:v>
      </x:c>
      <x:c r="C38" t="n">
        <x:f>IPO_Data_Collection!E38</x:f>
        <x:v>0</x:v>
      </x:c>
      <x:c r="D38" t="n">
        <x:f>IPO_Data_Collection!F38</x:f>
        <x:v>0</x:v>
      </x:c>
      <x:c r="E38" t="n">
        <x:f>IPO_Data_Collection!G38</x:f>
        <x:v>0</x:v>
      </x:c>
      <x:c r="F38" t="str">
        <x:f>IFERROR(B38/D38,"")</x:f>
      </x:c>
      <x:c r="G38" t="n">
        <x:f>IPO_Data_Collection!J38</x:f>
        <x:v>0</x:v>
      </x:c>
      <x:c r="H38" t="n">
        <x:f>IPO_Data_Collection!K38</x:f>
        <x:v>0</x:v>
      </x:c>
      <x:c r="I38" t="n">
        <x:f>IPO_Data_Collection!Q38</x:f>
        <x:v>0</x:v>
      </x:c>
      <x:c r="J38" t="n">
        <x:f>IPO_Data_Collection!S38</x:f>
        <x:v>0</x:v>
      </x:c>
      <x:c r="K38" t="n">
        <x:f>IPO_Data_Collection!T38</x:f>
        <x:v>0</x:v>
      </x:c>
      <x:c r="L38" t="n">
        <x:f>IPO_Data_Collection!U38</x:f>
        <x:v>0</x:v>
      </x:c>
      <x:c r="M38" t="str">
        <x:f>IF(COUNTA(B38:I38)&gt;=7,"Ready","Missing")</x:f>
        <x:v>Ready</x:v>
      </x:c>
    </x:row>
    <x:row r="39">
      <x:c r="A39" t="str">
        <x:f>IPO_Data_Collection!B39</x:f>
        <x:v>Bharat Coking Coal Ltd</x:v>
      </x:c>
      <x:c r="B39" t="n">
        <x:f>IPO_Data_Collection!D39</x:f>
        <x:v>0</x:v>
      </x:c>
      <x:c r="C39" t="n">
        <x:f>IPO_Data_Collection!E39</x:f>
        <x:v>0</x:v>
      </x:c>
      <x:c r="D39" t="n">
        <x:f>IPO_Data_Collection!F39</x:f>
        <x:v>0</x:v>
      </x:c>
      <x:c r="E39" t="n">
        <x:f>IPO_Data_Collection!G39</x:f>
        <x:v>0</x:v>
      </x:c>
      <x:c r="F39" t="str">
        <x:f>IFERROR(B39/D39,"")</x:f>
      </x:c>
      <x:c r="G39" t="n">
        <x:f>IPO_Data_Collection!J39</x:f>
        <x:v>0</x:v>
      </x:c>
      <x:c r="H39" t="n">
        <x:f>IPO_Data_Collection!K39</x:f>
        <x:v>0</x:v>
      </x:c>
      <x:c r="I39" t="n">
        <x:f>IPO_Data_Collection!Q39</x:f>
        <x:v>0</x:v>
      </x:c>
      <x:c r="J39" t="n">
        <x:f>IPO_Data_Collection!S39</x:f>
        <x:v>0</x:v>
      </x:c>
      <x:c r="K39" t="n">
        <x:f>IPO_Data_Collection!T39</x:f>
        <x:v>0</x:v>
      </x:c>
      <x:c r="L39" t="n">
        <x:f>IPO_Data_Collection!U39</x:f>
        <x:v>0</x:v>
      </x:c>
      <x:c r="M39" t="str">
        <x:f>IF(COUNTA(B39:I39)&gt;=7,"Ready","Missing")</x:f>
        <x:v>Ready</x:v>
      </x:c>
    </x:row>
    <x:row r="40">
      <x:c r="A40" t="str">
        <x:f>IPO_Data_Collection!B40</x:f>
        <x:v>Bharti Hexacom</x:v>
      </x:c>
      <x:c r="B40" t="n">
        <x:f>IPO_Data_Collection!D40</x:f>
        <x:v>0</x:v>
      </x:c>
      <x:c r="C40" t="n">
        <x:f>IPO_Data_Collection!E40</x:f>
        <x:v>0</x:v>
      </x:c>
      <x:c r="D40" t="n">
        <x:f>IPO_Data_Collection!F40</x:f>
        <x:v>0</x:v>
      </x:c>
      <x:c r="E40" t="n">
        <x:f>IPO_Data_Collection!G40</x:f>
        <x:v>0</x:v>
      </x:c>
      <x:c r="F40" t="str">
        <x:f>IFERROR(B40/D40,"")</x:f>
      </x:c>
      <x:c r="G40" t="n">
        <x:f>IPO_Data_Collection!J40</x:f>
        <x:v>0</x:v>
      </x:c>
      <x:c r="H40" t="n">
        <x:f>IPO_Data_Collection!K40</x:f>
        <x:v>0</x:v>
      </x:c>
      <x:c r="I40" t="n">
        <x:f>IPO_Data_Collection!Q40</x:f>
        <x:v>0</x:v>
      </x:c>
      <x:c r="J40" t="n">
        <x:f>IPO_Data_Collection!S40</x:f>
        <x:v>0</x:v>
      </x:c>
      <x:c r="K40" t="n">
        <x:f>IPO_Data_Collection!T40</x:f>
        <x:v>0</x:v>
      </x:c>
      <x:c r="L40" t="n">
        <x:f>IPO_Data_Collection!U40</x:f>
        <x:v>0</x:v>
      </x:c>
      <x:c r="M40" t="str">
        <x:f>IF(COUNTA(B40:I40)&gt;=7,"Ready","Missing")</x:f>
        <x:v>Ready</x:v>
      </x:c>
    </x:row>
    <x:row r="41">
      <x:c r="A41" t="str">
        <x:f>IPO_Data_Collection!B41</x:f>
        <x:v>Bikaji Foods</x:v>
      </x:c>
      <x:c r="B41" t="n">
        <x:f>IPO_Data_Collection!D41</x:f>
        <x:v>0</x:v>
      </x:c>
      <x:c r="C41" t="n">
        <x:f>IPO_Data_Collection!E41</x:f>
        <x:v>0</x:v>
      </x:c>
      <x:c r="D41" t="n">
        <x:f>IPO_Data_Collection!F41</x:f>
        <x:v>0</x:v>
      </x:c>
      <x:c r="E41" t="n">
        <x:f>IPO_Data_Collection!G41</x:f>
        <x:v>0</x:v>
      </x:c>
      <x:c r="F41" t="str">
        <x:f>IFERROR(B41/D41,"")</x:f>
      </x:c>
      <x:c r="G41" t="n">
        <x:f>IPO_Data_Collection!J41</x:f>
        <x:v>0</x:v>
      </x:c>
      <x:c r="H41" t="n">
        <x:f>IPO_Data_Collection!K41</x:f>
        <x:v>0</x:v>
      </x:c>
      <x:c r="I41" t="n">
        <x:f>IPO_Data_Collection!Q41</x:f>
        <x:v>0</x:v>
      </x:c>
      <x:c r="J41" t="n">
        <x:f>IPO_Data_Collection!S41</x:f>
        <x:v>0</x:v>
      </x:c>
      <x:c r="K41" t="n">
        <x:f>IPO_Data_Collection!T41</x:f>
        <x:v>0</x:v>
      </x:c>
      <x:c r="L41" t="n">
        <x:f>IPO_Data_Collection!U41</x:f>
        <x:v>0</x:v>
      </x:c>
      <x:c r="M41" t="str">
        <x:f>IF(COUNTA(B41:I41)&gt;=7,"Ready","Missing")</x:f>
        <x:v>Ready</x:v>
      </x:c>
    </x:row>
    <x:row r="42">
      <x:c r="A42" t="str">
        <x:f>IPO_Data_Collection!B42</x:f>
        <x:v>Billionbrains Garage Ventures Ltd</x:v>
      </x:c>
      <x:c r="B42" t="n">
        <x:f>IPO_Data_Collection!D42</x:f>
        <x:v>0</x:v>
      </x:c>
      <x:c r="C42" t="n">
        <x:f>IPO_Data_Collection!E42</x:f>
        <x:v>0</x:v>
      </x:c>
      <x:c r="D42" t="n">
        <x:f>IPO_Data_Collection!F42</x:f>
        <x:v>0</x:v>
      </x:c>
      <x:c r="E42" t="n">
        <x:f>IPO_Data_Collection!G42</x:f>
        <x:v>0</x:v>
      </x:c>
      <x:c r="F42" t="str">
        <x:f>IFERROR(B42/D42,"")</x:f>
      </x:c>
      <x:c r="G42" t="n">
        <x:f>IPO_Data_Collection!J42</x:f>
        <x:v>0</x:v>
      </x:c>
      <x:c r="H42" t="n">
        <x:f>IPO_Data_Collection!K42</x:f>
        <x:v>0</x:v>
      </x:c>
      <x:c r="I42" t="n">
        <x:f>IPO_Data_Collection!Q42</x:f>
        <x:v>0</x:v>
      </x:c>
      <x:c r="J42" t="n">
        <x:f>IPO_Data_Collection!S42</x:f>
        <x:v>0</x:v>
      </x:c>
      <x:c r="K42" t="n">
        <x:f>IPO_Data_Collection!T42</x:f>
        <x:v>0</x:v>
      </x:c>
      <x:c r="L42" t="n">
        <x:f>IPO_Data_Collection!U42</x:f>
        <x:v>0</x:v>
      </x:c>
      <x:c r="M42" t="str">
        <x:f>IF(COUNTA(B42:I42)&gt;=7,"Ready","Missing")</x:f>
        <x:v>Ready</x:v>
      </x:c>
    </x:row>
    <x:row r="43">
      <x:c r="A43" t="str">
        <x:f>IPO_Data_Collection!B43</x:f>
        <x:v>BlueStone Jewellery and Lifestyle Ltd</x:v>
      </x:c>
      <x:c r="B43" t="n">
        <x:f>IPO_Data_Collection!D43</x:f>
        <x:v>0</x:v>
      </x:c>
      <x:c r="C43" t="n">
        <x:f>IPO_Data_Collection!E43</x:f>
        <x:v>0</x:v>
      </x:c>
      <x:c r="D43" t="n">
        <x:f>IPO_Data_Collection!F43</x:f>
        <x:v>0</x:v>
      </x:c>
      <x:c r="E43" t="n">
        <x:f>IPO_Data_Collection!G43</x:f>
        <x:v>0</x:v>
      </x:c>
      <x:c r="F43" t="str">
        <x:f>IFERROR(B43/D43,"")</x:f>
      </x:c>
      <x:c r="G43" t="n">
        <x:f>IPO_Data_Collection!J43</x:f>
        <x:v>0</x:v>
      </x:c>
      <x:c r="H43" t="n">
        <x:f>IPO_Data_Collection!K43</x:f>
        <x:v>0</x:v>
      </x:c>
      <x:c r="I43" t="n">
        <x:f>IPO_Data_Collection!Q43</x:f>
        <x:v>0</x:v>
      </x:c>
      <x:c r="J43" t="n">
        <x:f>IPO_Data_Collection!S43</x:f>
        <x:v>0</x:v>
      </x:c>
      <x:c r="K43" t="n">
        <x:f>IPO_Data_Collection!T43</x:f>
        <x:v>0</x:v>
      </x:c>
      <x:c r="L43" t="n">
        <x:f>IPO_Data_Collection!U43</x:f>
        <x:v>0</x:v>
      </x:c>
      <x:c r="M43" t="str">
        <x:f>IF(COUNTA(B43:I43)&gt;=7,"Ready","Missing")</x:f>
        <x:v>Ready</x:v>
      </x:c>
    </x:row>
    <x:row r="44">
      <x:c r="A44" t="str">
        <x:f>IPO_Data_Collection!B44</x:f>
        <x:v>Blue Jet Healthcare</x:v>
      </x:c>
      <x:c r="B44" t="n">
        <x:f>IPO_Data_Collection!D44</x:f>
        <x:v>0</x:v>
      </x:c>
      <x:c r="C44" t="n">
        <x:f>IPO_Data_Collection!E44</x:f>
        <x:v>0</x:v>
      </x:c>
      <x:c r="D44" t="n">
        <x:f>IPO_Data_Collection!F44</x:f>
        <x:v>0</x:v>
      </x:c>
      <x:c r="E44" t="n">
        <x:f>IPO_Data_Collection!G44</x:f>
        <x:v>0</x:v>
      </x:c>
      <x:c r="F44" t="str">
        <x:f>IFERROR(B44/D44,"")</x:f>
      </x:c>
      <x:c r="G44" t="n">
        <x:f>IPO_Data_Collection!J44</x:f>
        <x:v>0</x:v>
      </x:c>
      <x:c r="H44" t="n">
        <x:f>IPO_Data_Collection!K44</x:f>
        <x:v>0</x:v>
      </x:c>
      <x:c r="I44" t="n">
        <x:f>IPO_Data_Collection!Q44</x:f>
        <x:v>0</x:v>
      </x:c>
      <x:c r="J44" t="n">
        <x:f>IPO_Data_Collection!S44</x:f>
        <x:v>0</x:v>
      </x:c>
      <x:c r="K44" t="n">
        <x:f>IPO_Data_Collection!T44</x:f>
        <x:v>0</x:v>
      </x:c>
      <x:c r="L44" t="n">
        <x:f>IPO_Data_Collection!U44</x:f>
        <x:v>0</x:v>
      </x:c>
      <x:c r="M44" t="str">
        <x:f>IF(COUNTA(B44:I44)&gt;=7,"Ready","Missing")</x:f>
        <x:v>Ready</x:v>
      </x:c>
    </x:row>
    <x:row r="45">
      <x:c r="A45" t="str">
        <x:f>IPO_Data_Collection!B45</x:f>
        <x:v>Borana Weaves Limited</x:v>
      </x:c>
      <x:c r="B45" t="n">
        <x:f>IPO_Data_Collection!D45</x:f>
        <x:v>0</x:v>
      </x:c>
      <x:c r="C45" t="n">
        <x:f>IPO_Data_Collection!E45</x:f>
        <x:v>0</x:v>
      </x:c>
      <x:c r="D45" t="n">
        <x:f>IPO_Data_Collection!F45</x:f>
        <x:v>0</x:v>
      </x:c>
      <x:c r="E45" t="n">
        <x:f>IPO_Data_Collection!G45</x:f>
        <x:v>0</x:v>
      </x:c>
      <x:c r="F45" t="str">
        <x:f>IFERROR(B45/D45,"")</x:f>
      </x:c>
      <x:c r="G45" t="n">
        <x:f>IPO_Data_Collection!J45</x:f>
        <x:v>0</x:v>
      </x:c>
      <x:c r="H45" t="n">
        <x:f>IPO_Data_Collection!K45</x:f>
        <x:v>0</x:v>
      </x:c>
      <x:c r="I45" t="n">
        <x:f>IPO_Data_Collection!Q45</x:f>
        <x:v>0</x:v>
      </x:c>
      <x:c r="J45" t="n">
        <x:f>IPO_Data_Collection!S45</x:f>
        <x:v>0</x:v>
      </x:c>
      <x:c r="K45" t="n">
        <x:f>IPO_Data_Collection!T45</x:f>
        <x:v>0</x:v>
      </x:c>
      <x:c r="L45" t="n">
        <x:f>IPO_Data_Collection!U45</x:f>
        <x:v>0</x:v>
      </x:c>
      <x:c r="M45" t="str">
        <x:f>IF(COUNTA(B45:I45)&gt;=7,"Ready","Missing")</x:f>
        <x:v>Ready</x:v>
      </x:c>
    </x:row>
    <x:row r="46">
      <x:c r="A46" t="str">
        <x:f>IPO_Data_Collection!B46</x:f>
        <x:v>Brigade Hotel Ventures Ltd</x:v>
      </x:c>
      <x:c r="B46" t="n">
        <x:f>IPO_Data_Collection!D46</x:f>
        <x:v>0</x:v>
      </x:c>
      <x:c r="C46" t="n">
        <x:f>IPO_Data_Collection!E46</x:f>
        <x:v>0</x:v>
      </x:c>
      <x:c r="D46" t="n">
        <x:f>IPO_Data_Collection!F46</x:f>
        <x:v>0</x:v>
      </x:c>
      <x:c r="E46" t="n">
        <x:f>IPO_Data_Collection!G46</x:f>
        <x:v>0</x:v>
      </x:c>
      <x:c r="F46" t="str">
        <x:f>IFERROR(B46/D46,"")</x:f>
      </x:c>
      <x:c r="G46" t="n">
        <x:f>IPO_Data_Collection!J46</x:f>
        <x:v>0</x:v>
      </x:c>
      <x:c r="H46" t="n">
        <x:f>IPO_Data_Collection!K46</x:f>
        <x:v>0</x:v>
      </x:c>
      <x:c r="I46" t="n">
        <x:f>IPO_Data_Collection!Q46</x:f>
        <x:v>0</x:v>
      </x:c>
      <x:c r="J46" t="n">
        <x:f>IPO_Data_Collection!S46</x:f>
        <x:v>0</x:v>
      </x:c>
      <x:c r="K46" t="n">
        <x:f>IPO_Data_Collection!T46</x:f>
        <x:v>0</x:v>
      </x:c>
      <x:c r="L46" t="n">
        <x:f>IPO_Data_Collection!U46</x:f>
        <x:v>0</x:v>
      </x:c>
      <x:c r="M46" t="str">
        <x:f>IF(COUNTA(B46:I46)&gt;=7,"Ready","Missing")</x:f>
        <x:v>Ready</x:v>
      </x:c>
    </x:row>
    <x:row r="47">
      <x:c r="A47" t="str">
        <x:f>IPO_Data_Collection!B47</x:f>
        <x:v>Burger King</x:v>
      </x:c>
      <x:c r="B47" t="n">
        <x:f>IPO_Data_Collection!D47</x:f>
        <x:v>0</x:v>
      </x:c>
      <x:c r="C47" t="n">
        <x:f>IPO_Data_Collection!E47</x:f>
        <x:v>0</x:v>
      </x:c>
      <x:c r="D47" t="n">
        <x:f>IPO_Data_Collection!F47</x:f>
        <x:v>0</x:v>
      </x:c>
      <x:c r="E47" t="n">
        <x:f>IPO_Data_Collection!G47</x:f>
        <x:v>0</x:v>
      </x:c>
      <x:c r="F47" t="str">
        <x:f>IFERROR(B47/D47,"")</x:f>
      </x:c>
      <x:c r="G47" t="n">
        <x:f>IPO_Data_Collection!J47</x:f>
        <x:v>0</x:v>
      </x:c>
      <x:c r="H47" t="n">
        <x:f>IPO_Data_Collection!K47</x:f>
        <x:v>0</x:v>
      </x:c>
      <x:c r="I47" t="n">
        <x:f>IPO_Data_Collection!Q47</x:f>
        <x:v>0</x:v>
      </x:c>
      <x:c r="J47" t="n">
        <x:f>IPO_Data_Collection!S47</x:f>
        <x:v>0</x:v>
      </x:c>
      <x:c r="K47" t="n">
        <x:f>IPO_Data_Collection!T47</x:f>
        <x:v>0</x:v>
      </x:c>
      <x:c r="L47" t="n">
        <x:f>IPO_Data_Collection!U47</x:f>
        <x:v>0</x:v>
      </x:c>
      <x:c r="M47" t="str">
        <x:f>IF(COUNTA(B47:I47)&gt;=7,"Ready","Missing")</x:f>
        <x:v>Ready</x:v>
      </x:c>
    </x:row>
    <x:row r="48">
      <x:c r="A48" t="str">
        <x:f>IPO_Data_Collection!B48</x:f>
        <x:v>CAMS</x:v>
      </x:c>
      <x:c r="B48" t="n">
        <x:f>IPO_Data_Collection!D48</x:f>
        <x:v>0</x:v>
      </x:c>
      <x:c r="C48" t="n">
        <x:f>IPO_Data_Collection!E48</x:f>
        <x:v>0</x:v>
      </x:c>
      <x:c r="D48" t="n">
        <x:f>IPO_Data_Collection!F48</x:f>
        <x:v>0</x:v>
      </x:c>
      <x:c r="E48" t="n">
        <x:f>IPO_Data_Collection!G48</x:f>
        <x:v>0</x:v>
      </x:c>
      <x:c r="F48" t="str">
        <x:f>IFERROR(B48/D48,"")</x:f>
      </x:c>
      <x:c r="G48" t="n">
        <x:f>IPO_Data_Collection!J48</x:f>
        <x:v>0</x:v>
      </x:c>
      <x:c r="H48" t="n">
        <x:f>IPO_Data_Collection!K48</x:f>
        <x:v>0</x:v>
      </x:c>
      <x:c r="I48" t="n">
        <x:f>IPO_Data_Collection!Q48</x:f>
        <x:v>0</x:v>
      </x:c>
      <x:c r="J48" t="n">
        <x:f>IPO_Data_Collection!S48</x:f>
        <x:v>0</x:v>
      </x:c>
      <x:c r="K48" t="n">
        <x:f>IPO_Data_Collection!T48</x:f>
        <x:v>0</x:v>
      </x:c>
      <x:c r="L48" t="n">
        <x:f>IPO_Data_Collection!U48</x:f>
        <x:v>0</x:v>
      </x:c>
      <x:c r="M48" t="str">
        <x:f>IF(COUNTA(B48:I48)&gt;=7,"Ready","Missing")</x:f>
        <x:v>Ready</x:v>
      </x:c>
    </x:row>
    <x:row r="49">
      <x:c r="A49" t="str">
        <x:f>IPO_Data_Collection!B49</x:f>
        <x:v>CE Infosystems</x:v>
      </x:c>
      <x:c r="B49" t="n">
        <x:f>IPO_Data_Collection!D49</x:f>
        <x:v>0</x:v>
      </x:c>
      <x:c r="C49" t="n">
        <x:f>IPO_Data_Collection!E49</x:f>
        <x:v>0</x:v>
      </x:c>
      <x:c r="D49" t="n">
        <x:f>IPO_Data_Collection!F49</x:f>
        <x:v>0</x:v>
      </x:c>
      <x:c r="E49" t="n">
        <x:f>IPO_Data_Collection!G49</x:f>
        <x:v>0</x:v>
      </x:c>
      <x:c r="F49" t="str">
        <x:f>IFERROR(B49/D49,"")</x:f>
      </x:c>
      <x:c r="G49" t="n">
        <x:f>IPO_Data_Collection!J49</x:f>
        <x:v>0</x:v>
      </x:c>
      <x:c r="H49" t="n">
        <x:f>IPO_Data_Collection!K49</x:f>
        <x:v>0</x:v>
      </x:c>
      <x:c r="I49" t="n">
        <x:f>IPO_Data_Collection!Q49</x:f>
        <x:v>0</x:v>
      </x:c>
      <x:c r="J49" t="n">
        <x:f>IPO_Data_Collection!S49</x:f>
        <x:v>0</x:v>
      </x:c>
      <x:c r="K49" t="n">
        <x:f>IPO_Data_Collection!T49</x:f>
        <x:v>0</x:v>
      </x:c>
      <x:c r="L49" t="n">
        <x:f>IPO_Data_Collection!U49</x:f>
        <x:v>0</x:v>
      </x:c>
      <x:c r="M49" t="str">
        <x:f>IF(COUNTA(B49:I49)&gt;=7,"Ready","Missing")</x:f>
        <x:v>Ready</x:v>
      </x:c>
    </x:row>
    <x:row r="50">
      <x:c r="A50" t="str">
        <x:f>IPO_Data_Collection!B50</x:f>
        <x:v>CMS Infosystems</x:v>
      </x:c>
      <x:c r="B50" t="n">
        <x:f>IPO_Data_Collection!D50</x:f>
        <x:v>0</x:v>
      </x:c>
      <x:c r="C50" t="n">
        <x:f>IPO_Data_Collection!E50</x:f>
        <x:v>0</x:v>
      </x:c>
      <x:c r="D50" t="n">
        <x:f>IPO_Data_Collection!F50</x:f>
        <x:v>0</x:v>
      </x:c>
      <x:c r="E50" t="n">
        <x:f>IPO_Data_Collection!G50</x:f>
        <x:v>0</x:v>
      </x:c>
      <x:c r="F50" t="str">
        <x:f>IFERROR(B50/D50,"")</x:f>
      </x:c>
      <x:c r="G50" t="n">
        <x:f>IPO_Data_Collection!J50</x:f>
        <x:v>0</x:v>
      </x:c>
      <x:c r="H50" t="n">
        <x:f>IPO_Data_Collection!K50</x:f>
        <x:v>0</x:v>
      </x:c>
      <x:c r="I50" t="n">
        <x:f>IPO_Data_Collection!Q50</x:f>
        <x:v>0</x:v>
      </x:c>
      <x:c r="J50" t="n">
        <x:f>IPO_Data_Collection!S50</x:f>
        <x:v>0</x:v>
      </x:c>
      <x:c r="K50" t="n">
        <x:f>IPO_Data_Collection!T50</x:f>
        <x:v>0</x:v>
      </x:c>
      <x:c r="L50" t="n">
        <x:f>IPO_Data_Collection!U50</x:f>
        <x:v>0</x:v>
      </x:c>
      <x:c r="M50" t="str">
        <x:f>IF(COUNTA(B50:I50)&gt;=7,"Ready","Missing")</x:f>
        <x:v>Ready</x:v>
      </x:c>
    </x:row>
    <x:row r="51">
      <x:c r="A51" t="str">
        <x:f>IPO_Data_Collection!B51</x:f>
        <x:v>Campus Shoes</x:v>
      </x:c>
      <x:c r="B51" t="n">
        <x:f>IPO_Data_Collection!D51</x:f>
        <x:v>0</x:v>
      </x:c>
      <x:c r="C51" t="n">
        <x:f>IPO_Data_Collection!E51</x:f>
        <x:v>0</x:v>
      </x:c>
      <x:c r="D51" t="n">
        <x:f>IPO_Data_Collection!F51</x:f>
        <x:v>0</x:v>
      </x:c>
      <x:c r="E51" t="n">
        <x:f>IPO_Data_Collection!G51</x:f>
        <x:v>0</x:v>
      </x:c>
      <x:c r="F51" t="str">
        <x:f>IFERROR(B51/D51,"")</x:f>
      </x:c>
      <x:c r="G51" t="n">
        <x:f>IPO_Data_Collection!J51</x:f>
        <x:v>0</x:v>
      </x:c>
      <x:c r="H51" t="n">
        <x:f>IPO_Data_Collection!K51</x:f>
        <x:v>0</x:v>
      </x:c>
      <x:c r="I51" t="n">
        <x:f>IPO_Data_Collection!Q51</x:f>
        <x:v>0</x:v>
      </x:c>
      <x:c r="J51" t="n">
        <x:f>IPO_Data_Collection!S51</x:f>
        <x:v>0</x:v>
      </x:c>
      <x:c r="K51" t="n">
        <x:f>IPO_Data_Collection!T51</x:f>
        <x:v>0</x:v>
      </x:c>
      <x:c r="L51" t="n">
        <x:f>IPO_Data_Collection!U51</x:f>
        <x:v>0</x:v>
      </x:c>
      <x:c r="M51" t="str">
        <x:f>IF(COUNTA(B51:I51)&gt;=7,"Ready","Missing")</x:f>
        <x:v>Ready</x:v>
      </x:c>
    </x:row>
    <x:row r="52">
      <x:c r="A52" t="str">
        <x:f>IPO_Data_Collection!B52</x:f>
        <x:v>Canara HSBC Life Insurance Co Ltd</x:v>
      </x:c>
      <x:c r="B52" t="n">
        <x:f>IPO_Data_Collection!D52</x:f>
        <x:v>0</x:v>
      </x:c>
      <x:c r="C52" t="n">
        <x:f>IPO_Data_Collection!E52</x:f>
        <x:v>0</x:v>
      </x:c>
      <x:c r="D52" t="n">
        <x:f>IPO_Data_Collection!F52</x:f>
        <x:v>0</x:v>
      </x:c>
      <x:c r="E52" t="n">
        <x:f>IPO_Data_Collection!G52</x:f>
        <x:v>0</x:v>
      </x:c>
      <x:c r="F52" t="str">
        <x:f>IFERROR(B52/D52,"")</x:f>
      </x:c>
      <x:c r="G52" t="n">
        <x:f>IPO_Data_Collection!J52</x:f>
        <x:v>0</x:v>
      </x:c>
      <x:c r="H52" t="n">
        <x:f>IPO_Data_Collection!K52</x:f>
        <x:v>0</x:v>
      </x:c>
      <x:c r="I52" t="n">
        <x:f>IPO_Data_Collection!Q52</x:f>
        <x:v>0</x:v>
      </x:c>
      <x:c r="J52" t="n">
        <x:f>IPO_Data_Collection!S52</x:f>
        <x:v>0</x:v>
      </x:c>
      <x:c r="K52" t="n">
        <x:f>IPO_Data_Collection!T52</x:f>
        <x:v>0</x:v>
      </x:c>
      <x:c r="L52" t="n">
        <x:f>IPO_Data_Collection!U52</x:f>
        <x:v>0</x:v>
      </x:c>
      <x:c r="M52" t="str">
        <x:f>IF(COUNTA(B52:I52)&gt;=7,"Ready","Missing")</x:f>
        <x:v>Ready</x:v>
      </x:c>
    </x:row>
    <x:row r="53">
      <x:c r="A53" t="str">
        <x:f>IPO_Data_Collection!B53</x:f>
        <x:v>Canara Robeco Asset Management Co Ltd</x:v>
      </x:c>
      <x:c r="B53" t="n">
        <x:f>IPO_Data_Collection!D53</x:f>
        <x:v>0</x:v>
      </x:c>
      <x:c r="C53" t="n">
        <x:f>IPO_Data_Collection!E53</x:f>
        <x:v>0</x:v>
      </x:c>
      <x:c r="D53" t="n">
        <x:f>IPO_Data_Collection!F53</x:f>
        <x:v>0</x:v>
      </x:c>
      <x:c r="E53" t="n">
        <x:f>IPO_Data_Collection!G53</x:f>
        <x:v>0</x:v>
      </x:c>
      <x:c r="F53" t="str">
        <x:f>IFERROR(B53/D53,"")</x:f>
      </x:c>
      <x:c r="G53" t="n">
        <x:f>IPO_Data_Collection!J53</x:f>
        <x:v>0</x:v>
      </x:c>
      <x:c r="H53" t="n">
        <x:f>IPO_Data_Collection!K53</x:f>
        <x:v>0</x:v>
      </x:c>
      <x:c r="I53" t="n">
        <x:f>IPO_Data_Collection!Q53</x:f>
        <x:v>0</x:v>
      </x:c>
      <x:c r="J53" t="n">
        <x:f>IPO_Data_Collection!S53</x:f>
        <x:v>0</x:v>
      </x:c>
      <x:c r="K53" t="n">
        <x:f>IPO_Data_Collection!T53</x:f>
        <x:v>0</x:v>
      </x:c>
      <x:c r="L53" t="n">
        <x:f>IPO_Data_Collection!U53</x:f>
        <x:v>0</x:v>
      </x:c>
      <x:c r="M53" t="str">
        <x:f>IF(COUNTA(B53:I53)&gt;=7,"Ready","Missing")</x:f>
        <x:v>Ready</x:v>
      </x:c>
    </x:row>
    <x:row r="54">
      <x:c r="A54" t="str">
        <x:f>IPO_Data_Collection!B54</x:f>
        <x:v>Capillary Technologies India Ltd</x:v>
      </x:c>
      <x:c r="B54" t="n">
        <x:f>IPO_Data_Collection!D54</x:f>
        <x:v>0</x:v>
      </x:c>
      <x:c r="C54" t="n">
        <x:f>IPO_Data_Collection!E54</x:f>
        <x:v>0</x:v>
      </x:c>
      <x:c r="D54" t="n">
        <x:f>IPO_Data_Collection!F54</x:f>
        <x:v>0</x:v>
      </x:c>
      <x:c r="E54" t="n">
        <x:f>IPO_Data_Collection!G54</x:f>
        <x:v>0</x:v>
      </x:c>
      <x:c r="F54" t="str">
        <x:f>IFERROR(B54/D54,"")</x:f>
      </x:c>
      <x:c r="G54" t="n">
        <x:f>IPO_Data_Collection!J54</x:f>
        <x:v>0</x:v>
      </x:c>
      <x:c r="H54" t="n">
        <x:f>IPO_Data_Collection!K54</x:f>
        <x:v>0</x:v>
      </x:c>
      <x:c r="I54" t="n">
        <x:f>IPO_Data_Collection!Q54</x:f>
        <x:v>0</x:v>
      </x:c>
      <x:c r="J54" t="n">
        <x:f>IPO_Data_Collection!S54</x:f>
        <x:v>0</x:v>
      </x:c>
      <x:c r="K54" t="n">
        <x:f>IPO_Data_Collection!T54</x:f>
        <x:v>0</x:v>
      </x:c>
      <x:c r="L54" t="n">
        <x:f>IPO_Data_Collection!U54</x:f>
        <x:v>0</x:v>
      </x:c>
      <x:c r="M54" t="str">
        <x:f>IF(COUNTA(B54:I54)&gt;=7,"Ready","Missing")</x:f>
        <x:v>Ready</x:v>
      </x:c>
    </x:row>
    <x:row r="55">
      <x:c r="A55" t="str">
        <x:f>IPO_Data_Collection!B55</x:f>
        <x:v>CarTrade Tech</x:v>
      </x:c>
      <x:c r="B55" t="n">
        <x:f>IPO_Data_Collection!D55</x:f>
        <x:v>0</x:v>
      </x:c>
      <x:c r="C55" t="n">
        <x:f>IPO_Data_Collection!E55</x:f>
        <x:v>0</x:v>
      </x:c>
      <x:c r="D55" t="n">
        <x:f>IPO_Data_Collection!F55</x:f>
        <x:v>0</x:v>
      </x:c>
      <x:c r="E55" t="n">
        <x:f>IPO_Data_Collection!G55</x:f>
        <x:v>0</x:v>
      </x:c>
      <x:c r="F55" t="str">
        <x:f>IFERROR(B55/D55,"")</x:f>
      </x:c>
      <x:c r="G55" t="n">
        <x:f>IPO_Data_Collection!J55</x:f>
        <x:v>0</x:v>
      </x:c>
      <x:c r="H55" t="n">
        <x:f>IPO_Data_Collection!K55</x:f>
        <x:v>0</x:v>
      </x:c>
      <x:c r="I55" t="n">
        <x:f>IPO_Data_Collection!Q55</x:f>
        <x:v>0</x:v>
      </x:c>
      <x:c r="J55" t="n">
        <x:f>IPO_Data_Collection!S55</x:f>
        <x:v>0</x:v>
      </x:c>
      <x:c r="K55" t="n">
        <x:f>IPO_Data_Collection!T55</x:f>
        <x:v>0</x:v>
      </x:c>
      <x:c r="L55" t="n">
        <x:f>IPO_Data_Collection!U55</x:f>
        <x:v>0</x:v>
      </x:c>
      <x:c r="M55" t="str">
        <x:f>IF(COUNTA(B55:I55)&gt;=7,"Ready","Missing")</x:f>
        <x:v>Ready</x:v>
      </x:c>
    </x:row>
    <x:row r="56">
      <x:c r="A56" t="str">
        <x:f>IPO_Data_Collection!B56</x:f>
        <x:v>Carraro India</x:v>
      </x:c>
      <x:c r="B56" t="n">
        <x:f>IPO_Data_Collection!D56</x:f>
        <x:v>0</x:v>
      </x:c>
      <x:c r="C56" t="n">
        <x:f>IPO_Data_Collection!E56</x:f>
        <x:v>0</x:v>
      </x:c>
      <x:c r="D56" t="n">
        <x:f>IPO_Data_Collection!F56</x:f>
        <x:v>0</x:v>
      </x:c>
      <x:c r="E56" t="n">
        <x:f>IPO_Data_Collection!G56</x:f>
        <x:v>0</x:v>
      </x:c>
      <x:c r="F56" t="str">
        <x:f>IFERROR(B56/D56,"")</x:f>
      </x:c>
      <x:c r="G56" t="n">
        <x:f>IPO_Data_Collection!J56</x:f>
        <x:v>0</x:v>
      </x:c>
      <x:c r="H56" t="n">
        <x:f>IPO_Data_Collection!K56</x:f>
        <x:v>0</x:v>
      </x:c>
      <x:c r="I56" t="n">
        <x:f>IPO_Data_Collection!Q56</x:f>
        <x:v>0</x:v>
      </x:c>
      <x:c r="J56" t="n">
        <x:f>IPO_Data_Collection!S56</x:f>
        <x:v>0</x:v>
      </x:c>
      <x:c r="K56" t="n">
        <x:f>IPO_Data_Collection!T56</x:f>
        <x:v>0</x:v>
      </x:c>
      <x:c r="L56" t="n">
        <x:f>IPO_Data_Collection!U56</x:f>
        <x:v>0</x:v>
      </x:c>
      <x:c r="M56" t="str">
        <x:f>IF(COUNTA(B56:I56)&gt;=7,"Ready","Missing")</x:f>
        <x:v>Ready</x:v>
      </x:c>
    </x:row>
    <x:row r="57">
      <x:c r="A57" t="str">
        <x:f>IPO_Data_Collection!B57</x:f>
        <x:v>Cello World</x:v>
      </x:c>
      <x:c r="B57" t="n">
        <x:f>IPO_Data_Collection!D57</x:f>
        <x:v>0</x:v>
      </x:c>
      <x:c r="C57" t="n">
        <x:f>IPO_Data_Collection!E57</x:f>
        <x:v>0</x:v>
      </x:c>
      <x:c r="D57" t="n">
        <x:f>IPO_Data_Collection!F57</x:f>
        <x:v>0</x:v>
      </x:c>
      <x:c r="E57" t="n">
        <x:f>IPO_Data_Collection!G57</x:f>
        <x:v>0</x:v>
      </x:c>
      <x:c r="F57" t="str">
        <x:f>IFERROR(B57/D57,"")</x:f>
      </x:c>
      <x:c r="G57" t="n">
        <x:f>IPO_Data_Collection!J57</x:f>
        <x:v>0</x:v>
      </x:c>
      <x:c r="H57" t="n">
        <x:f>IPO_Data_Collection!K57</x:f>
        <x:v>0</x:v>
      </x:c>
      <x:c r="I57" t="n">
        <x:f>IPO_Data_Collection!Q57</x:f>
        <x:v>0</x:v>
      </x:c>
      <x:c r="J57" t="n">
        <x:f>IPO_Data_Collection!S57</x:f>
        <x:v>0</x:v>
      </x:c>
      <x:c r="K57" t="n">
        <x:f>IPO_Data_Collection!T57</x:f>
        <x:v>0</x:v>
      </x:c>
      <x:c r="L57" t="n">
        <x:f>IPO_Data_Collection!U57</x:f>
        <x:v>0</x:v>
      </x:c>
      <x:c r="M57" t="str">
        <x:f>IF(COUNTA(B57:I57)&gt;=7,"Ready","Missing")</x:f>
        <x:v>Ready</x:v>
      </x:c>
    </x:row>
    <x:row r="58">
      <x:c r="A58" t="str">
        <x:f>IPO_Data_Collection!B58</x:f>
        <x:v>Central Mine Planning and Design Institute</x:v>
      </x:c>
      <x:c r="B58" t="n">
        <x:f>IPO_Data_Collection!D58</x:f>
        <x:v>0</x:v>
      </x:c>
      <x:c r="C58" t="n">
        <x:f>IPO_Data_Collection!E58</x:f>
        <x:v>0</x:v>
      </x:c>
      <x:c r="D58" t="n">
        <x:f>IPO_Data_Collection!F58</x:f>
        <x:v>0</x:v>
      </x:c>
      <x:c r="E58" t="n">
        <x:f>IPO_Data_Collection!G58</x:f>
        <x:v>0</x:v>
      </x:c>
      <x:c r="F58" t="str">
        <x:f>IFERROR(B58/D58,"")</x:f>
      </x:c>
      <x:c r="G58" t="n">
        <x:f>IPO_Data_Collection!J58</x:f>
        <x:v>0</x:v>
      </x:c>
      <x:c r="H58" t="n">
        <x:f>IPO_Data_Collection!K58</x:f>
        <x:v>0</x:v>
      </x:c>
      <x:c r="I58" t="n">
        <x:f>IPO_Data_Collection!Q58</x:f>
        <x:v>0</x:v>
      </x:c>
      <x:c r="J58" t="n">
        <x:f>IPO_Data_Collection!S58</x:f>
        <x:v>0</x:v>
      </x:c>
      <x:c r="K58" t="n">
        <x:f>IPO_Data_Collection!T58</x:f>
        <x:v>0</x:v>
      </x:c>
      <x:c r="L58" t="n">
        <x:f>IPO_Data_Collection!U58</x:f>
        <x:v>0</x:v>
      </x:c>
      <x:c r="M58" t="str">
        <x:f>IF(COUNTA(B58:I58)&gt;=7,"Ready","Missing")</x:f>
        <x:v>Ready</x:v>
      </x:c>
    </x:row>
    <x:row r="59">
      <x:c r="A59" t="str">
        <x:f>IPO_Data_Collection!B59</x:f>
        <x:v>Chemplast Sanmar</x:v>
      </x:c>
      <x:c r="B59" t="n">
        <x:f>IPO_Data_Collection!D59</x:f>
        <x:v>0</x:v>
      </x:c>
      <x:c r="C59" t="n">
        <x:f>IPO_Data_Collection!E59</x:f>
        <x:v>0</x:v>
      </x:c>
      <x:c r="D59" t="n">
        <x:f>IPO_Data_Collection!F59</x:f>
        <x:v>0</x:v>
      </x:c>
      <x:c r="E59" t="n">
        <x:f>IPO_Data_Collection!G59</x:f>
        <x:v>0</x:v>
      </x:c>
      <x:c r="F59" t="str">
        <x:f>IFERROR(B59/D59,"")</x:f>
      </x:c>
      <x:c r="G59" t="n">
        <x:f>IPO_Data_Collection!J59</x:f>
        <x:v>0</x:v>
      </x:c>
      <x:c r="H59" t="n">
        <x:f>IPO_Data_Collection!K59</x:f>
        <x:v>0</x:v>
      </x:c>
      <x:c r="I59" t="n">
        <x:f>IPO_Data_Collection!Q59</x:f>
        <x:v>0</x:v>
      </x:c>
      <x:c r="J59" t="n">
        <x:f>IPO_Data_Collection!S59</x:f>
        <x:v>0</x:v>
      </x:c>
      <x:c r="K59" t="n">
        <x:f>IPO_Data_Collection!T59</x:f>
        <x:v>0</x:v>
      </x:c>
      <x:c r="L59" t="n">
        <x:f>IPO_Data_Collection!U59</x:f>
        <x:v>0</x:v>
      </x:c>
      <x:c r="M59" t="str">
        <x:f>IF(COUNTA(B59:I59)&gt;=7,"Ready","Missing")</x:f>
        <x:v>Ready</x:v>
      </x:c>
    </x:row>
    <x:row r="60">
      <x:c r="A60" t="str">
        <x:f>IPO_Data_Collection!B60</x:f>
        <x:v>Clean Max Enviro Energy Solutions Ltd</x:v>
      </x:c>
      <x:c r="B60" t="n">
        <x:f>IPO_Data_Collection!D60</x:f>
        <x:v>0</x:v>
      </x:c>
      <x:c r="C60" t="n">
        <x:f>IPO_Data_Collection!E60</x:f>
        <x:v>0</x:v>
      </x:c>
      <x:c r="D60" t="n">
        <x:f>IPO_Data_Collection!F60</x:f>
        <x:v>0</x:v>
      </x:c>
      <x:c r="E60" t="n">
        <x:f>IPO_Data_Collection!G60</x:f>
        <x:v>0</x:v>
      </x:c>
      <x:c r="F60" t="str">
        <x:f>IFERROR(B60/D60,"")</x:f>
      </x:c>
      <x:c r="G60" t="n">
        <x:f>IPO_Data_Collection!J60</x:f>
        <x:v>0</x:v>
      </x:c>
      <x:c r="H60" t="n">
        <x:f>IPO_Data_Collection!K60</x:f>
        <x:v>0</x:v>
      </x:c>
      <x:c r="I60" t="n">
        <x:f>IPO_Data_Collection!Q60</x:f>
        <x:v>0</x:v>
      </x:c>
      <x:c r="J60" t="n">
        <x:f>IPO_Data_Collection!S60</x:f>
        <x:v>0</x:v>
      </x:c>
      <x:c r="K60" t="n">
        <x:f>IPO_Data_Collection!T60</x:f>
        <x:v>0</x:v>
      </x:c>
      <x:c r="L60" t="n">
        <x:f>IPO_Data_Collection!U60</x:f>
        <x:v>0</x:v>
      </x:c>
      <x:c r="M60" t="str">
        <x:f>IF(COUNTA(B60:I60)&gt;=7,"Ready","Missing")</x:f>
        <x:v>Ready</x:v>
      </x:c>
    </x:row>
    <x:row r="61">
      <x:c r="A61" t="str">
        <x:f>IPO_Data_Collection!B61</x:f>
        <x:v>Clean Science And Technology</x:v>
      </x:c>
      <x:c r="B61" t="n">
        <x:f>IPO_Data_Collection!D61</x:f>
        <x:v>0</x:v>
      </x:c>
      <x:c r="C61" t="n">
        <x:f>IPO_Data_Collection!E61</x:f>
        <x:v>0</x:v>
      </x:c>
      <x:c r="D61" t="n">
        <x:f>IPO_Data_Collection!F61</x:f>
        <x:v>0</x:v>
      </x:c>
      <x:c r="E61" t="n">
        <x:f>IPO_Data_Collection!G61</x:f>
        <x:v>0</x:v>
      </x:c>
      <x:c r="F61" t="str">
        <x:f>IFERROR(B61/D61,"")</x:f>
      </x:c>
      <x:c r="G61" t="n">
        <x:f>IPO_Data_Collection!J61</x:f>
        <x:v>0</x:v>
      </x:c>
      <x:c r="H61" t="n">
        <x:f>IPO_Data_Collection!K61</x:f>
        <x:v>0</x:v>
      </x:c>
      <x:c r="I61" t="n">
        <x:f>IPO_Data_Collection!Q61</x:f>
        <x:v>0</x:v>
      </x:c>
      <x:c r="J61" t="n">
        <x:f>IPO_Data_Collection!S61</x:f>
        <x:v>0</x:v>
      </x:c>
      <x:c r="K61" t="n">
        <x:f>IPO_Data_Collection!T61</x:f>
        <x:v>0</x:v>
      </x:c>
      <x:c r="L61" t="n">
        <x:f>IPO_Data_Collection!U61</x:f>
        <x:v>0</x:v>
      </x:c>
      <x:c r="M61" t="str">
        <x:f>IF(COUNTA(B61:I61)&gt;=7,"Ready","Missing")</x:f>
        <x:v>Ready</x:v>
      </x:c>
    </x:row>
    <x:row r="62">
      <x:c r="A62" t="str">
        <x:f>IPO_Data_Collection!B62</x:f>
        <x:v>Concord Biotech</x:v>
      </x:c>
      <x:c r="B62" t="n">
        <x:f>IPO_Data_Collection!D62</x:f>
        <x:v>0</x:v>
      </x:c>
      <x:c r="C62" t="n">
        <x:f>IPO_Data_Collection!E62</x:f>
        <x:v>0</x:v>
      </x:c>
      <x:c r="D62" t="n">
        <x:f>IPO_Data_Collection!F62</x:f>
        <x:v>0</x:v>
      </x:c>
      <x:c r="E62" t="n">
        <x:f>IPO_Data_Collection!G62</x:f>
        <x:v>0</x:v>
      </x:c>
      <x:c r="F62" t="str">
        <x:f>IFERROR(B62/D62,"")</x:f>
      </x:c>
      <x:c r="G62" t="n">
        <x:f>IPO_Data_Collection!J62</x:f>
        <x:v>0</x:v>
      </x:c>
      <x:c r="H62" t="n">
        <x:f>IPO_Data_Collection!K62</x:f>
        <x:v>0</x:v>
      </x:c>
      <x:c r="I62" t="n">
        <x:f>IPO_Data_Collection!Q62</x:f>
        <x:v>0</x:v>
      </x:c>
      <x:c r="J62" t="n">
        <x:f>IPO_Data_Collection!S62</x:f>
        <x:v>0</x:v>
      </x:c>
      <x:c r="K62" t="n">
        <x:f>IPO_Data_Collection!T62</x:f>
        <x:v>0</x:v>
      </x:c>
      <x:c r="L62" t="n">
        <x:f>IPO_Data_Collection!U62</x:f>
        <x:v>0</x:v>
      </x:c>
      <x:c r="M62" t="str">
        <x:f>IF(COUNTA(B62:I62)&gt;=7,"Ready","Missing")</x:f>
        <x:v>Ready</x:v>
      </x:c>
    </x:row>
    <x:row r="63">
      <x:c r="A63" t="str">
        <x:f>IPO_Data_Collection!B63</x:f>
        <x:v>Corona Remedies Ltd</x:v>
      </x:c>
      <x:c r="B63" t="n">
        <x:f>IPO_Data_Collection!D63</x:f>
        <x:v>0</x:v>
      </x:c>
      <x:c r="C63" t="n">
        <x:f>IPO_Data_Collection!E63</x:f>
        <x:v>0</x:v>
      </x:c>
      <x:c r="D63" t="n">
        <x:f>IPO_Data_Collection!F63</x:f>
        <x:v>0</x:v>
      </x:c>
      <x:c r="E63" t="n">
        <x:f>IPO_Data_Collection!G63</x:f>
        <x:v>0</x:v>
      </x:c>
      <x:c r="F63" t="str">
        <x:f>IFERROR(B63/D63,"")</x:f>
      </x:c>
      <x:c r="G63" t="n">
        <x:f>IPO_Data_Collection!J63</x:f>
        <x:v>0</x:v>
      </x:c>
      <x:c r="H63" t="n">
        <x:f>IPO_Data_Collection!K63</x:f>
        <x:v>0</x:v>
      </x:c>
      <x:c r="I63" t="n">
        <x:f>IPO_Data_Collection!Q63</x:f>
        <x:v>0</x:v>
      </x:c>
      <x:c r="J63" t="n">
        <x:f>IPO_Data_Collection!S63</x:f>
        <x:v>0</x:v>
      </x:c>
      <x:c r="K63" t="n">
        <x:f>IPO_Data_Collection!T63</x:f>
        <x:v>0</x:v>
      </x:c>
      <x:c r="L63" t="n">
        <x:f>IPO_Data_Collection!U63</x:f>
        <x:v>0</x:v>
      </x:c>
      <x:c r="M63" t="str">
        <x:f>IF(COUNTA(B63:I63)&gt;=7,"Ready","Missing")</x:f>
        <x:v>Ready</x:v>
      </x:c>
    </x:row>
    <x:row r="64">
      <x:c r="A64" t="str">
        <x:f>IPO_Data_Collection!B64</x:f>
        <x:v>Craftsman Automation</x:v>
      </x:c>
      <x:c r="B64" t="n">
        <x:f>IPO_Data_Collection!D64</x:f>
        <x:v>0</x:v>
      </x:c>
      <x:c r="C64" t="n">
        <x:f>IPO_Data_Collection!E64</x:f>
        <x:v>0</x:v>
      </x:c>
      <x:c r="D64" t="n">
        <x:f>IPO_Data_Collection!F64</x:f>
        <x:v>0</x:v>
      </x:c>
      <x:c r="E64" t="n">
        <x:f>IPO_Data_Collection!G64</x:f>
        <x:v>0</x:v>
      </x:c>
      <x:c r="F64" t="str">
        <x:f>IFERROR(B64/D64,"")</x:f>
      </x:c>
      <x:c r="G64" t="n">
        <x:f>IPO_Data_Collection!J64</x:f>
        <x:v>0</x:v>
      </x:c>
      <x:c r="H64" t="n">
        <x:f>IPO_Data_Collection!K64</x:f>
        <x:v>0</x:v>
      </x:c>
      <x:c r="I64" t="n">
        <x:f>IPO_Data_Collection!Q64</x:f>
        <x:v>0</x:v>
      </x:c>
      <x:c r="J64" t="n">
        <x:f>IPO_Data_Collection!S64</x:f>
        <x:v>0</x:v>
      </x:c>
      <x:c r="K64" t="n">
        <x:f>IPO_Data_Collection!T64</x:f>
        <x:v>0</x:v>
      </x:c>
      <x:c r="L64" t="n">
        <x:f>IPO_Data_Collection!U64</x:f>
        <x:v>0</x:v>
      </x:c>
      <x:c r="M64" t="str">
        <x:f>IF(COUNTA(B64:I64)&gt;=7,"Ready","Missing")</x:f>
        <x:v>Ready</x:v>
      </x:c>
    </x:row>
    <x:row r="65">
      <x:c r="A65" t="str">
        <x:f>IPO_Data_Collection!B65</x:f>
        <x:v>Credo Brands</x:v>
      </x:c>
      <x:c r="B65" t="n">
        <x:f>IPO_Data_Collection!D65</x:f>
        <x:v>0</x:v>
      </x:c>
      <x:c r="C65" t="n">
        <x:f>IPO_Data_Collection!E65</x:f>
        <x:v>0</x:v>
      </x:c>
      <x:c r="D65" t="n">
        <x:f>IPO_Data_Collection!F65</x:f>
        <x:v>0</x:v>
      </x:c>
      <x:c r="E65" t="n">
        <x:f>IPO_Data_Collection!G65</x:f>
        <x:v>0</x:v>
      </x:c>
      <x:c r="F65" t="str">
        <x:f>IFERROR(B65/D65,"")</x:f>
      </x:c>
      <x:c r="G65" t="n">
        <x:f>IPO_Data_Collection!J65</x:f>
        <x:v>0</x:v>
      </x:c>
      <x:c r="H65" t="n">
        <x:f>IPO_Data_Collection!K65</x:f>
        <x:v>0</x:v>
      </x:c>
      <x:c r="I65" t="n">
        <x:f>IPO_Data_Collection!Q65</x:f>
        <x:v>0</x:v>
      </x:c>
      <x:c r="J65" t="n">
        <x:f>IPO_Data_Collection!S65</x:f>
        <x:v>0</x:v>
      </x:c>
      <x:c r="K65" t="n">
        <x:f>IPO_Data_Collection!T65</x:f>
        <x:v>0</x:v>
      </x:c>
      <x:c r="L65" t="n">
        <x:f>IPO_Data_Collection!U65</x:f>
        <x:v>0</x:v>
      </x:c>
      <x:c r="M65" t="str">
        <x:f>IF(COUNTA(B65:I65)&gt;=7,"Ready","Missing")</x:f>
        <x:v>Ready</x:v>
      </x:c>
    </x:row>
    <x:row r="66">
      <x:c r="A66" t="str">
        <x:f>IPO_Data_Collection!B66</x:f>
        <x:v>Crizac Limited</x:v>
      </x:c>
      <x:c r="B66" t="n">
        <x:f>IPO_Data_Collection!D66</x:f>
        <x:v>0</x:v>
      </x:c>
      <x:c r="C66" t="n">
        <x:f>IPO_Data_Collection!E66</x:f>
        <x:v>0</x:v>
      </x:c>
      <x:c r="D66" t="n">
        <x:f>IPO_Data_Collection!F66</x:f>
        <x:v>0</x:v>
      </x:c>
      <x:c r="E66" t="n">
        <x:f>IPO_Data_Collection!G66</x:f>
        <x:v>0</x:v>
      </x:c>
      <x:c r="F66" t="str">
        <x:f>IFERROR(B66/D66,"")</x:f>
      </x:c>
      <x:c r="G66" t="n">
        <x:f>IPO_Data_Collection!J66</x:f>
        <x:v>0</x:v>
      </x:c>
      <x:c r="H66" t="n">
        <x:f>IPO_Data_Collection!K66</x:f>
        <x:v>0</x:v>
      </x:c>
      <x:c r="I66" t="n">
        <x:f>IPO_Data_Collection!Q66</x:f>
        <x:v>0</x:v>
      </x:c>
      <x:c r="J66" t="n">
        <x:f>IPO_Data_Collection!S66</x:f>
        <x:v>0</x:v>
      </x:c>
      <x:c r="K66" t="n">
        <x:f>IPO_Data_Collection!T66</x:f>
        <x:v>0</x:v>
      </x:c>
      <x:c r="L66" t="n">
        <x:f>IPO_Data_Collection!U66</x:f>
        <x:v>0</x:v>
      </x:c>
      <x:c r="M66" t="str">
        <x:f>IF(COUNTA(B66:I66)&gt;=7,"Ready","Missing")</x:f>
        <x:v>Ready</x:v>
      </x:c>
    </x:row>
    <x:row r="67">
      <x:c r="A67" t="str">
        <x:f>IPO_Data_Collection!B67</x:f>
        <x:v>Cyient DLM</x:v>
      </x:c>
      <x:c r="B67" t="n">
        <x:f>IPO_Data_Collection!D67</x:f>
        <x:v>0</x:v>
      </x:c>
      <x:c r="C67" t="n">
        <x:f>IPO_Data_Collection!E67</x:f>
        <x:v>0</x:v>
      </x:c>
      <x:c r="D67" t="n">
        <x:f>IPO_Data_Collection!F67</x:f>
        <x:v>0</x:v>
      </x:c>
      <x:c r="E67" t="n">
        <x:f>IPO_Data_Collection!G67</x:f>
        <x:v>0</x:v>
      </x:c>
      <x:c r="F67" t="str">
        <x:f>IFERROR(B67/D67,"")</x:f>
      </x:c>
      <x:c r="G67" t="n">
        <x:f>IPO_Data_Collection!J67</x:f>
        <x:v>0</x:v>
      </x:c>
      <x:c r="H67" t="n">
        <x:f>IPO_Data_Collection!K67</x:f>
        <x:v>0</x:v>
      </x:c>
      <x:c r="I67" t="n">
        <x:f>IPO_Data_Collection!Q67</x:f>
        <x:v>0</x:v>
      </x:c>
      <x:c r="J67" t="n">
        <x:f>IPO_Data_Collection!S67</x:f>
        <x:v>0</x:v>
      </x:c>
      <x:c r="K67" t="n">
        <x:f>IPO_Data_Collection!T67</x:f>
        <x:v>0</x:v>
      </x:c>
      <x:c r="L67" t="n">
        <x:f>IPO_Data_Collection!U67</x:f>
        <x:v>0</x:v>
      </x:c>
      <x:c r="M67" t="str">
        <x:f>IF(COUNTA(B67:I67)&gt;=7,"Ready","Missing")</x:f>
        <x:v>Ready</x:v>
      </x:c>
    </x:row>
    <x:row r="68">
      <x:c r="A68" t="str">
        <x:f>IPO_Data_Collection!B68</x:f>
        <x:v>DCX Systems</x:v>
      </x:c>
      <x:c r="B68" t="n">
        <x:f>IPO_Data_Collection!D68</x:f>
        <x:v>0</x:v>
      </x:c>
      <x:c r="C68" t="n">
        <x:f>IPO_Data_Collection!E68</x:f>
        <x:v>0</x:v>
      </x:c>
      <x:c r="D68" t="n">
        <x:f>IPO_Data_Collection!F68</x:f>
        <x:v>0</x:v>
      </x:c>
      <x:c r="E68" t="n">
        <x:f>IPO_Data_Collection!G68</x:f>
        <x:v>0</x:v>
      </x:c>
      <x:c r="F68" t="str">
        <x:f>IFERROR(B68/D68,"")</x:f>
      </x:c>
      <x:c r="G68" t="n">
        <x:f>IPO_Data_Collection!J68</x:f>
        <x:v>0</x:v>
      </x:c>
      <x:c r="H68" t="n">
        <x:f>IPO_Data_Collection!K68</x:f>
        <x:v>0</x:v>
      </x:c>
      <x:c r="I68" t="n">
        <x:f>IPO_Data_Collection!Q68</x:f>
        <x:v>0</x:v>
      </x:c>
      <x:c r="J68" t="n">
        <x:f>IPO_Data_Collection!S68</x:f>
        <x:v>0</x:v>
      </x:c>
      <x:c r="K68" t="n">
        <x:f>IPO_Data_Collection!T68</x:f>
        <x:v>0</x:v>
      </x:c>
      <x:c r="L68" t="n">
        <x:f>IPO_Data_Collection!U68</x:f>
        <x:v>0</x:v>
      </x:c>
      <x:c r="M68" t="str">
        <x:f>IF(COUNTA(B68:I68)&gt;=7,"Ready","Missing")</x:f>
        <x:v>Ready</x:v>
      </x:c>
    </x:row>
    <x:row r="69">
      <x:c r="A69" t="str">
        <x:f>IPO_Data_Collection!B69</x:f>
        <x:v>DOMS Industries</x:v>
      </x:c>
      <x:c r="B69" t="n">
        <x:f>IPO_Data_Collection!D69</x:f>
        <x:v>0</x:v>
      </x:c>
      <x:c r="C69" t="n">
        <x:f>IPO_Data_Collection!E69</x:f>
        <x:v>0</x:v>
      </x:c>
      <x:c r="D69" t="n">
        <x:f>IPO_Data_Collection!F69</x:f>
        <x:v>0</x:v>
      </x:c>
      <x:c r="E69" t="n">
        <x:f>IPO_Data_Collection!G69</x:f>
        <x:v>0</x:v>
      </x:c>
      <x:c r="F69" t="str">
        <x:f>IFERROR(B69/D69,"")</x:f>
      </x:c>
      <x:c r="G69" t="n">
        <x:f>IPO_Data_Collection!J69</x:f>
        <x:v>0</x:v>
      </x:c>
      <x:c r="H69" t="n">
        <x:f>IPO_Data_Collection!K69</x:f>
        <x:v>0</x:v>
      </x:c>
      <x:c r="I69" t="n">
        <x:f>IPO_Data_Collection!Q69</x:f>
        <x:v>0</x:v>
      </x:c>
      <x:c r="J69" t="n">
        <x:f>IPO_Data_Collection!S69</x:f>
        <x:v>0</x:v>
      </x:c>
      <x:c r="K69" t="n">
        <x:f>IPO_Data_Collection!T69</x:f>
        <x:v>0</x:v>
      </x:c>
      <x:c r="L69" t="n">
        <x:f>IPO_Data_Collection!U69</x:f>
        <x:v>0</x:v>
      </x:c>
      <x:c r="M69" t="str">
        <x:f>IF(COUNTA(B69:I69)&gt;=7,"Ready","Missing")</x:f>
        <x:v>Ready</x:v>
      </x:c>
    </x:row>
    <x:row r="70">
      <x:c r="A70" t="str">
        <x:f>IPO_Data_Collection!B70</x:f>
        <x:v>Data Patterns</x:v>
      </x:c>
      <x:c r="B70" t="n">
        <x:f>IPO_Data_Collection!D70</x:f>
        <x:v>0</x:v>
      </x:c>
      <x:c r="C70" t="n">
        <x:f>IPO_Data_Collection!E70</x:f>
        <x:v>0</x:v>
      </x:c>
      <x:c r="D70" t="n">
        <x:f>IPO_Data_Collection!F70</x:f>
        <x:v>0</x:v>
      </x:c>
      <x:c r="E70" t="n">
        <x:f>IPO_Data_Collection!G70</x:f>
        <x:v>0</x:v>
      </x:c>
      <x:c r="F70" t="str">
        <x:f>IFERROR(B70/D70,"")</x:f>
      </x:c>
      <x:c r="G70" t="n">
        <x:f>IPO_Data_Collection!J70</x:f>
        <x:v>0</x:v>
      </x:c>
      <x:c r="H70" t="n">
        <x:f>IPO_Data_Collection!K70</x:f>
        <x:v>0</x:v>
      </x:c>
      <x:c r="I70" t="n">
        <x:f>IPO_Data_Collection!Q70</x:f>
        <x:v>0</x:v>
      </x:c>
      <x:c r="J70" t="n">
        <x:f>IPO_Data_Collection!S70</x:f>
        <x:v>0</x:v>
      </x:c>
      <x:c r="K70" t="n">
        <x:f>IPO_Data_Collection!T70</x:f>
        <x:v>0</x:v>
      </x:c>
      <x:c r="L70" t="n">
        <x:f>IPO_Data_Collection!U70</x:f>
        <x:v>0</x:v>
      </x:c>
      <x:c r="M70" t="str">
        <x:f>IF(COUNTA(B70:I70)&gt;=7,"Ready","Missing")</x:f>
        <x:v>Ready</x:v>
      </x:c>
    </x:row>
    <x:row r="71">
      <x:c r="A71" t="str">
        <x:f>IPO_Data_Collection!B71</x:f>
        <x:v>Delhivery</x:v>
      </x:c>
      <x:c r="B71" t="n">
        <x:f>IPO_Data_Collection!D71</x:f>
        <x:v>0</x:v>
      </x:c>
      <x:c r="C71" t="n">
        <x:f>IPO_Data_Collection!E71</x:f>
        <x:v>0</x:v>
      </x:c>
      <x:c r="D71" t="n">
        <x:f>IPO_Data_Collection!F71</x:f>
        <x:v>0</x:v>
      </x:c>
      <x:c r="E71" t="n">
        <x:f>IPO_Data_Collection!G71</x:f>
        <x:v>0</x:v>
      </x:c>
      <x:c r="F71" t="str">
        <x:f>IFERROR(B71/D71,"")</x:f>
      </x:c>
      <x:c r="G71" t="n">
        <x:f>IPO_Data_Collection!J71</x:f>
        <x:v>0</x:v>
      </x:c>
      <x:c r="H71" t="n">
        <x:f>IPO_Data_Collection!K71</x:f>
        <x:v>0</x:v>
      </x:c>
      <x:c r="I71" t="n">
        <x:f>IPO_Data_Collection!Q71</x:f>
        <x:v>0</x:v>
      </x:c>
      <x:c r="J71" t="n">
        <x:f>IPO_Data_Collection!S71</x:f>
        <x:v>0</x:v>
      </x:c>
      <x:c r="K71" t="n">
        <x:f>IPO_Data_Collection!T71</x:f>
        <x:v>0</x:v>
      </x:c>
      <x:c r="L71" t="n">
        <x:f>IPO_Data_Collection!U71</x:f>
        <x:v>0</x:v>
      </x:c>
      <x:c r="M71" t="str">
        <x:f>IF(COUNTA(B71:I71)&gt;=7,"Ready","Missing")</x:f>
        <x:v>Ready</x:v>
      </x:c>
    </x:row>
    <x:row r="72">
      <x:c r="A72" t="str">
        <x:f>IPO_Data_Collection!B72</x:f>
        <x:v>Dev Accelerator Ltd</x:v>
      </x:c>
      <x:c r="B72" t="n">
        <x:f>IPO_Data_Collection!D72</x:f>
        <x:v>0</x:v>
      </x:c>
      <x:c r="C72" t="n">
        <x:f>IPO_Data_Collection!E72</x:f>
        <x:v>0</x:v>
      </x:c>
      <x:c r="D72" t="n">
        <x:f>IPO_Data_Collection!F72</x:f>
        <x:v>0</x:v>
      </x:c>
      <x:c r="E72" t="n">
        <x:f>IPO_Data_Collection!G72</x:f>
        <x:v>0</x:v>
      </x:c>
      <x:c r="F72" t="str">
        <x:f>IFERROR(B72/D72,"")</x:f>
      </x:c>
      <x:c r="G72" t="n">
        <x:f>IPO_Data_Collection!J72</x:f>
        <x:v>0</x:v>
      </x:c>
      <x:c r="H72" t="n">
        <x:f>IPO_Data_Collection!K72</x:f>
        <x:v>0</x:v>
      </x:c>
      <x:c r="I72" t="n">
        <x:f>IPO_Data_Collection!Q72</x:f>
        <x:v>0</x:v>
      </x:c>
      <x:c r="J72" t="n">
        <x:f>IPO_Data_Collection!S72</x:f>
        <x:v>0</x:v>
      </x:c>
      <x:c r="K72" t="n">
        <x:f>IPO_Data_Collection!T72</x:f>
        <x:v>0</x:v>
      </x:c>
      <x:c r="L72" t="n">
        <x:f>IPO_Data_Collection!U72</x:f>
        <x:v>0</x:v>
      </x:c>
      <x:c r="M72" t="str">
        <x:f>IF(COUNTA(B72:I72)&gt;=7,"Ready","Missing")</x:f>
        <x:v>Ready</x:v>
      </x:c>
    </x:row>
    <x:row r="73">
      <x:c r="A73" t="str">
        <x:f>IPO_Data_Collection!B73</x:f>
        <x:v>Devyani International</x:v>
      </x:c>
      <x:c r="B73" t="n">
        <x:f>IPO_Data_Collection!D73</x:f>
        <x:v>0</x:v>
      </x:c>
      <x:c r="C73" t="n">
        <x:f>IPO_Data_Collection!E73</x:f>
        <x:v>0</x:v>
      </x:c>
      <x:c r="D73" t="n">
        <x:f>IPO_Data_Collection!F73</x:f>
        <x:v>0</x:v>
      </x:c>
      <x:c r="E73" t="n">
        <x:f>IPO_Data_Collection!G73</x:f>
        <x:v>0</x:v>
      </x:c>
      <x:c r="F73" t="str">
        <x:f>IFERROR(B73/D73,"")</x:f>
      </x:c>
      <x:c r="G73" t="n">
        <x:f>IPO_Data_Collection!J73</x:f>
        <x:v>0</x:v>
      </x:c>
      <x:c r="H73" t="n">
        <x:f>IPO_Data_Collection!K73</x:f>
        <x:v>0</x:v>
      </x:c>
      <x:c r="I73" t="n">
        <x:f>IPO_Data_Collection!Q73</x:f>
        <x:v>0</x:v>
      </x:c>
      <x:c r="J73" t="n">
        <x:f>IPO_Data_Collection!S73</x:f>
        <x:v>0</x:v>
      </x:c>
      <x:c r="K73" t="n">
        <x:f>IPO_Data_Collection!T73</x:f>
        <x:v>0</x:v>
      </x:c>
      <x:c r="L73" t="n">
        <x:f>IPO_Data_Collection!U73</x:f>
        <x:v>0</x:v>
      </x:c>
      <x:c r="M73" t="str">
        <x:f>IF(COUNTA(B73:I73)&gt;=7,"Ready","Missing")</x:f>
        <x:v>Ready</x:v>
      </x:c>
    </x:row>
    <x:row r="74">
      <x:c r="A74" t="str">
        <x:f>IPO_Data_Collection!B74</x:f>
        <x:v>Dharmaj Crop Guard</x:v>
      </x:c>
      <x:c r="B74" t="n">
        <x:f>IPO_Data_Collection!D74</x:f>
        <x:v>0</x:v>
      </x:c>
      <x:c r="C74" t="n">
        <x:f>IPO_Data_Collection!E74</x:f>
        <x:v>0</x:v>
      </x:c>
      <x:c r="D74" t="n">
        <x:f>IPO_Data_Collection!F74</x:f>
        <x:v>0</x:v>
      </x:c>
      <x:c r="E74" t="n">
        <x:f>IPO_Data_Collection!G74</x:f>
        <x:v>0</x:v>
      </x:c>
      <x:c r="F74" t="str">
        <x:f>IFERROR(B74/D74,"")</x:f>
      </x:c>
      <x:c r="G74" t="n">
        <x:f>IPO_Data_Collection!J74</x:f>
        <x:v>0</x:v>
      </x:c>
      <x:c r="H74" t="n">
        <x:f>IPO_Data_Collection!K74</x:f>
        <x:v>0</x:v>
      </x:c>
      <x:c r="I74" t="n">
        <x:f>IPO_Data_Collection!Q74</x:f>
        <x:v>0</x:v>
      </x:c>
      <x:c r="J74" t="n">
        <x:f>IPO_Data_Collection!S74</x:f>
        <x:v>0</x:v>
      </x:c>
      <x:c r="K74" t="n">
        <x:f>IPO_Data_Collection!T74</x:f>
        <x:v>0</x:v>
      </x:c>
      <x:c r="L74" t="n">
        <x:f>IPO_Data_Collection!U74</x:f>
        <x:v>0</x:v>
      </x:c>
      <x:c r="M74" t="str">
        <x:f>IF(COUNTA(B74:I74)&gt;=7,"Ready","Missing")</x:f>
        <x:v>Ready</x:v>
      </x:c>
    </x:row>
    <x:row r="75">
      <x:c r="A75" t="str">
        <x:f>IPO_Data_Collection!B75</x:f>
        <x:v>Divgi TorqTransfer</x:v>
      </x:c>
      <x:c r="B75" t="n">
        <x:f>IPO_Data_Collection!D75</x:f>
        <x:v>0</x:v>
      </x:c>
      <x:c r="C75" t="n">
        <x:f>IPO_Data_Collection!E75</x:f>
        <x:v>0</x:v>
      </x:c>
      <x:c r="D75" t="n">
        <x:f>IPO_Data_Collection!F75</x:f>
        <x:v>0</x:v>
      </x:c>
      <x:c r="E75" t="n">
        <x:f>IPO_Data_Collection!G75</x:f>
        <x:v>0</x:v>
      </x:c>
      <x:c r="F75" t="str">
        <x:f>IFERROR(B75/D75,"")</x:f>
      </x:c>
      <x:c r="G75" t="n">
        <x:f>IPO_Data_Collection!J75</x:f>
        <x:v>0</x:v>
      </x:c>
      <x:c r="H75" t="n">
        <x:f>IPO_Data_Collection!K75</x:f>
        <x:v>0</x:v>
      </x:c>
      <x:c r="I75" t="n">
        <x:f>IPO_Data_Collection!Q75</x:f>
        <x:v>0</x:v>
      </x:c>
      <x:c r="J75" t="n">
        <x:f>IPO_Data_Collection!S75</x:f>
        <x:v>0</x:v>
      </x:c>
      <x:c r="K75" t="n">
        <x:f>IPO_Data_Collection!T75</x:f>
        <x:v>0</x:v>
      </x:c>
      <x:c r="L75" t="n">
        <x:f>IPO_Data_Collection!U75</x:f>
        <x:v>0</x:v>
      </x:c>
      <x:c r="M75" t="str">
        <x:f>IF(COUNTA(B75:I75)&gt;=7,"Ready","Missing")</x:f>
        <x:v>Ready</x:v>
      </x:c>
    </x:row>
    <x:row r="76">
      <x:c r="A76" t="str">
        <x:f>IPO_Data_Collection!B76</x:f>
        <x:v>Dodla Dairy</x:v>
      </x:c>
      <x:c r="B76" t="n">
        <x:f>IPO_Data_Collection!D76</x:f>
        <x:v>0</x:v>
      </x:c>
      <x:c r="C76" t="n">
        <x:f>IPO_Data_Collection!E76</x:f>
        <x:v>0</x:v>
      </x:c>
      <x:c r="D76" t="n">
        <x:f>IPO_Data_Collection!F76</x:f>
        <x:v>0</x:v>
      </x:c>
      <x:c r="E76" t="n">
        <x:f>IPO_Data_Collection!G76</x:f>
        <x:v>0</x:v>
      </x:c>
      <x:c r="F76" t="str">
        <x:f>IFERROR(B76/D76,"")</x:f>
      </x:c>
      <x:c r="G76" t="n">
        <x:f>IPO_Data_Collection!J76</x:f>
        <x:v>0</x:v>
      </x:c>
      <x:c r="H76" t="n">
        <x:f>IPO_Data_Collection!K76</x:f>
        <x:v>0</x:v>
      </x:c>
      <x:c r="I76" t="n">
        <x:f>IPO_Data_Collection!Q76</x:f>
        <x:v>0</x:v>
      </x:c>
      <x:c r="J76" t="n">
        <x:f>IPO_Data_Collection!S76</x:f>
        <x:v>0</x:v>
      </x:c>
      <x:c r="K76" t="n">
        <x:f>IPO_Data_Collection!T76</x:f>
        <x:v>0</x:v>
      </x:c>
      <x:c r="L76" t="n">
        <x:f>IPO_Data_Collection!U76</x:f>
        <x:v>0</x:v>
      </x:c>
      <x:c r="M76" t="str">
        <x:f>IF(COUNTA(B76:I76)&gt;=7,"Ready","Missing")</x:f>
        <x:v>Ready</x:v>
      </x:c>
    </x:row>
    <x:row r="77">
      <x:c r="A77" t="str">
        <x:f>IPO_Data_Collection!B77</x:f>
        <x:v>DreamFolks Services</x:v>
      </x:c>
      <x:c r="B77" t="n">
        <x:f>IPO_Data_Collection!D77</x:f>
        <x:v>0</x:v>
      </x:c>
      <x:c r="C77" t="n">
        <x:f>IPO_Data_Collection!E77</x:f>
        <x:v>0</x:v>
      </x:c>
      <x:c r="D77" t="n">
        <x:f>IPO_Data_Collection!F77</x:f>
        <x:v>0</x:v>
      </x:c>
      <x:c r="E77" t="n">
        <x:f>IPO_Data_Collection!G77</x:f>
        <x:v>0</x:v>
      </x:c>
      <x:c r="F77" t="str">
        <x:f>IFERROR(B77/D77,"")</x:f>
      </x:c>
      <x:c r="G77" t="n">
        <x:f>IPO_Data_Collection!J77</x:f>
        <x:v>0</x:v>
      </x:c>
      <x:c r="H77" t="n">
        <x:f>IPO_Data_Collection!K77</x:f>
        <x:v>0</x:v>
      </x:c>
      <x:c r="I77" t="n">
        <x:f>IPO_Data_Collection!Q77</x:f>
        <x:v>0</x:v>
      </x:c>
      <x:c r="J77" t="n">
        <x:f>IPO_Data_Collection!S77</x:f>
        <x:v>0</x:v>
      </x:c>
      <x:c r="K77" t="n">
        <x:f>IPO_Data_Collection!T77</x:f>
        <x:v>0</x:v>
      </x:c>
      <x:c r="L77" t="n">
        <x:f>IPO_Data_Collection!U77</x:f>
        <x:v>0</x:v>
      </x:c>
      <x:c r="M77" t="str">
        <x:f>IF(COUNTA(B77:I77)&gt;=7,"Ready","Missing")</x:f>
        <x:v>Ready</x:v>
      </x:c>
    </x:row>
    <x:row r="78">
      <x:c r="A78" t="str">
        <x:f>IPO_Data_Collection!B78</x:f>
        <x:v>Easy Trip Planners</x:v>
      </x:c>
      <x:c r="B78" t="n">
        <x:f>IPO_Data_Collection!D78</x:f>
        <x:v>0</x:v>
      </x:c>
      <x:c r="C78" t="n">
        <x:f>IPO_Data_Collection!E78</x:f>
        <x:v>0</x:v>
      </x:c>
      <x:c r="D78" t="n">
        <x:f>IPO_Data_Collection!F78</x:f>
        <x:v>0</x:v>
      </x:c>
      <x:c r="E78" t="n">
        <x:f>IPO_Data_Collection!G78</x:f>
        <x:v>0</x:v>
      </x:c>
      <x:c r="F78" t="str">
        <x:f>IFERROR(B78/D78,"")</x:f>
      </x:c>
      <x:c r="G78" t="n">
        <x:f>IPO_Data_Collection!J78</x:f>
        <x:v>0</x:v>
      </x:c>
      <x:c r="H78" t="n">
        <x:f>IPO_Data_Collection!K78</x:f>
        <x:v>0</x:v>
      </x:c>
      <x:c r="I78" t="n">
        <x:f>IPO_Data_Collection!Q78</x:f>
        <x:v>0</x:v>
      </x:c>
      <x:c r="J78" t="n">
        <x:f>IPO_Data_Collection!S78</x:f>
        <x:v>0</x:v>
      </x:c>
      <x:c r="K78" t="n">
        <x:f>IPO_Data_Collection!T78</x:f>
        <x:v>0</x:v>
      </x:c>
      <x:c r="L78" t="n">
        <x:f>IPO_Data_Collection!U78</x:f>
        <x:v>0</x:v>
      </x:c>
      <x:c r="M78" t="str">
        <x:f>IF(COUNTA(B78:I78)&gt;=7,"Ready","Missing")</x:f>
        <x:v>Ready</x:v>
      </x:c>
    </x:row>
    <x:row r="79">
      <x:c r="A79" t="str">
        <x:f>IPO_Data_Collection!B79</x:f>
        <x:v>ECOS Mobility</x:v>
      </x:c>
      <x:c r="B79" t="n">
        <x:f>IPO_Data_Collection!D79</x:f>
        <x:v>0</x:v>
      </x:c>
      <x:c r="C79" t="n">
        <x:f>IPO_Data_Collection!E79</x:f>
        <x:v>0</x:v>
      </x:c>
      <x:c r="D79" t="n">
        <x:f>IPO_Data_Collection!F79</x:f>
        <x:v>0</x:v>
      </x:c>
      <x:c r="E79" t="n">
        <x:f>IPO_Data_Collection!G79</x:f>
        <x:v>0</x:v>
      </x:c>
      <x:c r="F79" t="str">
        <x:f>IFERROR(B79/D79,"")</x:f>
      </x:c>
      <x:c r="G79" t="n">
        <x:f>IPO_Data_Collection!J79</x:f>
        <x:v>0</x:v>
      </x:c>
      <x:c r="H79" t="n">
        <x:f>IPO_Data_Collection!K79</x:f>
        <x:v>0</x:v>
      </x:c>
      <x:c r="I79" t="n">
        <x:f>IPO_Data_Collection!Q79</x:f>
        <x:v>0</x:v>
      </x:c>
      <x:c r="J79" t="n">
        <x:f>IPO_Data_Collection!S79</x:f>
        <x:v>0</x:v>
      </x:c>
      <x:c r="K79" t="n">
        <x:f>IPO_Data_Collection!T79</x:f>
        <x:v>0</x:v>
      </x:c>
      <x:c r="L79" t="n">
        <x:f>IPO_Data_Collection!U79</x:f>
        <x:v>0</x:v>
      </x:c>
      <x:c r="M79" t="str">
        <x:f>IF(COUNTA(B79:I79)&gt;=7,"Ready","Missing")</x:f>
        <x:v>Ready</x:v>
      </x:c>
    </x:row>
    <x:row r="80">
      <x:c r="A80" t="str">
        <x:f>IPO_Data_Collection!B80</x:f>
        <x:v>Elin Electronics</x:v>
      </x:c>
      <x:c r="B80" t="n">
        <x:f>IPO_Data_Collection!D80</x:f>
        <x:v>0</x:v>
      </x:c>
      <x:c r="C80" t="n">
        <x:f>IPO_Data_Collection!E80</x:f>
        <x:v>0</x:v>
      </x:c>
      <x:c r="D80" t="n">
        <x:f>IPO_Data_Collection!F80</x:f>
        <x:v>0</x:v>
      </x:c>
      <x:c r="E80" t="n">
        <x:f>IPO_Data_Collection!G80</x:f>
        <x:v>0</x:v>
      </x:c>
      <x:c r="F80" t="str">
        <x:f>IFERROR(B80/D80,"")</x:f>
      </x:c>
      <x:c r="G80" t="n">
        <x:f>IPO_Data_Collection!J80</x:f>
        <x:v>0</x:v>
      </x:c>
      <x:c r="H80" t="n">
        <x:f>IPO_Data_Collection!K80</x:f>
        <x:v>0</x:v>
      </x:c>
      <x:c r="I80" t="n">
        <x:f>IPO_Data_Collection!Q80</x:f>
        <x:v>0</x:v>
      </x:c>
      <x:c r="J80" t="n">
        <x:f>IPO_Data_Collection!S80</x:f>
        <x:v>0</x:v>
      </x:c>
      <x:c r="K80" t="n">
        <x:f>IPO_Data_Collection!T80</x:f>
        <x:v>0</x:v>
      </x:c>
      <x:c r="L80" t="n">
        <x:f>IPO_Data_Collection!U80</x:f>
        <x:v>0</x:v>
      </x:c>
      <x:c r="M80" t="str">
        <x:f>IF(COUNTA(B80:I80)&gt;=7,"Ready","Missing")</x:f>
        <x:v>Ready</x:v>
      </x:c>
    </x:row>
    <x:row r="81">
      <x:c r="A81" t="str">
        <x:f>IPO_Data_Collection!B81</x:f>
        <x:v>Ellenbarrie Industrial Gases Ltd</x:v>
      </x:c>
      <x:c r="B81" t="n">
        <x:f>IPO_Data_Collection!D81</x:f>
        <x:v>0</x:v>
      </x:c>
      <x:c r="C81" t="n">
        <x:f>IPO_Data_Collection!E81</x:f>
        <x:v>0</x:v>
      </x:c>
      <x:c r="D81" t="n">
        <x:f>IPO_Data_Collection!F81</x:f>
        <x:v>0</x:v>
      </x:c>
      <x:c r="E81" t="n">
        <x:f>IPO_Data_Collection!G81</x:f>
        <x:v>0</x:v>
      </x:c>
      <x:c r="F81" t="str">
        <x:f>IFERROR(B81/D81,"")</x:f>
      </x:c>
      <x:c r="G81" t="n">
        <x:f>IPO_Data_Collection!J81</x:f>
        <x:v>0</x:v>
      </x:c>
      <x:c r="H81" t="n">
        <x:f>IPO_Data_Collection!K81</x:f>
        <x:v>0</x:v>
      </x:c>
      <x:c r="I81" t="n">
        <x:f>IPO_Data_Collection!Q81</x:f>
        <x:v>0</x:v>
      </x:c>
      <x:c r="J81" t="n">
        <x:f>IPO_Data_Collection!S81</x:f>
        <x:v>0</x:v>
      </x:c>
      <x:c r="K81" t="n">
        <x:f>IPO_Data_Collection!T81</x:f>
        <x:v>0</x:v>
      </x:c>
      <x:c r="L81" t="n">
        <x:f>IPO_Data_Collection!U81</x:f>
        <x:v>0</x:v>
      </x:c>
      <x:c r="M81" t="str">
        <x:f>IF(COUNTA(B81:I81)&gt;=7,"Ready","Missing")</x:f>
        <x:v>Ready</x:v>
      </x:c>
    </x:row>
    <x:row r="82">
      <x:c r="A82" t="str">
        <x:f>IPO_Data_Collection!B82</x:f>
        <x:v>Emcure</x:v>
      </x:c>
      <x:c r="B82" t="n">
        <x:f>IPO_Data_Collection!D82</x:f>
        <x:v>0</x:v>
      </x:c>
      <x:c r="C82" t="n">
        <x:f>IPO_Data_Collection!E82</x:f>
        <x:v>0</x:v>
      </x:c>
      <x:c r="D82" t="n">
        <x:f>IPO_Data_Collection!F82</x:f>
        <x:v>0</x:v>
      </x:c>
      <x:c r="E82" t="n">
        <x:f>IPO_Data_Collection!G82</x:f>
        <x:v>0</x:v>
      </x:c>
      <x:c r="F82" t="str">
        <x:f>IFERROR(B82/D82,"")</x:f>
      </x:c>
      <x:c r="G82" t="n">
        <x:f>IPO_Data_Collection!J82</x:f>
        <x:v>0</x:v>
      </x:c>
      <x:c r="H82" t="n">
        <x:f>IPO_Data_Collection!K82</x:f>
        <x:v>0</x:v>
      </x:c>
      <x:c r="I82" t="n">
        <x:f>IPO_Data_Collection!Q82</x:f>
        <x:v>0</x:v>
      </x:c>
      <x:c r="J82" t="n">
        <x:f>IPO_Data_Collection!S82</x:f>
        <x:v>0</x:v>
      </x:c>
      <x:c r="K82" t="n">
        <x:f>IPO_Data_Collection!T82</x:f>
        <x:v>0</x:v>
      </x:c>
      <x:c r="L82" t="n">
        <x:f>IPO_Data_Collection!U82</x:f>
        <x:v>0</x:v>
      </x:c>
      <x:c r="M82" t="str">
        <x:f>IF(COUNTA(B82:I82)&gt;=7,"Ready","Missing")</x:f>
        <x:v>Ready</x:v>
      </x:c>
    </x:row>
    <x:row r="83">
      <x:c r="A83" t="str">
        <x:f>IPO_Data_Collection!B83</x:f>
        <x:v>Emmvee Photovoltaic Power Ltd</x:v>
      </x:c>
      <x:c r="B83" t="n">
        <x:f>IPO_Data_Collection!D83</x:f>
        <x:v>0</x:v>
      </x:c>
      <x:c r="C83" t="n">
        <x:f>IPO_Data_Collection!E83</x:f>
        <x:v>0</x:v>
      </x:c>
      <x:c r="D83" t="n">
        <x:f>IPO_Data_Collection!F83</x:f>
        <x:v>0</x:v>
      </x:c>
      <x:c r="E83" t="n">
        <x:f>IPO_Data_Collection!G83</x:f>
        <x:v>0</x:v>
      </x:c>
      <x:c r="F83" t="str">
        <x:f>IFERROR(B83/D83,"")</x:f>
      </x:c>
      <x:c r="G83" t="n">
        <x:f>IPO_Data_Collection!J83</x:f>
        <x:v>0</x:v>
      </x:c>
      <x:c r="H83" t="n">
        <x:f>IPO_Data_Collection!K83</x:f>
        <x:v>0</x:v>
      </x:c>
      <x:c r="I83" t="n">
        <x:f>IPO_Data_Collection!Q83</x:f>
        <x:v>0</x:v>
      </x:c>
      <x:c r="J83" t="n">
        <x:f>IPO_Data_Collection!S83</x:f>
        <x:v>0</x:v>
      </x:c>
      <x:c r="K83" t="n">
        <x:f>IPO_Data_Collection!T83</x:f>
        <x:v>0</x:v>
      </x:c>
      <x:c r="L83" t="n">
        <x:f>IPO_Data_Collection!U83</x:f>
        <x:v>0</x:v>
      </x:c>
      <x:c r="M83" t="str">
        <x:f>IF(COUNTA(B83:I83)&gt;=7,"Ready","Missing")</x:f>
        <x:v>Ready</x:v>
      </x:c>
    </x:row>
    <x:row r="84">
      <x:c r="A84" t="str">
        <x:f>IPO_Data_Collection!B84</x:f>
        <x:v>Epack Prefab Technologies Ltd</x:v>
      </x:c>
      <x:c r="B84" t="n">
        <x:f>IPO_Data_Collection!D84</x:f>
        <x:v>0</x:v>
      </x:c>
      <x:c r="C84" t="n">
        <x:f>IPO_Data_Collection!E84</x:f>
        <x:v>0</x:v>
      </x:c>
      <x:c r="D84" t="n">
        <x:f>IPO_Data_Collection!F84</x:f>
        <x:v>0</x:v>
      </x:c>
      <x:c r="E84" t="n">
        <x:f>IPO_Data_Collection!G84</x:f>
        <x:v>0</x:v>
      </x:c>
      <x:c r="F84" t="str">
        <x:f>IFERROR(B84/D84,"")</x:f>
      </x:c>
      <x:c r="G84" t="n">
        <x:f>IPO_Data_Collection!J84</x:f>
        <x:v>0</x:v>
      </x:c>
      <x:c r="H84" t="n">
        <x:f>IPO_Data_Collection!K84</x:f>
        <x:v>0</x:v>
      </x:c>
      <x:c r="I84" t="n">
        <x:f>IPO_Data_Collection!Q84</x:f>
        <x:v>0</x:v>
      </x:c>
      <x:c r="J84" t="n">
        <x:f>IPO_Data_Collection!S84</x:f>
        <x:v>0</x:v>
      </x:c>
      <x:c r="K84" t="n">
        <x:f>IPO_Data_Collection!T84</x:f>
        <x:v>0</x:v>
      </x:c>
      <x:c r="L84" t="n">
        <x:f>IPO_Data_Collection!U84</x:f>
        <x:v>0</x:v>
      </x:c>
      <x:c r="M84" t="str">
        <x:f>IF(COUNTA(B84:I84)&gt;=7,"Ready","Missing")</x:f>
        <x:v>Ready</x:v>
      </x:c>
    </x:row>
    <x:row r="85">
      <x:c r="A85" t="str">
        <x:f>IPO_Data_Collection!B85</x:f>
        <x:v>ESAF Bank</x:v>
      </x:c>
      <x:c r="B85" t="n">
        <x:f>IPO_Data_Collection!D85</x:f>
        <x:v>0</x:v>
      </x:c>
      <x:c r="C85" t="n">
        <x:f>IPO_Data_Collection!E85</x:f>
        <x:v>0</x:v>
      </x:c>
      <x:c r="D85" t="n">
        <x:f>IPO_Data_Collection!F85</x:f>
        <x:v>0</x:v>
      </x:c>
      <x:c r="E85" t="n">
        <x:f>IPO_Data_Collection!G85</x:f>
        <x:v>0</x:v>
      </x:c>
      <x:c r="F85" t="str">
        <x:f>IFERROR(B85/D85,"")</x:f>
      </x:c>
      <x:c r="G85" t="n">
        <x:f>IPO_Data_Collection!J85</x:f>
        <x:v>0</x:v>
      </x:c>
      <x:c r="H85" t="n">
        <x:f>IPO_Data_Collection!K85</x:f>
        <x:v>0</x:v>
      </x:c>
      <x:c r="I85" t="n">
        <x:f>IPO_Data_Collection!Q85</x:f>
        <x:v>0</x:v>
      </x:c>
      <x:c r="J85" t="n">
        <x:f>IPO_Data_Collection!S85</x:f>
        <x:v>0</x:v>
      </x:c>
      <x:c r="K85" t="n">
        <x:f>IPO_Data_Collection!T85</x:f>
        <x:v>0</x:v>
      </x:c>
      <x:c r="L85" t="n">
        <x:f>IPO_Data_Collection!U85</x:f>
        <x:v>0</x:v>
      </x:c>
      <x:c r="M85" t="str">
        <x:f>IF(COUNTA(B85:I85)&gt;=7,"Ready","Missing")</x:f>
        <x:v>Ready</x:v>
      </x:c>
    </x:row>
    <x:row r="86">
      <x:c r="A86" t="str">
        <x:f>IPO_Data_Collection!B86</x:f>
        <x:v>Ethos</x:v>
      </x:c>
      <x:c r="B86" t="n">
        <x:f>IPO_Data_Collection!D86</x:f>
        <x:v>0</x:v>
      </x:c>
      <x:c r="C86" t="n">
        <x:f>IPO_Data_Collection!E86</x:f>
        <x:v>0</x:v>
      </x:c>
      <x:c r="D86" t="n">
        <x:f>IPO_Data_Collection!F86</x:f>
        <x:v>0</x:v>
      </x:c>
      <x:c r="E86" t="n">
        <x:f>IPO_Data_Collection!G86</x:f>
        <x:v>0</x:v>
      </x:c>
      <x:c r="F86" t="str">
        <x:f>IFERROR(B86/D86,"")</x:f>
      </x:c>
      <x:c r="G86" t="n">
        <x:f>IPO_Data_Collection!J86</x:f>
        <x:v>0</x:v>
      </x:c>
      <x:c r="H86" t="n">
        <x:f>IPO_Data_Collection!K86</x:f>
        <x:v>0</x:v>
      </x:c>
      <x:c r="I86" t="n">
        <x:f>IPO_Data_Collection!Q86</x:f>
        <x:v>0</x:v>
      </x:c>
      <x:c r="J86" t="n">
        <x:f>IPO_Data_Collection!S86</x:f>
        <x:v>0</x:v>
      </x:c>
      <x:c r="K86" t="n">
        <x:f>IPO_Data_Collection!T86</x:f>
        <x:v>0</x:v>
      </x:c>
      <x:c r="L86" t="n">
        <x:f>IPO_Data_Collection!U86</x:f>
        <x:v>0</x:v>
      </x:c>
      <x:c r="M86" t="str">
        <x:f>IF(COUNTA(B86:I86)&gt;=7,"Ready","Missing")</x:f>
        <x:v>Ready</x:v>
      </x:c>
    </x:row>
    <x:row r="87">
      <x:c r="A87" t="str">
        <x:f>IPO_Data_Collection!B87</x:f>
        <x:v>Euro Pratik Sales Ltd</x:v>
      </x:c>
      <x:c r="B87" t="n">
        <x:f>IPO_Data_Collection!D87</x:f>
        <x:v>0</x:v>
      </x:c>
      <x:c r="C87" t="n">
        <x:f>IPO_Data_Collection!E87</x:f>
        <x:v>0</x:v>
      </x:c>
      <x:c r="D87" t="n">
        <x:f>IPO_Data_Collection!F87</x:f>
        <x:v>0</x:v>
      </x:c>
      <x:c r="E87" t="n">
        <x:f>IPO_Data_Collection!G87</x:f>
        <x:v>0</x:v>
      </x:c>
      <x:c r="F87" t="str">
        <x:f>IFERROR(B87/D87,"")</x:f>
      </x:c>
      <x:c r="G87" t="n">
        <x:f>IPO_Data_Collection!J87</x:f>
        <x:v>0</x:v>
      </x:c>
      <x:c r="H87" t="n">
        <x:f>IPO_Data_Collection!K87</x:f>
        <x:v>0</x:v>
      </x:c>
      <x:c r="I87" t="n">
        <x:f>IPO_Data_Collection!Q87</x:f>
        <x:v>0</x:v>
      </x:c>
      <x:c r="J87" t="n">
        <x:f>IPO_Data_Collection!S87</x:f>
        <x:v>0</x:v>
      </x:c>
      <x:c r="K87" t="n">
        <x:f>IPO_Data_Collection!T87</x:f>
        <x:v>0</x:v>
      </x:c>
      <x:c r="L87" t="n">
        <x:f>IPO_Data_Collection!U87</x:f>
        <x:v>0</x:v>
      </x:c>
      <x:c r="M87" t="str">
        <x:f>IF(COUNTA(B87:I87)&gt;=7,"Ready","Missing")</x:f>
        <x:v>Ready</x:v>
      </x:c>
    </x:row>
    <x:row r="88">
      <x:c r="A88" t="str">
        <x:f>IPO_Data_Collection!B88</x:f>
        <x:v>Excelsoft Technologies Ltd</x:v>
      </x:c>
      <x:c r="B88" t="n">
        <x:f>IPO_Data_Collection!D88</x:f>
        <x:v>0</x:v>
      </x:c>
      <x:c r="C88" t="n">
        <x:f>IPO_Data_Collection!E88</x:f>
        <x:v>0</x:v>
      </x:c>
      <x:c r="D88" t="n">
        <x:f>IPO_Data_Collection!F88</x:f>
        <x:v>0</x:v>
      </x:c>
      <x:c r="E88" t="n">
        <x:f>IPO_Data_Collection!G88</x:f>
        <x:v>0</x:v>
      </x:c>
      <x:c r="F88" t="str">
        <x:f>IFERROR(B88/D88,"")</x:f>
      </x:c>
      <x:c r="G88" t="n">
        <x:f>IPO_Data_Collection!J88</x:f>
        <x:v>0</x:v>
      </x:c>
      <x:c r="H88" t="n">
        <x:f>IPO_Data_Collection!K88</x:f>
        <x:v>0</x:v>
      </x:c>
      <x:c r="I88" t="n">
        <x:f>IPO_Data_Collection!Q88</x:f>
        <x:v>0</x:v>
      </x:c>
      <x:c r="J88" t="n">
        <x:f>IPO_Data_Collection!S88</x:f>
        <x:v>0</x:v>
      </x:c>
      <x:c r="K88" t="n">
        <x:f>IPO_Data_Collection!T88</x:f>
        <x:v>0</x:v>
      </x:c>
      <x:c r="L88" t="n">
        <x:f>IPO_Data_Collection!U88</x:f>
        <x:v>0</x:v>
      </x:c>
      <x:c r="M88" t="str">
        <x:f>IF(COUNTA(B88:I88)&gt;=7,"Ready","Missing")</x:f>
        <x:v>Ready</x:v>
      </x:c>
    </x:row>
    <x:row r="89">
      <x:c r="A89" t="str">
        <x:f>IPO_Data_Collection!B89</x:f>
        <x:v>Exicom</x:v>
      </x:c>
      <x:c r="B89" t="n">
        <x:f>IPO_Data_Collection!D89</x:f>
        <x:v>0</x:v>
      </x:c>
      <x:c r="C89" t="n">
        <x:f>IPO_Data_Collection!E89</x:f>
        <x:v>0</x:v>
      </x:c>
      <x:c r="D89" t="n">
        <x:f>IPO_Data_Collection!F89</x:f>
        <x:v>0</x:v>
      </x:c>
      <x:c r="E89" t="n">
        <x:f>IPO_Data_Collection!G89</x:f>
        <x:v>0</x:v>
      </x:c>
      <x:c r="F89" t="str">
        <x:f>IFERROR(B89/D89,"")</x:f>
      </x:c>
      <x:c r="G89" t="n">
        <x:f>IPO_Data_Collection!J89</x:f>
        <x:v>0</x:v>
      </x:c>
      <x:c r="H89" t="n">
        <x:f>IPO_Data_Collection!K89</x:f>
        <x:v>0</x:v>
      </x:c>
      <x:c r="I89" t="n">
        <x:f>IPO_Data_Collection!Q89</x:f>
        <x:v>0</x:v>
      </x:c>
      <x:c r="J89" t="n">
        <x:f>IPO_Data_Collection!S89</x:f>
        <x:v>0</x:v>
      </x:c>
      <x:c r="K89" t="n">
        <x:f>IPO_Data_Collection!T89</x:f>
        <x:v>0</x:v>
      </x:c>
      <x:c r="L89" t="n">
        <x:f>IPO_Data_Collection!U89</x:f>
        <x:v>0</x:v>
      </x:c>
      <x:c r="M89" t="str">
        <x:f>IF(COUNTA(B89:I89)&gt;=7,"Ready","Missing")</x:f>
        <x:v>Ready</x:v>
      </x:c>
    </x:row>
    <x:row r="90">
      <x:c r="A90" t="str">
        <x:f>IPO_Data_Collection!B90</x:f>
        <x:v>Exxaro Tiles</x:v>
      </x:c>
      <x:c r="B90" t="n">
        <x:f>IPO_Data_Collection!D90</x:f>
        <x:v>0</x:v>
      </x:c>
      <x:c r="C90" t="n">
        <x:f>IPO_Data_Collection!E90</x:f>
        <x:v>0</x:v>
      </x:c>
      <x:c r="D90" t="n">
        <x:f>IPO_Data_Collection!F90</x:f>
        <x:v>0</x:v>
      </x:c>
      <x:c r="E90" t="n">
        <x:f>IPO_Data_Collection!G90</x:f>
        <x:v>0</x:v>
      </x:c>
      <x:c r="F90" t="str">
        <x:f>IFERROR(B90/D90,"")</x:f>
      </x:c>
      <x:c r="G90" t="n">
        <x:f>IPO_Data_Collection!J90</x:f>
        <x:v>0</x:v>
      </x:c>
      <x:c r="H90" t="n">
        <x:f>IPO_Data_Collection!K90</x:f>
        <x:v>0</x:v>
      </x:c>
      <x:c r="I90" t="n">
        <x:f>IPO_Data_Collection!Q90</x:f>
        <x:v>0</x:v>
      </x:c>
      <x:c r="J90" t="n">
        <x:f>IPO_Data_Collection!S90</x:f>
        <x:v>0</x:v>
      </x:c>
      <x:c r="K90" t="n">
        <x:f>IPO_Data_Collection!T90</x:f>
        <x:v>0</x:v>
      </x:c>
      <x:c r="L90" t="n">
        <x:f>IPO_Data_Collection!U90</x:f>
        <x:v>0</x:v>
      </x:c>
      <x:c r="M90" t="str">
        <x:f>IF(COUNTA(B90:I90)&gt;=7,"Ready","Missing")</x:f>
        <x:v>Ready</x:v>
      </x:c>
    </x:row>
    <x:row r="91">
      <x:c r="A91" t="str">
        <x:f>IPO_Data_Collection!B91</x:f>
        <x:v>Fabtech Technologies Ltd</x:v>
      </x:c>
      <x:c r="B91" t="n">
        <x:f>IPO_Data_Collection!D91</x:f>
        <x:v>0</x:v>
      </x:c>
      <x:c r="C91" t="n">
        <x:f>IPO_Data_Collection!E91</x:f>
        <x:v>0</x:v>
      </x:c>
      <x:c r="D91" t="n">
        <x:f>IPO_Data_Collection!F91</x:f>
        <x:v>0</x:v>
      </x:c>
      <x:c r="E91" t="n">
        <x:f>IPO_Data_Collection!G91</x:f>
        <x:v>0</x:v>
      </x:c>
      <x:c r="F91" t="str">
        <x:f>IFERROR(B91/D91,"")</x:f>
      </x:c>
      <x:c r="G91" t="n">
        <x:f>IPO_Data_Collection!J91</x:f>
        <x:v>0</x:v>
      </x:c>
      <x:c r="H91" t="n">
        <x:f>IPO_Data_Collection!K91</x:f>
        <x:v>0</x:v>
      </x:c>
      <x:c r="I91" t="n">
        <x:f>IPO_Data_Collection!Q91</x:f>
        <x:v>0</x:v>
      </x:c>
      <x:c r="J91" t="n">
        <x:f>IPO_Data_Collection!S91</x:f>
        <x:v>0</x:v>
      </x:c>
      <x:c r="K91" t="n">
        <x:f>IPO_Data_Collection!T91</x:f>
        <x:v>0</x:v>
      </x:c>
      <x:c r="L91" t="n">
        <x:f>IPO_Data_Collection!U91</x:f>
        <x:v>0</x:v>
      </x:c>
      <x:c r="M91" t="str">
        <x:f>IF(COUNTA(B91:I91)&gt;=7,"Ready","Missing")</x:f>
        <x:v>Ready</x:v>
      </x:c>
    </x:row>
    <x:row r="92">
      <x:c r="A92" t="str">
        <x:f>IPO_Data_Collection!B92</x:f>
        <x:v>FedFina</x:v>
      </x:c>
      <x:c r="B92" t="n">
        <x:f>IPO_Data_Collection!D92</x:f>
        <x:v>0</x:v>
      </x:c>
      <x:c r="C92" t="n">
        <x:f>IPO_Data_Collection!E92</x:f>
        <x:v>0</x:v>
      </x:c>
      <x:c r="D92" t="n">
        <x:f>IPO_Data_Collection!F92</x:f>
        <x:v>0</x:v>
      </x:c>
      <x:c r="E92" t="n">
        <x:f>IPO_Data_Collection!G92</x:f>
        <x:v>0</x:v>
      </x:c>
      <x:c r="F92" t="str">
        <x:f>IFERROR(B92/D92,"")</x:f>
      </x:c>
      <x:c r="G92" t="n">
        <x:f>IPO_Data_Collection!J92</x:f>
        <x:v>0</x:v>
      </x:c>
      <x:c r="H92" t="n">
        <x:f>IPO_Data_Collection!K92</x:f>
        <x:v>0</x:v>
      </x:c>
      <x:c r="I92" t="n">
        <x:f>IPO_Data_Collection!Q92</x:f>
        <x:v>0</x:v>
      </x:c>
      <x:c r="J92" t="n">
        <x:f>IPO_Data_Collection!S92</x:f>
        <x:v>0</x:v>
      </x:c>
      <x:c r="K92" t="n">
        <x:f>IPO_Data_Collection!T92</x:f>
        <x:v>0</x:v>
      </x:c>
      <x:c r="L92" t="n">
        <x:f>IPO_Data_Collection!U92</x:f>
        <x:v>0</x:v>
      </x:c>
      <x:c r="M92" t="str">
        <x:f>IF(COUNTA(B92:I92)&gt;=7,"Ready","Missing")</x:f>
        <x:v>Ready</x:v>
      </x:c>
    </x:row>
    <x:row r="93">
      <x:c r="A93" t="str">
        <x:f>IPO_Data_Collection!B93</x:f>
        <x:v>Fino Payments Bank</x:v>
      </x:c>
      <x:c r="B93" t="n">
        <x:f>IPO_Data_Collection!D93</x:f>
        <x:v>0</x:v>
      </x:c>
      <x:c r="C93" t="n">
        <x:f>IPO_Data_Collection!E93</x:f>
        <x:v>0</x:v>
      </x:c>
      <x:c r="D93" t="n">
        <x:f>IPO_Data_Collection!F93</x:f>
        <x:v>0</x:v>
      </x:c>
      <x:c r="E93" t="n">
        <x:f>IPO_Data_Collection!G93</x:f>
        <x:v>0</x:v>
      </x:c>
      <x:c r="F93" t="str">
        <x:f>IFERROR(B93/D93,"")</x:f>
      </x:c>
      <x:c r="G93" t="n">
        <x:f>IPO_Data_Collection!J93</x:f>
        <x:v>0</x:v>
      </x:c>
      <x:c r="H93" t="n">
        <x:f>IPO_Data_Collection!K93</x:f>
        <x:v>0</x:v>
      </x:c>
      <x:c r="I93" t="n">
        <x:f>IPO_Data_Collection!Q93</x:f>
        <x:v>0</x:v>
      </x:c>
      <x:c r="J93" t="n">
        <x:f>IPO_Data_Collection!S93</x:f>
        <x:v>0</x:v>
      </x:c>
      <x:c r="K93" t="n">
        <x:f>IPO_Data_Collection!T93</x:f>
        <x:v>0</x:v>
      </x:c>
      <x:c r="L93" t="n">
        <x:f>IPO_Data_Collection!U93</x:f>
        <x:v>0</x:v>
      </x:c>
      <x:c r="M93" t="str">
        <x:f>IF(COUNTA(B93:I93)&gt;=7,"Ready","Missing")</x:f>
        <x:v>Ready</x:v>
      </x:c>
    </x:row>
    <x:row r="94">
      <x:c r="A94" t="str">
        <x:f>IPO_Data_Collection!B94</x:f>
        <x:v>Five-Star Business Finance</x:v>
      </x:c>
      <x:c r="B94" t="n">
        <x:f>IPO_Data_Collection!D94</x:f>
        <x:v>0</x:v>
      </x:c>
      <x:c r="C94" t="n">
        <x:f>IPO_Data_Collection!E94</x:f>
        <x:v>0</x:v>
      </x:c>
      <x:c r="D94" t="n">
        <x:f>IPO_Data_Collection!F94</x:f>
        <x:v>0</x:v>
      </x:c>
      <x:c r="E94" t="n">
        <x:f>IPO_Data_Collection!G94</x:f>
        <x:v>0</x:v>
      </x:c>
      <x:c r="F94" t="str">
        <x:f>IFERROR(B94/D94,"")</x:f>
      </x:c>
      <x:c r="G94" t="n">
        <x:f>IPO_Data_Collection!J94</x:f>
        <x:v>0</x:v>
      </x:c>
      <x:c r="H94" t="n">
        <x:f>IPO_Data_Collection!K94</x:f>
        <x:v>0</x:v>
      </x:c>
      <x:c r="I94" t="n">
        <x:f>IPO_Data_Collection!Q94</x:f>
        <x:v>0</x:v>
      </x:c>
      <x:c r="J94" t="n">
        <x:f>IPO_Data_Collection!S94</x:f>
        <x:v>0</x:v>
      </x:c>
      <x:c r="K94" t="n">
        <x:f>IPO_Data_Collection!T94</x:f>
        <x:v>0</x:v>
      </x:c>
      <x:c r="L94" t="n">
        <x:f>IPO_Data_Collection!U94</x:f>
        <x:v>0</x:v>
      </x:c>
      <x:c r="M94" t="str">
        <x:f>IF(COUNTA(B94:I94)&gt;=7,"Ready","Missing")</x:f>
        <x:v>Ready</x:v>
      </x:c>
    </x:row>
    <x:row r="95">
      <x:c r="A95" t="str">
        <x:f>IPO_Data_Collection!B95</x:f>
        <x:v>Flair Writing Industries</x:v>
      </x:c>
      <x:c r="B95" t="n">
        <x:f>IPO_Data_Collection!D95</x:f>
        <x:v>0</x:v>
      </x:c>
      <x:c r="C95" t="n">
        <x:f>IPO_Data_Collection!E95</x:f>
        <x:v>0</x:v>
      </x:c>
      <x:c r="D95" t="n">
        <x:f>IPO_Data_Collection!F95</x:f>
        <x:v>0</x:v>
      </x:c>
      <x:c r="E95" t="n">
        <x:f>IPO_Data_Collection!G95</x:f>
        <x:v>0</x:v>
      </x:c>
      <x:c r="F95" t="str">
        <x:f>IFERROR(B95/D95,"")</x:f>
      </x:c>
      <x:c r="G95" t="n">
        <x:f>IPO_Data_Collection!J95</x:f>
        <x:v>0</x:v>
      </x:c>
      <x:c r="H95" t="n">
        <x:f>IPO_Data_Collection!K95</x:f>
        <x:v>0</x:v>
      </x:c>
      <x:c r="I95" t="n">
        <x:f>IPO_Data_Collection!Q95</x:f>
        <x:v>0</x:v>
      </x:c>
      <x:c r="J95" t="n">
        <x:f>IPO_Data_Collection!S95</x:f>
        <x:v>0</x:v>
      </x:c>
      <x:c r="K95" t="n">
        <x:f>IPO_Data_Collection!T95</x:f>
        <x:v>0</x:v>
      </x:c>
      <x:c r="L95" t="n">
        <x:f>IPO_Data_Collection!U95</x:f>
        <x:v>0</x:v>
      </x:c>
      <x:c r="M95" t="str">
        <x:f>IF(COUNTA(B95:I95)&gt;=7,"Ready","Missing")</x:f>
        <x:v>Ready</x:v>
      </x:c>
    </x:row>
    <x:row r="96">
      <x:c r="A96" t="str">
        <x:f>IPO_Data_Collection!B96</x:f>
        <x:v>FirstCry</x:v>
      </x:c>
      <x:c r="B96" t="n">
        <x:f>IPO_Data_Collection!D96</x:f>
        <x:v>0</x:v>
      </x:c>
      <x:c r="C96" t="n">
        <x:f>IPO_Data_Collection!E96</x:f>
        <x:v>0</x:v>
      </x:c>
      <x:c r="D96" t="n">
        <x:f>IPO_Data_Collection!F96</x:f>
        <x:v>0</x:v>
      </x:c>
      <x:c r="E96" t="n">
        <x:f>IPO_Data_Collection!G96</x:f>
        <x:v>0</x:v>
      </x:c>
      <x:c r="F96" t="str">
        <x:f>IFERROR(B96/D96,"")</x:f>
      </x:c>
      <x:c r="G96" t="n">
        <x:f>IPO_Data_Collection!J96</x:f>
        <x:v>0</x:v>
      </x:c>
      <x:c r="H96" t="n">
        <x:f>IPO_Data_Collection!K96</x:f>
        <x:v>0</x:v>
      </x:c>
      <x:c r="I96" t="n">
        <x:f>IPO_Data_Collection!Q96</x:f>
        <x:v>0</x:v>
      </x:c>
      <x:c r="J96" t="n">
        <x:f>IPO_Data_Collection!S96</x:f>
        <x:v>0</x:v>
      </x:c>
      <x:c r="K96" t="n">
        <x:f>IPO_Data_Collection!T96</x:f>
        <x:v>0</x:v>
      </x:c>
      <x:c r="L96" t="n">
        <x:f>IPO_Data_Collection!U96</x:f>
        <x:v>0</x:v>
      </x:c>
      <x:c r="M96" t="str">
        <x:f>IF(COUNTA(B96:I96)&gt;=7,"Ready","Missing")</x:f>
        <x:v>Ready</x:v>
      </x:c>
    </x:row>
    <x:row r="97">
      <x:c r="A97" t="str">
        <x:f>IPO_Data_Collection!B97</x:f>
        <x:v>Fractal Analytics Ltd</x:v>
      </x:c>
      <x:c r="B97" t="n">
        <x:f>IPO_Data_Collection!D97</x:f>
        <x:v>0</x:v>
      </x:c>
      <x:c r="C97" t="n">
        <x:f>IPO_Data_Collection!E97</x:f>
        <x:v>0</x:v>
      </x:c>
      <x:c r="D97" t="n">
        <x:f>IPO_Data_Collection!F97</x:f>
        <x:v>0</x:v>
      </x:c>
      <x:c r="E97" t="n">
        <x:f>IPO_Data_Collection!G97</x:f>
        <x:v>0</x:v>
      </x:c>
      <x:c r="F97" t="str">
        <x:f>IFERROR(B97/D97,"")</x:f>
      </x:c>
      <x:c r="G97" t="n">
        <x:f>IPO_Data_Collection!J97</x:f>
        <x:v>0</x:v>
      </x:c>
      <x:c r="H97" t="n">
        <x:f>IPO_Data_Collection!K97</x:f>
        <x:v>0</x:v>
      </x:c>
      <x:c r="I97" t="n">
        <x:f>IPO_Data_Collection!Q97</x:f>
        <x:v>0</x:v>
      </x:c>
      <x:c r="J97" t="n">
        <x:f>IPO_Data_Collection!S97</x:f>
        <x:v>0</x:v>
      </x:c>
      <x:c r="K97" t="n">
        <x:f>IPO_Data_Collection!T97</x:f>
        <x:v>0</x:v>
      </x:c>
      <x:c r="L97" t="n">
        <x:f>IPO_Data_Collection!U97</x:f>
        <x:v>0</x:v>
      </x:c>
      <x:c r="M97" t="str">
        <x:f>IF(COUNTA(B97:I97)&gt;=7,"Ready","Missing")</x:f>
        <x:v>Ready</x:v>
      </x:c>
    </x:row>
    <x:row r="98">
      <x:c r="A98" t="str">
        <x:f>IPO_Data_Collection!B98</x:f>
        <x:v>FSN E-Commerce Ventures (Nykaa)</x:v>
      </x:c>
      <x:c r="B98" t="n">
        <x:f>IPO_Data_Collection!D98</x:f>
        <x:v>0</x:v>
      </x:c>
      <x:c r="C98" t="n">
        <x:f>IPO_Data_Collection!E98</x:f>
        <x:v>0</x:v>
      </x:c>
      <x:c r="D98" t="n">
        <x:f>IPO_Data_Collection!F98</x:f>
        <x:v>0</x:v>
      </x:c>
      <x:c r="E98" t="n">
        <x:f>IPO_Data_Collection!G98</x:f>
        <x:v>0</x:v>
      </x:c>
      <x:c r="F98" t="str">
        <x:f>IFERROR(B98/D98,"")</x:f>
      </x:c>
      <x:c r="G98" t="n">
        <x:f>IPO_Data_Collection!J98</x:f>
        <x:v>0</x:v>
      </x:c>
      <x:c r="H98" t="n">
        <x:f>IPO_Data_Collection!K98</x:f>
        <x:v>0</x:v>
      </x:c>
      <x:c r="I98" t="n">
        <x:f>IPO_Data_Collection!Q98</x:f>
        <x:v>0</x:v>
      </x:c>
      <x:c r="J98" t="n">
        <x:f>IPO_Data_Collection!S98</x:f>
        <x:v>0</x:v>
      </x:c>
      <x:c r="K98" t="n">
        <x:f>IPO_Data_Collection!T98</x:f>
        <x:v>0</x:v>
      </x:c>
      <x:c r="L98" t="n">
        <x:f>IPO_Data_Collection!U98</x:f>
        <x:v>0</x:v>
      </x:c>
      <x:c r="M98" t="str">
        <x:f>IF(COUNTA(B98:I98)&gt;=7,"Ready","Missing")</x:f>
        <x:v>Ready</x:v>
      </x:c>
    </x:row>
    <x:row r="99">
      <x:c r="A99" t="str">
        <x:f>IPO_Data_Collection!B99</x:f>
        <x:v>Fujiyama Power Systems Ltd</x:v>
      </x:c>
      <x:c r="B99" t="n">
        <x:f>IPO_Data_Collection!D99</x:f>
        <x:v>0</x:v>
      </x:c>
      <x:c r="C99" t="n">
        <x:f>IPO_Data_Collection!E99</x:f>
        <x:v>0</x:v>
      </x:c>
      <x:c r="D99" t="n">
        <x:f>IPO_Data_Collection!F99</x:f>
        <x:v>0</x:v>
      </x:c>
      <x:c r="E99" t="n">
        <x:f>IPO_Data_Collection!G99</x:f>
        <x:v>0</x:v>
      </x:c>
      <x:c r="F99" t="str">
        <x:f>IFERROR(B99/D99,"")</x:f>
      </x:c>
      <x:c r="G99" t="n">
        <x:f>IPO_Data_Collection!J99</x:f>
        <x:v>0</x:v>
      </x:c>
      <x:c r="H99" t="n">
        <x:f>IPO_Data_Collection!K99</x:f>
        <x:v>0</x:v>
      </x:c>
      <x:c r="I99" t="n">
        <x:f>IPO_Data_Collection!Q99</x:f>
        <x:v>0</x:v>
      </x:c>
      <x:c r="J99" t="n">
        <x:f>IPO_Data_Collection!S99</x:f>
        <x:v>0</x:v>
      </x:c>
      <x:c r="K99" t="n">
        <x:f>IPO_Data_Collection!T99</x:f>
        <x:v>0</x:v>
      </x:c>
      <x:c r="L99" t="n">
        <x:f>IPO_Data_Collection!U99</x:f>
        <x:v>0</x:v>
      </x:c>
      <x:c r="M99" t="str">
        <x:f>IF(COUNTA(B99:I99)&gt;=7,"Ready","Missing")</x:f>
        <x:v>Ready</x:v>
      </x:c>
    </x:row>
    <x:row r="100">
      <x:c r="A100" t="str">
        <x:f>IPO_Data_Collection!B100</x:f>
        <x:v>Fusion Microfinance</x:v>
      </x:c>
      <x:c r="B100" t="n">
        <x:f>IPO_Data_Collection!D100</x:f>
        <x:v>0</x:v>
      </x:c>
      <x:c r="C100" t="n">
        <x:f>IPO_Data_Collection!E100</x:f>
        <x:v>0</x:v>
      </x:c>
      <x:c r="D100" t="n">
        <x:f>IPO_Data_Collection!F100</x:f>
        <x:v>0</x:v>
      </x:c>
      <x:c r="E100" t="n">
        <x:f>IPO_Data_Collection!G100</x:f>
        <x:v>0</x:v>
      </x:c>
      <x:c r="F100" t="str">
        <x:f>IFERROR(B100/D100,"")</x:f>
      </x:c>
      <x:c r="G100" t="n">
        <x:f>IPO_Data_Collection!J100</x:f>
        <x:v>0</x:v>
      </x:c>
      <x:c r="H100" t="n">
        <x:f>IPO_Data_Collection!K100</x:f>
        <x:v>0</x:v>
      </x:c>
      <x:c r="I100" t="n">
        <x:f>IPO_Data_Collection!Q100</x:f>
        <x:v>0</x:v>
      </x:c>
      <x:c r="J100" t="n">
        <x:f>IPO_Data_Collection!S100</x:f>
        <x:v>0</x:v>
      </x:c>
      <x:c r="K100" t="n">
        <x:f>IPO_Data_Collection!T100</x:f>
        <x:v>0</x:v>
      </x:c>
      <x:c r="L100" t="n">
        <x:f>IPO_Data_Collection!U100</x:f>
        <x:v>0</x:v>
      </x:c>
      <x:c r="M100" t="str">
        <x:f>IF(COUNTA(B100:I100)&gt;=7,"Ready","Missing")</x:f>
        <x:v>Ready</x:v>
      </x:c>
    </x:row>
    <x:row r="101">
      <x:c r="A101" t="str">
        <x:f>IPO_Data_Collection!B101</x:f>
        <x:v>G R Infraprojects</x:v>
      </x:c>
      <x:c r="B101" t="n">
        <x:f>IPO_Data_Collection!D101</x:f>
        <x:v>0</x:v>
      </x:c>
      <x:c r="C101" t="n">
        <x:f>IPO_Data_Collection!E101</x:f>
        <x:v>0</x:v>
      </x:c>
      <x:c r="D101" t="n">
        <x:f>IPO_Data_Collection!F101</x:f>
        <x:v>0</x:v>
      </x:c>
      <x:c r="E101" t="n">
        <x:f>IPO_Data_Collection!G101</x:f>
        <x:v>0</x:v>
      </x:c>
      <x:c r="F101" t="str">
        <x:f>IFERROR(B101/D101,"")</x:f>
      </x:c>
      <x:c r="G101" t="n">
        <x:f>IPO_Data_Collection!J101</x:f>
        <x:v>0</x:v>
      </x:c>
      <x:c r="H101" t="n">
        <x:f>IPO_Data_Collection!K101</x:f>
        <x:v>0</x:v>
      </x:c>
      <x:c r="I101" t="n">
        <x:f>IPO_Data_Collection!Q101</x:f>
        <x:v>0</x:v>
      </x:c>
      <x:c r="J101" t="n">
        <x:f>IPO_Data_Collection!S101</x:f>
        <x:v>0</x:v>
      </x:c>
      <x:c r="K101" t="n">
        <x:f>IPO_Data_Collection!T101</x:f>
        <x:v>0</x:v>
      </x:c>
      <x:c r="L101" t="n">
        <x:f>IPO_Data_Collection!U101</x:f>
        <x:v>0</x:v>
      </x:c>
      <x:c r="M101" t="str">
        <x:f>IF(COUNTA(B101:I101)&gt;=7,"Ready","Missing")</x:f>
        <x:v>Ready</x:v>
      </x:c>
    </x:row>
    <x:row r="102">
      <x:c r="A102" t="str">
        <x:f>IPO_Data_Collection!B102</x:f>
        <x:v>GK Energy Ltd</x:v>
      </x:c>
      <x:c r="B102" t="n">
        <x:f>IPO_Data_Collection!D102</x:f>
        <x:v>0</x:v>
      </x:c>
      <x:c r="C102" t="n">
        <x:f>IPO_Data_Collection!E102</x:f>
        <x:v>0</x:v>
      </x:c>
      <x:c r="D102" t="n">
        <x:f>IPO_Data_Collection!F102</x:f>
        <x:v>0</x:v>
      </x:c>
      <x:c r="E102" t="n">
        <x:f>IPO_Data_Collection!G102</x:f>
        <x:v>0</x:v>
      </x:c>
      <x:c r="F102" t="str">
        <x:f>IFERROR(B102/D102,"")</x:f>
      </x:c>
      <x:c r="G102" t="n">
        <x:f>IPO_Data_Collection!J102</x:f>
        <x:v>0</x:v>
      </x:c>
      <x:c r="H102" t="n">
        <x:f>IPO_Data_Collection!K102</x:f>
        <x:v>0</x:v>
      </x:c>
      <x:c r="I102" t="n">
        <x:f>IPO_Data_Collection!Q102</x:f>
        <x:v>0</x:v>
      </x:c>
      <x:c r="J102" t="n">
        <x:f>IPO_Data_Collection!S102</x:f>
        <x:v>0</x:v>
      </x:c>
      <x:c r="K102" t="n">
        <x:f>IPO_Data_Collection!T102</x:f>
        <x:v>0</x:v>
      </x:c>
      <x:c r="L102" t="n">
        <x:f>IPO_Data_Collection!U102</x:f>
        <x:v>0</x:v>
      </x:c>
      <x:c r="M102" t="str">
        <x:f>IF(COUNTA(B102:I102)&gt;=7,"Ready","Missing")</x:f>
        <x:v>Ready</x:v>
      </x:c>
    </x:row>
    <x:row r="103">
      <x:c r="A103" t="str">
        <x:f>IPO_Data_Collection!B103</x:f>
        <x:v>GNG Electronics Ltd</x:v>
      </x:c>
      <x:c r="B103" t="n">
        <x:f>IPO_Data_Collection!D103</x:f>
        <x:v>0</x:v>
      </x:c>
      <x:c r="C103" t="n">
        <x:f>IPO_Data_Collection!E103</x:f>
        <x:v>0</x:v>
      </x:c>
      <x:c r="D103" t="n">
        <x:f>IPO_Data_Collection!F103</x:f>
        <x:v>0</x:v>
      </x:c>
      <x:c r="E103" t="n">
        <x:f>IPO_Data_Collection!G103</x:f>
        <x:v>0</x:v>
      </x:c>
      <x:c r="F103" t="str">
        <x:f>IFERROR(B103/D103,"")</x:f>
      </x:c>
      <x:c r="G103" t="n">
        <x:f>IPO_Data_Collection!J103</x:f>
        <x:v>0</x:v>
      </x:c>
      <x:c r="H103" t="n">
        <x:f>IPO_Data_Collection!K103</x:f>
        <x:v>0</x:v>
      </x:c>
      <x:c r="I103" t="n">
        <x:f>IPO_Data_Collection!Q103</x:f>
        <x:v>0</x:v>
      </x:c>
      <x:c r="J103" t="n">
        <x:f>IPO_Data_Collection!S103</x:f>
        <x:v>0</x:v>
      </x:c>
      <x:c r="K103" t="n">
        <x:f>IPO_Data_Collection!T103</x:f>
        <x:v>0</x:v>
      </x:c>
      <x:c r="L103" t="n">
        <x:f>IPO_Data_Collection!U103</x:f>
        <x:v>0</x:v>
      </x:c>
      <x:c r="M103" t="str">
        <x:f>IF(COUNTA(B103:I103)&gt;=7,"Ready","Missing")</x:f>
        <x:v>Ready</x:v>
      </x:c>
    </x:row>
    <x:row r="104">
      <x:c r="A104" t="str">
        <x:f>IPO_Data_Collection!B104</x:f>
        <x:v>GPT Healthcare</x:v>
      </x:c>
      <x:c r="B104" t="n">
        <x:f>IPO_Data_Collection!D104</x:f>
        <x:v>0</x:v>
      </x:c>
      <x:c r="C104" t="n">
        <x:f>IPO_Data_Collection!E104</x:f>
        <x:v>0</x:v>
      </x:c>
      <x:c r="D104" t="n">
        <x:f>IPO_Data_Collection!F104</x:f>
        <x:v>0</x:v>
      </x:c>
      <x:c r="E104" t="n">
        <x:f>IPO_Data_Collection!G104</x:f>
        <x:v>0</x:v>
      </x:c>
      <x:c r="F104" t="str">
        <x:f>IFERROR(B104/D104,"")</x:f>
      </x:c>
      <x:c r="G104" t="n">
        <x:f>IPO_Data_Collection!J104</x:f>
        <x:v>0</x:v>
      </x:c>
      <x:c r="H104" t="n">
        <x:f>IPO_Data_Collection!K104</x:f>
        <x:v>0</x:v>
      </x:c>
      <x:c r="I104" t="n">
        <x:f>IPO_Data_Collection!Q104</x:f>
        <x:v>0</x:v>
      </x:c>
      <x:c r="J104" t="n">
        <x:f>IPO_Data_Collection!S104</x:f>
        <x:v>0</x:v>
      </x:c>
      <x:c r="K104" t="n">
        <x:f>IPO_Data_Collection!T104</x:f>
        <x:v>0</x:v>
      </x:c>
      <x:c r="L104" t="n">
        <x:f>IPO_Data_Collection!U104</x:f>
        <x:v>0</x:v>
      </x:c>
      <x:c r="M104" t="str">
        <x:f>IF(COUNTA(B104:I104)&gt;=7,"Ready","Missing")</x:f>
        <x:v>Ready</x:v>
      </x:c>
    </x:row>
    <x:row r="105">
      <x:c r="A105" t="str">
        <x:f>IPO_Data_Collection!B105</x:f>
        <x:v>GSP Crop Science Ltd</x:v>
      </x:c>
      <x:c r="B105" t="n">
        <x:f>IPO_Data_Collection!D105</x:f>
        <x:v>0</x:v>
      </x:c>
      <x:c r="C105" t="n">
        <x:f>IPO_Data_Collection!E105</x:f>
        <x:v>0</x:v>
      </x:c>
      <x:c r="D105" t="n">
        <x:f>IPO_Data_Collection!F105</x:f>
        <x:v>0</x:v>
      </x:c>
      <x:c r="E105" t="n">
        <x:f>IPO_Data_Collection!G105</x:f>
        <x:v>0</x:v>
      </x:c>
      <x:c r="F105" t="str">
        <x:f>IFERROR(B105/D105,"")</x:f>
      </x:c>
      <x:c r="G105" t="n">
        <x:f>IPO_Data_Collection!J105</x:f>
        <x:v>0</x:v>
      </x:c>
      <x:c r="H105" t="n">
        <x:f>IPO_Data_Collection!K105</x:f>
        <x:v>0</x:v>
      </x:c>
      <x:c r="I105" t="n">
        <x:f>IPO_Data_Collection!Q105</x:f>
        <x:v>0</x:v>
      </x:c>
      <x:c r="J105" t="n">
        <x:f>IPO_Data_Collection!S105</x:f>
        <x:v>0</x:v>
      </x:c>
      <x:c r="K105" t="n">
        <x:f>IPO_Data_Collection!T105</x:f>
        <x:v>0</x:v>
      </x:c>
      <x:c r="L105" t="n">
        <x:f>IPO_Data_Collection!U105</x:f>
        <x:v>0</x:v>
      </x:c>
      <x:c r="M105" t="str">
        <x:f>IF(COUNTA(B105:I105)&gt;=7,"Ready","Missing")</x:f>
        <x:v>Ready</x:v>
      </x:c>
    </x:row>
    <x:row r="106">
      <x:c r="A106" t="str">
        <x:f>IPO_Data_Collection!B106</x:f>
        <x:v>Gandhar Oil</x:v>
      </x:c>
      <x:c r="B106" t="n">
        <x:f>IPO_Data_Collection!D106</x:f>
        <x:v>0</x:v>
      </x:c>
      <x:c r="C106" t="n">
        <x:f>IPO_Data_Collection!E106</x:f>
        <x:v>0</x:v>
      </x:c>
      <x:c r="D106" t="n">
        <x:f>IPO_Data_Collection!F106</x:f>
        <x:v>0</x:v>
      </x:c>
      <x:c r="E106" t="n">
        <x:f>IPO_Data_Collection!G106</x:f>
        <x:v>0</x:v>
      </x:c>
      <x:c r="F106" t="str">
        <x:f>IFERROR(B106/D106,"")</x:f>
      </x:c>
      <x:c r="G106" t="n">
        <x:f>IPO_Data_Collection!J106</x:f>
        <x:v>0</x:v>
      </x:c>
      <x:c r="H106" t="n">
        <x:f>IPO_Data_Collection!K106</x:f>
        <x:v>0</x:v>
      </x:c>
      <x:c r="I106" t="n">
        <x:f>IPO_Data_Collection!Q106</x:f>
        <x:v>0</x:v>
      </x:c>
      <x:c r="J106" t="n">
        <x:f>IPO_Data_Collection!S106</x:f>
        <x:v>0</x:v>
      </x:c>
      <x:c r="K106" t="n">
        <x:f>IPO_Data_Collection!T106</x:f>
        <x:v>0</x:v>
      </x:c>
      <x:c r="L106" t="n">
        <x:f>IPO_Data_Collection!U106</x:f>
        <x:v>0</x:v>
      </x:c>
      <x:c r="M106" t="str">
        <x:f>IF(COUNTA(B106:I106)&gt;=7,"Ready","Missing")</x:f>
        <x:v>Ready</x:v>
      </x:c>
    </x:row>
    <x:row r="107">
      <x:c r="A107" t="str">
        <x:f>IPO_Data_Collection!B107</x:f>
        <x:v>Ganesh Consumer Products Ltd</x:v>
      </x:c>
      <x:c r="B107" t="n">
        <x:f>IPO_Data_Collection!D107</x:f>
        <x:v>0</x:v>
      </x:c>
      <x:c r="C107" t="n">
        <x:f>IPO_Data_Collection!E107</x:f>
        <x:v>0</x:v>
      </x:c>
      <x:c r="D107" t="n">
        <x:f>IPO_Data_Collection!F107</x:f>
        <x:v>0</x:v>
      </x:c>
      <x:c r="E107" t="n">
        <x:f>IPO_Data_Collection!G107</x:f>
        <x:v>0</x:v>
      </x:c>
      <x:c r="F107" t="str">
        <x:f>IFERROR(B107/D107,"")</x:f>
      </x:c>
      <x:c r="G107" t="n">
        <x:f>IPO_Data_Collection!J107</x:f>
        <x:v>0</x:v>
      </x:c>
      <x:c r="H107" t="n">
        <x:f>IPO_Data_Collection!K107</x:f>
        <x:v>0</x:v>
      </x:c>
      <x:c r="I107" t="n">
        <x:f>IPO_Data_Collection!Q107</x:f>
        <x:v>0</x:v>
      </x:c>
      <x:c r="J107" t="n">
        <x:f>IPO_Data_Collection!S107</x:f>
        <x:v>0</x:v>
      </x:c>
      <x:c r="K107" t="n">
        <x:f>IPO_Data_Collection!T107</x:f>
        <x:v>0</x:v>
      </x:c>
      <x:c r="L107" t="n">
        <x:f>IPO_Data_Collection!U107</x:f>
        <x:v>0</x:v>
      </x:c>
      <x:c r="M107" t="str">
        <x:f>IF(COUNTA(B107:I107)&gt;=7,"Ready","Missing")</x:f>
        <x:v>Ready</x:v>
      </x:c>
    </x:row>
    <x:row r="108">
      <x:c r="A108" t="str">
        <x:f>IPO_Data_Collection!B108</x:f>
        <x:v>Gaudium IVF and Women Health Ltd</x:v>
      </x:c>
      <x:c r="B108" t="n">
        <x:f>IPO_Data_Collection!D108</x:f>
        <x:v>0</x:v>
      </x:c>
      <x:c r="C108" t="n">
        <x:f>IPO_Data_Collection!E108</x:f>
        <x:v>0</x:v>
      </x:c>
      <x:c r="D108" t="n">
        <x:f>IPO_Data_Collection!F108</x:f>
        <x:v>0</x:v>
      </x:c>
      <x:c r="E108" t="n">
        <x:f>IPO_Data_Collection!G108</x:f>
        <x:v>0</x:v>
      </x:c>
      <x:c r="F108" t="str">
        <x:f>IFERROR(B108/D108,"")</x:f>
      </x:c>
      <x:c r="G108" t="n">
        <x:f>IPO_Data_Collection!J108</x:f>
        <x:v>0</x:v>
      </x:c>
      <x:c r="H108" t="n">
        <x:f>IPO_Data_Collection!K108</x:f>
        <x:v>0</x:v>
      </x:c>
      <x:c r="I108" t="n">
        <x:f>IPO_Data_Collection!Q108</x:f>
        <x:v>0</x:v>
      </x:c>
      <x:c r="J108" t="n">
        <x:f>IPO_Data_Collection!S108</x:f>
        <x:v>0</x:v>
      </x:c>
      <x:c r="K108" t="n">
        <x:f>IPO_Data_Collection!T108</x:f>
        <x:v>0</x:v>
      </x:c>
      <x:c r="L108" t="n">
        <x:f>IPO_Data_Collection!U108</x:f>
        <x:v>0</x:v>
      </x:c>
      <x:c r="M108" t="str">
        <x:f>IF(COUNTA(B108:I108)&gt;=7,"Ready","Missing")</x:f>
        <x:v>Ready</x:v>
      </x:c>
    </x:row>
    <x:row r="109">
      <x:c r="A109" t="str">
        <x:f>IPO_Data_Collection!B109</x:f>
        <x:v>Gem Aromatics Ltd</x:v>
      </x:c>
      <x:c r="B109" t="n">
        <x:f>IPO_Data_Collection!D109</x:f>
        <x:v>0</x:v>
      </x:c>
      <x:c r="C109" t="n">
        <x:f>IPO_Data_Collection!E109</x:f>
        <x:v>0</x:v>
      </x:c>
      <x:c r="D109" t="n">
        <x:f>IPO_Data_Collection!F109</x:f>
        <x:v>0</x:v>
      </x:c>
      <x:c r="E109" t="n">
        <x:f>IPO_Data_Collection!G109</x:f>
        <x:v>0</x:v>
      </x:c>
      <x:c r="F109" t="str">
        <x:f>IFERROR(B109/D109,"")</x:f>
      </x:c>
      <x:c r="G109" t="n">
        <x:f>IPO_Data_Collection!J109</x:f>
        <x:v>0</x:v>
      </x:c>
      <x:c r="H109" t="n">
        <x:f>IPO_Data_Collection!K109</x:f>
        <x:v>0</x:v>
      </x:c>
      <x:c r="I109" t="n">
        <x:f>IPO_Data_Collection!Q109</x:f>
        <x:v>0</x:v>
      </x:c>
      <x:c r="J109" t="n">
        <x:f>IPO_Data_Collection!S109</x:f>
        <x:v>0</x:v>
      </x:c>
      <x:c r="K109" t="n">
        <x:f>IPO_Data_Collection!T109</x:f>
        <x:v>0</x:v>
      </x:c>
      <x:c r="L109" t="n">
        <x:f>IPO_Data_Collection!U109</x:f>
        <x:v>0</x:v>
      </x:c>
      <x:c r="M109" t="str">
        <x:f>IF(COUNTA(B109:I109)&gt;=7,"Ready","Missing")</x:f>
        <x:v>Ready</x:v>
      </x:c>
    </x:row>
    <x:row r="110">
      <x:c r="A110" t="str">
        <x:f>IPO_Data_Collection!B110</x:f>
        <x:v>Gland Pharma</x:v>
      </x:c>
      <x:c r="B110" t="n">
        <x:f>IPO_Data_Collection!D110</x:f>
        <x:v>0</x:v>
      </x:c>
      <x:c r="C110" t="n">
        <x:f>IPO_Data_Collection!E110</x:f>
        <x:v>0</x:v>
      </x:c>
      <x:c r="D110" t="n">
        <x:f>IPO_Data_Collection!F110</x:f>
        <x:v>0</x:v>
      </x:c>
      <x:c r="E110" t="n">
        <x:f>IPO_Data_Collection!G110</x:f>
        <x:v>0</x:v>
      </x:c>
      <x:c r="F110" t="str">
        <x:f>IFERROR(B110/D110,"")</x:f>
      </x:c>
      <x:c r="G110" t="n">
        <x:f>IPO_Data_Collection!J110</x:f>
        <x:v>0</x:v>
      </x:c>
      <x:c r="H110" t="n">
        <x:f>IPO_Data_Collection!K110</x:f>
        <x:v>0</x:v>
      </x:c>
      <x:c r="I110" t="n">
        <x:f>IPO_Data_Collection!Q110</x:f>
        <x:v>0</x:v>
      </x:c>
      <x:c r="J110" t="n">
        <x:f>IPO_Data_Collection!S110</x:f>
        <x:v>0</x:v>
      </x:c>
      <x:c r="K110" t="n">
        <x:f>IPO_Data_Collection!T110</x:f>
        <x:v>0</x:v>
      </x:c>
      <x:c r="L110" t="n">
        <x:f>IPO_Data_Collection!U110</x:f>
        <x:v>0</x:v>
      </x:c>
      <x:c r="M110" t="str">
        <x:f>IF(COUNTA(B110:I110)&gt;=7,"Ready","Missing")</x:f>
        <x:v>Ready</x:v>
      </x:c>
    </x:row>
    <x:row r="111">
      <x:c r="A111" t="str">
        <x:f>IPO_Data_Collection!B111</x:f>
        <x:v>Global Health (Medanta)</x:v>
      </x:c>
      <x:c r="B111" t="n">
        <x:f>IPO_Data_Collection!D111</x:f>
        <x:v>0</x:v>
      </x:c>
      <x:c r="C111" t="n">
        <x:f>IPO_Data_Collection!E111</x:f>
        <x:v>0</x:v>
      </x:c>
      <x:c r="D111" t="n">
        <x:f>IPO_Data_Collection!F111</x:f>
        <x:v>0</x:v>
      </x:c>
      <x:c r="E111" t="n">
        <x:f>IPO_Data_Collection!G111</x:f>
        <x:v>0</x:v>
      </x:c>
      <x:c r="F111" t="str">
        <x:f>IFERROR(B111/D111,"")</x:f>
      </x:c>
      <x:c r="G111" t="n">
        <x:f>IPO_Data_Collection!J111</x:f>
        <x:v>0</x:v>
      </x:c>
      <x:c r="H111" t="n">
        <x:f>IPO_Data_Collection!K111</x:f>
        <x:v>0</x:v>
      </x:c>
      <x:c r="I111" t="n">
        <x:f>IPO_Data_Collection!Q111</x:f>
        <x:v>0</x:v>
      </x:c>
      <x:c r="J111" t="n">
        <x:f>IPO_Data_Collection!S111</x:f>
        <x:v>0</x:v>
      </x:c>
      <x:c r="K111" t="n">
        <x:f>IPO_Data_Collection!T111</x:f>
        <x:v>0</x:v>
      </x:c>
      <x:c r="L111" t="n">
        <x:f>IPO_Data_Collection!U111</x:f>
        <x:v>0</x:v>
      </x:c>
      <x:c r="M111" t="str">
        <x:f>IF(COUNTA(B111:I111)&gt;=7,"Ready","Missing")</x:f>
        <x:v>Ready</x:v>
      </x:c>
    </x:row>
    <x:row r="112">
      <x:c r="A112" t="str">
        <x:f>IPO_Data_Collection!B112</x:f>
        <x:v>Global Surfaces</x:v>
      </x:c>
      <x:c r="B112" t="n">
        <x:f>IPO_Data_Collection!D112</x:f>
        <x:v>0</x:v>
      </x:c>
      <x:c r="C112" t="n">
        <x:f>IPO_Data_Collection!E112</x:f>
        <x:v>0</x:v>
      </x:c>
      <x:c r="D112" t="n">
        <x:f>IPO_Data_Collection!F112</x:f>
        <x:v>0</x:v>
      </x:c>
      <x:c r="E112" t="n">
        <x:f>IPO_Data_Collection!G112</x:f>
        <x:v>0</x:v>
      </x:c>
      <x:c r="F112" t="str">
        <x:f>IFERROR(B112/D112,"")</x:f>
      </x:c>
      <x:c r="G112" t="n">
        <x:f>IPO_Data_Collection!J112</x:f>
        <x:v>0</x:v>
      </x:c>
      <x:c r="H112" t="n">
        <x:f>IPO_Data_Collection!K112</x:f>
        <x:v>0</x:v>
      </x:c>
      <x:c r="I112" t="n">
        <x:f>IPO_Data_Collection!Q112</x:f>
        <x:v>0</x:v>
      </x:c>
      <x:c r="J112" t="n">
        <x:f>IPO_Data_Collection!S112</x:f>
        <x:v>0</x:v>
      </x:c>
      <x:c r="K112" t="n">
        <x:f>IPO_Data_Collection!T112</x:f>
        <x:v>0</x:v>
      </x:c>
      <x:c r="L112" t="n">
        <x:f>IPO_Data_Collection!U112</x:f>
        <x:v>0</x:v>
      </x:c>
      <x:c r="M112" t="str">
        <x:f>IF(COUNTA(B112:I112)&gt;=7,"Ready","Missing")</x:f>
        <x:v>Ready</x:v>
      </x:c>
    </x:row>
    <x:row r="113">
      <x:c r="A113" t="str">
        <x:f>IPO_Data_Collection!B113</x:f>
        <x:v>Glenmark Life Sciences</x:v>
      </x:c>
      <x:c r="B113" t="n">
        <x:f>IPO_Data_Collection!D113</x:f>
        <x:v>0</x:v>
      </x:c>
      <x:c r="C113" t="n">
        <x:f>IPO_Data_Collection!E113</x:f>
        <x:v>0</x:v>
      </x:c>
      <x:c r="D113" t="n">
        <x:f>IPO_Data_Collection!F113</x:f>
        <x:v>0</x:v>
      </x:c>
      <x:c r="E113" t="n">
        <x:f>IPO_Data_Collection!G113</x:f>
        <x:v>0</x:v>
      </x:c>
      <x:c r="F113" t="str">
        <x:f>IFERROR(B113/D113,"")</x:f>
      </x:c>
      <x:c r="G113" t="n">
        <x:f>IPO_Data_Collection!J113</x:f>
        <x:v>0</x:v>
      </x:c>
      <x:c r="H113" t="n">
        <x:f>IPO_Data_Collection!K113</x:f>
        <x:v>0</x:v>
      </x:c>
      <x:c r="I113" t="n">
        <x:f>IPO_Data_Collection!Q113</x:f>
        <x:v>0</x:v>
      </x:c>
      <x:c r="J113" t="n">
        <x:f>IPO_Data_Collection!S113</x:f>
        <x:v>0</x:v>
      </x:c>
      <x:c r="K113" t="n">
        <x:f>IPO_Data_Collection!T113</x:f>
        <x:v>0</x:v>
      </x:c>
      <x:c r="L113" t="n">
        <x:f>IPO_Data_Collection!U113</x:f>
        <x:v>0</x:v>
      </x:c>
      <x:c r="M113" t="str">
        <x:f>IF(COUNTA(B113:I113)&gt;=7,"Ready","Missing")</x:f>
        <x:v>Ready</x:v>
      </x:c>
    </x:row>
    <x:row r="114">
      <x:c r="A114" t="str">
        <x:f>IPO_Data_Collection!B114</x:f>
        <x:v>Globe Civil Projects Limited</x:v>
      </x:c>
      <x:c r="B114" t="n">
        <x:f>IPO_Data_Collection!D114</x:f>
        <x:v>0</x:v>
      </x:c>
      <x:c r="C114" t="n">
        <x:f>IPO_Data_Collection!E114</x:f>
        <x:v>0</x:v>
      </x:c>
      <x:c r="D114" t="n">
        <x:f>IPO_Data_Collection!F114</x:f>
        <x:v>0</x:v>
      </x:c>
      <x:c r="E114" t="n">
        <x:f>IPO_Data_Collection!G114</x:f>
        <x:v>0</x:v>
      </x:c>
      <x:c r="F114" t="str">
        <x:f>IFERROR(B114/D114,"")</x:f>
      </x:c>
      <x:c r="G114" t="n">
        <x:f>IPO_Data_Collection!J114</x:f>
        <x:v>0</x:v>
      </x:c>
      <x:c r="H114" t="n">
        <x:f>IPO_Data_Collection!K114</x:f>
        <x:v>0</x:v>
      </x:c>
      <x:c r="I114" t="n">
        <x:f>IPO_Data_Collection!Q114</x:f>
        <x:v>0</x:v>
      </x:c>
      <x:c r="J114" t="n">
        <x:f>IPO_Data_Collection!S114</x:f>
        <x:v>0</x:v>
      </x:c>
      <x:c r="K114" t="n">
        <x:f>IPO_Data_Collection!T114</x:f>
        <x:v>0</x:v>
      </x:c>
      <x:c r="L114" t="n">
        <x:f>IPO_Data_Collection!U114</x:f>
        <x:v>0</x:v>
      </x:c>
      <x:c r="M114" t="str">
        <x:f>IF(COUNTA(B114:I114)&gt;=7,"Ready","Missing")</x:f>
        <x:v>Ready</x:v>
      </x:c>
    </x:row>
    <x:row r="115">
      <x:c r="A115" t="str">
        <x:f>IPO_Data_Collection!B115</x:f>
        <x:v>Glottis Ltd</x:v>
      </x:c>
      <x:c r="B115" t="n">
        <x:f>IPO_Data_Collection!D115</x:f>
        <x:v>0</x:v>
      </x:c>
      <x:c r="C115" t="n">
        <x:f>IPO_Data_Collection!E115</x:f>
        <x:v>0</x:v>
      </x:c>
      <x:c r="D115" t="n">
        <x:f>IPO_Data_Collection!F115</x:f>
        <x:v>0</x:v>
      </x:c>
      <x:c r="E115" t="n">
        <x:f>IPO_Data_Collection!G115</x:f>
        <x:v>0</x:v>
      </x:c>
      <x:c r="F115" t="str">
        <x:f>IFERROR(B115/D115,"")</x:f>
      </x:c>
      <x:c r="G115" t="n">
        <x:f>IPO_Data_Collection!J115</x:f>
        <x:v>0</x:v>
      </x:c>
      <x:c r="H115" t="n">
        <x:f>IPO_Data_Collection!K115</x:f>
        <x:v>0</x:v>
      </x:c>
      <x:c r="I115" t="n">
        <x:f>IPO_Data_Collection!Q115</x:f>
        <x:v>0</x:v>
      </x:c>
      <x:c r="J115" t="n">
        <x:f>IPO_Data_Collection!S115</x:f>
        <x:v>0</x:v>
      </x:c>
      <x:c r="K115" t="n">
        <x:f>IPO_Data_Collection!T115</x:f>
        <x:v>0</x:v>
      </x:c>
      <x:c r="L115" t="n">
        <x:f>IPO_Data_Collection!U115</x:f>
        <x:v>0</x:v>
      </x:c>
      <x:c r="M115" t="str">
        <x:f>IF(COUNTA(B115:I115)&gt;=7,"Ready","Missing")</x:f>
        <x:v>Ready</x:v>
      </x:c>
    </x:row>
    <x:row r="116">
      <x:c r="A116" t="str">
        <x:f>IPO_Data_Collection!B116</x:f>
        <x:v>Go Fashion (India)</x:v>
      </x:c>
      <x:c r="B116" t="n">
        <x:f>IPO_Data_Collection!D116</x:f>
        <x:v>0</x:v>
      </x:c>
      <x:c r="C116" t="n">
        <x:f>IPO_Data_Collection!E116</x:f>
        <x:v>0</x:v>
      </x:c>
      <x:c r="D116" t="n">
        <x:f>IPO_Data_Collection!F116</x:f>
        <x:v>0</x:v>
      </x:c>
      <x:c r="E116" t="n">
        <x:f>IPO_Data_Collection!G116</x:f>
        <x:v>0</x:v>
      </x:c>
      <x:c r="F116" t="str">
        <x:f>IFERROR(B116/D116,"")</x:f>
      </x:c>
      <x:c r="G116" t="n">
        <x:f>IPO_Data_Collection!J116</x:f>
        <x:v>0</x:v>
      </x:c>
      <x:c r="H116" t="n">
        <x:f>IPO_Data_Collection!K116</x:f>
        <x:v>0</x:v>
      </x:c>
      <x:c r="I116" t="n">
        <x:f>IPO_Data_Collection!Q116</x:f>
        <x:v>0</x:v>
      </x:c>
      <x:c r="J116" t="n">
        <x:f>IPO_Data_Collection!S116</x:f>
        <x:v>0</x:v>
      </x:c>
      <x:c r="K116" t="n">
        <x:f>IPO_Data_Collection!T116</x:f>
        <x:v>0</x:v>
      </x:c>
      <x:c r="L116" t="n">
        <x:f>IPO_Data_Collection!U116</x:f>
        <x:v>0</x:v>
      </x:c>
      <x:c r="M116" t="str">
        <x:f>IF(COUNTA(B116:I116)&gt;=7,"Ready","Missing")</x:f>
        <x:v>Ready</x:v>
      </x:c>
    </x:row>
    <x:row r="117">
      <x:c r="A117" t="str">
        <x:f>IPO_Data_Collection!B117</x:f>
        <x:v>Gujarat Kidney and Super Speciality Ltd</x:v>
      </x:c>
      <x:c r="B117" t="n">
        <x:f>IPO_Data_Collection!D117</x:f>
        <x:v>0</x:v>
      </x:c>
      <x:c r="C117" t="n">
        <x:f>IPO_Data_Collection!E117</x:f>
        <x:v>0</x:v>
      </x:c>
      <x:c r="D117" t="n">
        <x:f>IPO_Data_Collection!F117</x:f>
        <x:v>0</x:v>
      </x:c>
      <x:c r="E117" t="n">
        <x:f>IPO_Data_Collection!G117</x:f>
        <x:v>0</x:v>
      </x:c>
      <x:c r="F117" t="str">
        <x:f>IFERROR(B117/D117,"")</x:f>
      </x:c>
      <x:c r="G117" t="n">
        <x:f>IPO_Data_Collection!J117</x:f>
        <x:v>0</x:v>
      </x:c>
      <x:c r="H117" t="n">
        <x:f>IPO_Data_Collection!K117</x:f>
        <x:v>0</x:v>
      </x:c>
      <x:c r="I117" t="n">
        <x:f>IPO_Data_Collection!Q117</x:f>
        <x:v>0</x:v>
      </x:c>
      <x:c r="J117" t="n">
        <x:f>IPO_Data_Collection!S117</x:f>
        <x:v>0</x:v>
      </x:c>
      <x:c r="K117" t="n">
        <x:f>IPO_Data_Collection!T117</x:f>
        <x:v>0</x:v>
      </x:c>
      <x:c r="L117" t="n">
        <x:f>IPO_Data_Collection!U117</x:f>
        <x:v>0</x:v>
      </x:c>
      <x:c r="M117" t="str">
        <x:f>IF(COUNTA(B117:I117)&gt;=7,"Ready","Missing")</x:f>
        <x:v>Ready</x:v>
      </x:c>
    </x:row>
    <x:row r="118">
      <x:c r="A118" t="str">
        <x:f>IPO_Data_Collection!B118</x:f>
        <x:v>HDB Financial Services Limited</x:v>
      </x:c>
      <x:c r="B118" t="n">
        <x:f>IPO_Data_Collection!D118</x:f>
        <x:v>0</x:v>
      </x:c>
      <x:c r="C118" t="n">
        <x:f>IPO_Data_Collection!E118</x:f>
        <x:v>0</x:v>
      </x:c>
      <x:c r="D118" t="n">
        <x:f>IPO_Data_Collection!F118</x:f>
        <x:v>0</x:v>
      </x:c>
      <x:c r="E118" t="n">
        <x:f>IPO_Data_Collection!G118</x:f>
        <x:v>0</x:v>
      </x:c>
      <x:c r="F118" t="str">
        <x:f>IFERROR(B118/D118,"")</x:f>
      </x:c>
      <x:c r="G118" t="n">
        <x:f>IPO_Data_Collection!J118</x:f>
        <x:v>0</x:v>
      </x:c>
      <x:c r="H118" t="n">
        <x:f>IPO_Data_Collection!K118</x:f>
        <x:v>0</x:v>
      </x:c>
      <x:c r="I118" t="n">
        <x:f>IPO_Data_Collection!Q118</x:f>
        <x:v>0</x:v>
      </x:c>
      <x:c r="J118" t="n">
        <x:f>IPO_Data_Collection!S118</x:f>
        <x:v>0</x:v>
      </x:c>
      <x:c r="K118" t="n">
        <x:f>IPO_Data_Collection!T118</x:f>
        <x:v>0</x:v>
      </x:c>
      <x:c r="L118" t="n">
        <x:f>IPO_Data_Collection!U118</x:f>
        <x:v>0</x:v>
      </x:c>
      <x:c r="M118" t="str">
        <x:f>IF(COUNTA(B118:I118)&gt;=7,"Ready","Missing")</x:f>
        <x:v>Ready</x:v>
      </x:c>
    </x:row>
    <x:row r="119">
      <x:c r="A119" t="str">
        <x:f>IPO_Data_Collection!B119</x:f>
        <x:v>HMA Agro</x:v>
      </x:c>
      <x:c r="B119" t="n">
        <x:f>IPO_Data_Collection!D119</x:f>
        <x:v>0</x:v>
      </x:c>
      <x:c r="C119" t="n">
        <x:f>IPO_Data_Collection!E119</x:f>
        <x:v>0</x:v>
      </x:c>
      <x:c r="D119" t="n">
        <x:f>IPO_Data_Collection!F119</x:f>
        <x:v>0</x:v>
      </x:c>
      <x:c r="E119" t="n">
        <x:f>IPO_Data_Collection!G119</x:f>
        <x:v>0</x:v>
      </x:c>
      <x:c r="F119" t="str">
        <x:f>IFERROR(B119/D119,"")</x:f>
      </x:c>
      <x:c r="G119" t="n">
        <x:f>IPO_Data_Collection!J119</x:f>
        <x:v>0</x:v>
      </x:c>
      <x:c r="H119" t="n">
        <x:f>IPO_Data_Collection!K119</x:f>
        <x:v>0</x:v>
      </x:c>
      <x:c r="I119" t="n">
        <x:f>IPO_Data_Collection!Q119</x:f>
        <x:v>0</x:v>
      </x:c>
      <x:c r="J119" t="n">
        <x:f>IPO_Data_Collection!S119</x:f>
        <x:v>0</x:v>
      </x:c>
      <x:c r="K119" t="n">
        <x:f>IPO_Data_Collection!T119</x:f>
        <x:v>0</x:v>
      </x:c>
      <x:c r="L119" t="n">
        <x:f>IPO_Data_Collection!U119</x:f>
        <x:v>0</x:v>
      </x:c>
      <x:c r="M119" t="str">
        <x:f>IF(COUNTA(B119:I119)&gt;=7,"Ready","Missing")</x:f>
        <x:v>Ready</x:v>
      </x:c>
    </x:row>
    <x:row r="120">
      <x:c r="A120" t="str">
        <x:f>IPO_Data_Collection!B120</x:f>
        <x:v>HP Adhesives</x:v>
      </x:c>
      <x:c r="B120" t="n">
        <x:f>IPO_Data_Collection!D120</x:f>
        <x:v>0</x:v>
      </x:c>
      <x:c r="C120" t="n">
        <x:f>IPO_Data_Collection!E120</x:f>
        <x:v>0</x:v>
      </x:c>
      <x:c r="D120" t="n">
        <x:f>IPO_Data_Collection!F120</x:f>
        <x:v>0</x:v>
      </x:c>
      <x:c r="E120" t="n">
        <x:f>IPO_Data_Collection!G120</x:f>
        <x:v>0</x:v>
      </x:c>
      <x:c r="F120" t="str">
        <x:f>IFERROR(B120/D120,"")</x:f>
      </x:c>
      <x:c r="G120" t="n">
        <x:f>IPO_Data_Collection!J120</x:f>
        <x:v>0</x:v>
      </x:c>
      <x:c r="H120" t="n">
        <x:f>IPO_Data_Collection!K120</x:f>
        <x:v>0</x:v>
      </x:c>
      <x:c r="I120" t="n">
        <x:f>IPO_Data_Collection!Q120</x:f>
        <x:v>0</x:v>
      </x:c>
      <x:c r="J120" t="n">
        <x:f>IPO_Data_Collection!S120</x:f>
        <x:v>0</x:v>
      </x:c>
      <x:c r="K120" t="n">
        <x:f>IPO_Data_Collection!T120</x:f>
        <x:v>0</x:v>
      </x:c>
      <x:c r="L120" t="n">
        <x:f>IPO_Data_Collection!U120</x:f>
        <x:v>0</x:v>
      </x:c>
      <x:c r="M120" t="str">
        <x:f>IF(COUNTA(B120:I120)&gt;=7,"Ready","Missing")</x:f>
        <x:v>Ready</x:v>
      </x:c>
    </x:row>
    <x:row r="121">
      <x:c r="A121" t="str">
        <x:f>IPO_Data_Collection!B121</x:f>
        <x:v>HariOm Pipe</x:v>
      </x:c>
      <x:c r="B121" t="n">
        <x:f>IPO_Data_Collection!D121</x:f>
        <x:v>0</x:v>
      </x:c>
      <x:c r="C121" t="n">
        <x:f>IPO_Data_Collection!E121</x:f>
        <x:v>0</x:v>
      </x:c>
      <x:c r="D121" t="n">
        <x:f>IPO_Data_Collection!F121</x:f>
        <x:v>0</x:v>
      </x:c>
      <x:c r="E121" t="n">
        <x:f>IPO_Data_Collection!G121</x:f>
        <x:v>0</x:v>
      </x:c>
      <x:c r="F121" t="str">
        <x:f>IFERROR(B121/D121,"")</x:f>
      </x:c>
      <x:c r="G121" t="n">
        <x:f>IPO_Data_Collection!J121</x:f>
        <x:v>0</x:v>
      </x:c>
      <x:c r="H121" t="n">
        <x:f>IPO_Data_Collection!K121</x:f>
        <x:v>0</x:v>
      </x:c>
      <x:c r="I121" t="n">
        <x:f>IPO_Data_Collection!Q121</x:f>
        <x:v>0</x:v>
      </x:c>
      <x:c r="J121" t="n">
        <x:f>IPO_Data_Collection!S121</x:f>
        <x:v>0</x:v>
      </x:c>
      <x:c r="K121" t="n">
        <x:f>IPO_Data_Collection!T121</x:f>
        <x:v>0</x:v>
      </x:c>
      <x:c r="L121" t="n">
        <x:f>IPO_Data_Collection!U121</x:f>
        <x:v>0</x:v>
      </x:c>
      <x:c r="M121" t="str">
        <x:f>IF(COUNTA(B121:I121)&gt;=7,"Ready","Missing")</x:f>
        <x:v>Ready</x:v>
      </x:c>
    </x:row>
    <x:row r="122">
      <x:c r="A122" t="str">
        <x:f>IPO_Data_Collection!B122</x:f>
        <x:v>Happy Forgings</x:v>
      </x:c>
      <x:c r="B122" t="n">
        <x:f>IPO_Data_Collection!D122</x:f>
        <x:v>0</x:v>
      </x:c>
      <x:c r="C122" t="n">
        <x:f>IPO_Data_Collection!E122</x:f>
        <x:v>0</x:v>
      </x:c>
      <x:c r="D122" t="n">
        <x:f>IPO_Data_Collection!F122</x:f>
        <x:v>0</x:v>
      </x:c>
      <x:c r="E122" t="n">
        <x:f>IPO_Data_Collection!G122</x:f>
        <x:v>0</x:v>
      </x:c>
      <x:c r="F122" t="str">
        <x:f>IFERROR(B122/D122,"")</x:f>
      </x:c>
      <x:c r="G122" t="n">
        <x:f>IPO_Data_Collection!J122</x:f>
        <x:v>0</x:v>
      </x:c>
      <x:c r="H122" t="n">
        <x:f>IPO_Data_Collection!K122</x:f>
        <x:v>0</x:v>
      </x:c>
      <x:c r="I122" t="n">
        <x:f>IPO_Data_Collection!Q122</x:f>
        <x:v>0</x:v>
      </x:c>
      <x:c r="J122" t="n">
        <x:f>IPO_Data_Collection!S122</x:f>
        <x:v>0</x:v>
      </x:c>
      <x:c r="K122" t="n">
        <x:f>IPO_Data_Collection!T122</x:f>
        <x:v>0</x:v>
      </x:c>
      <x:c r="L122" t="n">
        <x:f>IPO_Data_Collection!U122</x:f>
        <x:v>0</x:v>
      </x:c>
      <x:c r="M122" t="str">
        <x:f>IF(COUNTA(B122:I122)&gt;=7,"Ready","Missing")</x:f>
        <x:v>Ready</x:v>
      </x:c>
    </x:row>
    <x:row r="123">
      <x:c r="A123" t="str">
        <x:f>IPO_Data_Collection!B123</x:f>
        <x:v>Happiest Minds Technologies</x:v>
      </x:c>
      <x:c r="B123" t="n">
        <x:f>IPO_Data_Collection!D123</x:f>
        <x:v>0</x:v>
      </x:c>
      <x:c r="C123" t="n">
        <x:f>IPO_Data_Collection!E123</x:f>
        <x:v>0</x:v>
      </x:c>
      <x:c r="D123" t="n">
        <x:f>IPO_Data_Collection!F123</x:f>
        <x:v>0</x:v>
      </x:c>
      <x:c r="E123" t="n">
        <x:f>IPO_Data_Collection!G123</x:f>
        <x:v>0</x:v>
      </x:c>
      <x:c r="F123" t="str">
        <x:f>IFERROR(B123/D123,"")</x:f>
      </x:c>
      <x:c r="G123" t="n">
        <x:f>IPO_Data_Collection!J123</x:f>
        <x:v>0</x:v>
      </x:c>
      <x:c r="H123" t="n">
        <x:f>IPO_Data_Collection!K123</x:f>
        <x:v>0</x:v>
      </x:c>
      <x:c r="I123" t="n">
        <x:f>IPO_Data_Collection!Q123</x:f>
        <x:v>0</x:v>
      </x:c>
      <x:c r="J123" t="n">
        <x:f>IPO_Data_Collection!S123</x:f>
        <x:v>0</x:v>
      </x:c>
      <x:c r="K123" t="n">
        <x:f>IPO_Data_Collection!T123</x:f>
        <x:v>0</x:v>
      </x:c>
      <x:c r="L123" t="n">
        <x:f>IPO_Data_Collection!U123</x:f>
        <x:v>0</x:v>
      </x:c>
      <x:c r="M123" t="str">
        <x:f>IF(COUNTA(B123:I123)&gt;=7,"Ready","Missing")</x:f>
        <x:v>Ready</x:v>
      </x:c>
    </x:row>
    <x:row r="124">
      <x:c r="A124" t="str">
        <x:f>IPO_Data_Collection!B124</x:f>
        <x:v>Harsha Engineers International</x:v>
      </x:c>
      <x:c r="B124" t="n">
        <x:f>IPO_Data_Collection!D124</x:f>
        <x:v>0</x:v>
      </x:c>
      <x:c r="C124" t="n">
        <x:f>IPO_Data_Collection!E124</x:f>
        <x:v>0</x:v>
      </x:c>
      <x:c r="D124" t="n">
        <x:f>IPO_Data_Collection!F124</x:f>
        <x:v>0</x:v>
      </x:c>
      <x:c r="E124" t="n">
        <x:f>IPO_Data_Collection!G124</x:f>
        <x:v>0</x:v>
      </x:c>
      <x:c r="F124" t="str">
        <x:f>IFERROR(B124/D124,"")</x:f>
      </x:c>
      <x:c r="G124" t="n">
        <x:f>IPO_Data_Collection!J124</x:f>
        <x:v>0</x:v>
      </x:c>
      <x:c r="H124" t="n">
        <x:f>IPO_Data_Collection!K124</x:f>
        <x:v>0</x:v>
      </x:c>
      <x:c r="I124" t="n">
        <x:f>IPO_Data_Collection!Q124</x:f>
        <x:v>0</x:v>
      </x:c>
      <x:c r="J124" t="n">
        <x:f>IPO_Data_Collection!S124</x:f>
        <x:v>0</x:v>
      </x:c>
      <x:c r="K124" t="n">
        <x:f>IPO_Data_Collection!T124</x:f>
        <x:v>0</x:v>
      </x:c>
      <x:c r="L124" t="n">
        <x:f>IPO_Data_Collection!U124</x:f>
        <x:v>0</x:v>
      </x:c>
      <x:c r="M124" t="str">
        <x:f>IF(COUNTA(B124:I124)&gt;=7,"Ready","Missing")</x:f>
        <x:v>Ready</x:v>
      </x:c>
    </x:row>
    <x:row r="125">
      <x:c r="A125" t="str">
        <x:f>IPO_Data_Collection!B125</x:f>
        <x:v>Heranba Industries</x:v>
      </x:c>
      <x:c r="B125" t="n">
        <x:f>IPO_Data_Collection!D125</x:f>
        <x:v>0</x:v>
      </x:c>
      <x:c r="C125" t="n">
        <x:f>IPO_Data_Collection!E125</x:f>
        <x:v>0</x:v>
      </x:c>
      <x:c r="D125" t="n">
        <x:f>IPO_Data_Collection!F125</x:f>
        <x:v>0</x:v>
      </x:c>
      <x:c r="E125" t="n">
        <x:f>IPO_Data_Collection!G125</x:f>
        <x:v>0</x:v>
      </x:c>
      <x:c r="F125" t="str">
        <x:f>IFERROR(B125/D125,"")</x:f>
      </x:c>
      <x:c r="G125" t="n">
        <x:f>IPO_Data_Collection!J125</x:f>
        <x:v>0</x:v>
      </x:c>
      <x:c r="H125" t="n">
        <x:f>IPO_Data_Collection!K125</x:f>
        <x:v>0</x:v>
      </x:c>
      <x:c r="I125" t="n">
        <x:f>IPO_Data_Collection!Q125</x:f>
        <x:v>0</x:v>
      </x:c>
      <x:c r="J125" t="n">
        <x:f>IPO_Data_Collection!S125</x:f>
        <x:v>0</x:v>
      </x:c>
      <x:c r="K125" t="n">
        <x:f>IPO_Data_Collection!T125</x:f>
        <x:v>0</x:v>
      </x:c>
      <x:c r="L125" t="n">
        <x:f>IPO_Data_Collection!U125</x:f>
        <x:v>0</x:v>
      </x:c>
      <x:c r="M125" t="str">
        <x:f>IF(COUNTA(B125:I125)&gt;=7,"Ready","Missing")</x:f>
        <x:v>Ready</x:v>
      </x:c>
    </x:row>
    <x:row r="126">
      <x:c r="A126" t="str">
        <x:f>IPO_Data_Collection!B126</x:f>
        <x:v>Highway Infrastructure Ltd</x:v>
      </x:c>
      <x:c r="B126" t="n">
        <x:f>IPO_Data_Collection!D126</x:f>
        <x:v>0</x:v>
      </x:c>
      <x:c r="C126" t="n">
        <x:f>IPO_Data_Collection!E126</x:f>
        <x:v>0</x:v>
      </x:c>
      <x:c r="D126" t="n">
        <x:f>IPO_Data_Collection!F126</x:f>
        <x:v>0</x:v>
      </x:c>
      <x:c r="E126" t="n">
        <x:f>IPO_Data_Collection!G126</x:f>
        <x:v>0</x:v>
      </x:c>
      <x:c r="F126" t="str">
        <x:f>IFERROR(B126/D126,"")</x:f>
      </x:c>
      <x:c r="G126" t="n">
        <x:f>IPO_Data_Collection!J126</x:f>
        <x:v>0</x:v>
      </x:c>
      <x:c r="H126" t="n">
        <x:f>IPO_Data_Collection!K126</x:f>
        <x:v>0</x:v>
      </x:c>
      <x:c r="I126" t="n">
        <x:f>IPO_Data_Collection!Q126</x:f>
        <x:v>0</x:v>
      </x:c>
      <x:c r="J126" t="n">
        <x:f>IPO_Data_Collection!S126</x:f>
        <x:v>0</x:v>
      </x:c>
      <x:c r="K126" t="n">
        <x:f>IPO_Data_Collection!T126</x:f>
        <x:v>0</x:v>
      </x:c>
      <x:c r="L126" t="n">
        <x:f>IPO_Data_Collection!U126</x:f>
        <x:v>0</x:v>
      </x:c>
      <x:c r="M126" t="str">
        <x:f>IF(COUNTA(B126:I126)&gt;=7,"Ready","Missing")</x:f>
        <x:v>Ready</x:v>
      </x:c>
    </x:row>
    <x:row r="127">
      <x:c r="A127" t="str">
        <x:f>IPO_Data_Collection!B127</x:f>
        <x:v>Home First Finance</x:v>
      </x:c>
      <x:c r="B127" t="n">
        <x:f>IPO_Data_Collection!D127</x:f>
        <x:v>0</x:v>
      </x:c>
      <x:c r="C127" t="n">
        <x:f>IPO_Data_Collection!E127</x:f>
        <x:v>0</x:v>
      </x:c>
      <x:c r="D127" t="n">
        <x:f>IPO_Data_Collection!F127</x:f>
        <x:v>0</x:v>
      </x:c>
      <x:c r="E127" t="n">
        <x:f>IPO_Data_Collection!G127</x:f>
        <x:v>0</x:v>
      </x:c>
      <x:c r="F127" t="str">
        <x:f>IFERROR(B127/D127,"")</x:f>
      </x:c>
      <x:c r="G127" t="n">
        <x:f>IPO_Data_Collection!J127</x:f>
        <x:v>0</x:v>
      </x:c>
      <x:c r="H127" t="n">
        <x:f>IPO_Data_Collection!K127</x:f>
        <x:v>0</x:v>
      </x:c>
      <x:c r="I127" t="n">
        <x:f>IPO_Data_Collection!Q127</x:f>
        <x:v>0</x:v>
      </x:c>
      <x:c r="J127" t="n">
        <x:f>IPO_Data_Collection!S127</x:f>
        <x:v>0</x:v>
      </x:c>
      <x:c r="K127" t="n">
        <x:f>IPO_Data_Collection!T127</x:f>
        <x:v>0</x:v>
      </x:c>
      <x:c r="L127" t="n">
        <x:f>IPO_Data_Collection!U127</x:f>
        <x:v>0</x:v>
      </x:c>
      <x:c r="M127" t="str">
        <x:f>IF(COUNTA(B127:I127)&gt;=7,"Ready","Missing")</x:f>
        <x:v>Ready</x:v>
      </x:c>
    </x:row>
    <x:row r="128">
      <x:c r="A128" t="str">
        <x:f>IPO_Data_Collection!B128</x:f>
        <x:v>Hyundai Motor</x:v>
      </x:c>
      <x:c r="B128" t="n">
        <x:f>IPO_Data_Collection!D128</x:f>
        <x:v>0</x:v>
      </x:c>
      <x:c r="C128" t="n">
        <x:f>IPO_Data_Collection!E128</x:f>
        <x:v>0</x:v>
      </x:c>
      <x:c r="D128" t="n">
        <x:f>IPO_Data_Collection!F128</x:f>
        <x:v>0</x:v>
      </x:c>
      <x:c r="E128" t="n">
        <x:f>IPO_Data_Collection!G128</x:f>
        <x:v>0</x:v>
      </x:c>
      <x:c r="F128" t="str">
        <x:f>IFERROR(B128/D128,"")</x:f>
      </x:c>
      <x:c r="G128" t="n">
        <x:f>IPO_Data_Collection!J128</x:f>
        <x:v>0</x:v>
      </x:c>
      <x:c r="H128" t="n">
        <x:f>IPO_Data_Collection!K128</x:f>
        <x:v>0</x:v>
      </x:c>
      <x:c r="I128" t="n">
        <x:f>IPO_Data_Collection!Q128</x:f>
        <x:v>0</x:v>
      </x:c>
      <x:c r="J128" t="n">
        <x:f>IPO_Data_Collection!S128</x:f>
        <x:v>0</x:v>
      </x:c>
      <x:c r="K128" t="n">
        <x:f>IPO_Data_Collection!T128</x:f>
        <x:v>0</x:v>
      </x:c>
      <x:c r="L128" t="n">
        <x:f>IPO_Data_Collection!U128</x:f>
        <x:v>0</x:v>
      </x:c>
      <x:c r="M128" t="str">
        <x:f>IF(COUNTA(B128:I128)&gt;=7,"Ready","Missing")</x:f>
        <x:v>Ready</x:v>
      </x:c>
    </x:row>
    <x:row r="129">
      <x:c r="A129" t="str">
        <x:f>IPO_Data_Collection!B129</x:f>
        <x:v>ICICI Prudential Asset Management Co Ltd</x:v>
      </x:c>
      <x:c r="B129" t="n">
        <x:f>IPO_Data_Collection!D129</x:f>
        <x:v>0</x:v>
      </x:c>
      <x:c r="C129" t="n">
        <x:f>IPO_Data_Collection!E129</x:f>
        <x:v>0</x:v>
      </x:c>
      <x:c r="D129" t="n">
        <x:f>IPO_Data_Collection!F129</x:f>
        <x:v>0</x:v>
      </x:c>
      <x:c r="E129" t="n">
        <x:f>IPO_Data_Collection!G129</x:f>
        <x:v>0</x:v>
      </x:c>
      <x:c r="F129" t="str">
        <x:f>IFERROR(B129/D129,"")</x:f>
      </x:c>
      <x:c r="G129" t="n">
        <x:f>IPO_Data_Collection!J129</x:f>
        <x:v>0</x:v>
      </x:c>
      <x:c r="H129" t="n">
        <x:f>IPO_Data_Collection!K129</x:f>
        <x:v>0</x:v>
      </x:c>
      <x:c r="I129" t="n">
        <x:f>IPO_Data_Collection!Q129</x:f>
        <x:v>0</x:v>
      </x:c>
      <x:c r="J129" t="n">
        <x:f>IPO_Data_Collection!S129</x:f>
        <x:v>0</x:v>
      </x:c>
      <x:c r="K129" t="n">
        <x:f>IPO_Data_Collection!T129</x:f>
        <x:v>0</x:v>
      </x:c>
      <x:c r="L129" t="n">
        <x:f>IPO_Data_Collection!U129</x:f>
        <x:v>0</x:v>
      </x:c>
      <x:c r="M129" t="str">
        <x:f>IF(COUNTA(B129:I129)&gt;=7,"Ready","Missing")</x:f>
        <x:v>Ready</x:v>
      </x:c>
    </x:row>
    <x:row r="130">
      <x:c r="A130" t="str">
        <x:f>IPO_Data_Collection!B130</x:f>
        <x:v>IKIO Lighting</x:v>
      </x:c>
      <x:c r="B130" t="n">
        <x:f>IPO_Data_Collection!D130</x:f>
        <x:v>0</x:v>
      </x:c>
      <x:c r="C130" t="n">
        <x:f>IPO_Data_Collection!E130</x:f>
        <x:v>0</x:v>
      </x:c>
      <x:c r="D130" t="n">
        <x:f>IPO_Data_Collection!F130</x:f>
        <x:v>0</x:v>
      </x:c>
      <x:c r="E130" t="n">
        <x:f>IPO_Data_Collection!G130</x:f>
        <x:v>0</x:v>
      </x:c>
      <x:c r="F130" t="str">
        <x:f>IFERROR(B130/D130,"")</x:f>
      </x:c>
      <x:c r="G130" t="n">
        <x:f>IPO_Data_Collection!J130</x:f>
        <x:v>0</x:v>
      </x:c>
      <x:c r="H130" t="n">
        <x:f>IPO_Data_Collection!K130</x:f>
        <x:v>0</x:v>
      </x:c>
      <x:c r="I130" t="n">
        <x:f>IPO_Data_Collection!Q130</x:f>
        <x:v>0</x:v>
      </x:c>
      <x:c r="J130" t="n">
        <x:f>IPO_Data_Collection!S130</x:f>
        <x:v>0</x:v>
      </x:c>
      <x:c r="K130" t="n">
        <x:f>IPO_Data_Collection!T130</x:f>
        <x:v>0</x:v>
      </x:c>
      <x:c r="L130" t="n">
        <x:f>IPO_Data_Collection!U130</x:f>
        <x:v>0</x:v>
      </x:c>
      <x:c r="M130" t="str">
        <x:f>IF(COUNTA(B130:I130)&gt;=7,"Ready","Missing")</x:f>
        <x:v>Ready</x:v>
      </x:c>
    </x:row>
    <x:row r="131">
      <x:c r="A131" t="str">
        <x:f>IPO_Data_Collection!B131</x:f>
        <x:v>INOX India</x:v>
      </x:c>
      <x:c r="B131" t="n">
        <x:f>IPO_Data_Collection!D131</x:f>
        <x:v>0</x:v>
      </x:c>
      <x:c r="C131" t="n">
        <x:f>IPO_Data_Collection!E131</x:f>
        <x:v>0</x:v>
      </x:c>
      <x:c r="D131" t="n">
        <x:f>IPO_Data_Collection!F131</x:f>
        <x:v>0</x:v>
      </x:c>
      <x:c r="E131" t="n">
        <x:f>IPO_Data_Collection!G131</x:f>
        <x:v>0</x:v>
      </x:c>
      <x:c r="F131" t="str">
        <x:f>IFERROR(B131/D131,"")</x:f>
      </x:c>
      <x:c r="G131" t="n">
        <x:f>IPO_Data_Collection!J131</x:f>
        <x:v>0</x:v>
      </x:c>
      <x:c r="H131" t="n">
        <x:f>IPO_Data_Collection!K131</x:f>
        <x:v>0</x:v>
      </x:c>
      <x:c r="I131" t="n">
        <x:f>IPO_Data_Collection!Q131</x:f>
        <x:v>0</x:v>
      </x:c>
      <x:c r="J131" t="n">
        <x:f>IPO_Data_Collection!S131</x:f>
        <x:v>0</x:v>
      </x:c>
      <x:c r="K131" t="n">
        <x:f>IPO_Data_Collection!T131</x:f>
        <x:v>0</x:v>
      </x:c>
      <x:c r="L131" t="n">
        <x:f>IPO_Data_Collection!U131</x:f>
        <x:v>0</x:v>
      </x:c>
      <x:c r="M131" t="str">
        <x:f>IF(COUNTA(B131:I131)&gt;=7,"Ready","Missing")</x:f>
        <x:v>Ready</x:v>
      </x:c>
    </x:row>
    <x:row r="132">
      <x:c r="A132" t="str">
        <x:f>IPO_Data_Collection!B132</x:f>
        <x:v>IREDA</x:v>
      </x:c>
      <x:c r="B132" t="n">
        <x:f>IPO_Data_Collection!D132</x:f>
        <x:v>0</x:v>
      </x:c>
      <x:c r="C132" t="n">
        <x:f>IPO_Data_Collection!E132</x:f>
        <x:v>0</x:v>
      </x:c>
      <x:c r="D132" t="n">
        <x:f>IPO_Data_Collection!F132</x:f>
        <x:v>0</x:v>
      </x:c>
      <x:c r="E132" t="n">
        <x:f>IPO_Data_Collection!G132</x:f>
        <x:v>0</x:v>
      </x:c>
      <x:c r="F132" t="str">
        <x:f>IFERROR(B132/D132,"")</x:f>
      </x:c>
      <x:c r="G132" t="n">
        <x:f>IPO_Data_Collection!J132</x:f>
        <x:v>0</x:v>
      </x:c>
      <x:c r="H132" t="n">
        <x:f>IPO_Data_Collection!K132</x:f>
        <x:v>0</x:v>
      </x:c>
      <x:c r="I132" t="n">
        <x:f>IPO_Data_Collection!Q132</x:f>
        <x:v>0</x:v>
      </x:c>
      <x:c r="J132" t="n">
        <x:f>IPO_Data_Collection!S132</x:f>
        <x:v>0</x:v>
      </x:c>
      <x:c r="K132" t="n">
        <x:f>IPO_Data_Collection!T132</x:f>
        <x:v>0</x:v>
      </x:c>
      <x:c r="L132" t="n">
        <x:f>IPO_Data_Collection!U132</x:f>
        <x:v>0</x:v>
      </x:c>
      <x:c r="M132" t="str">
        <x:f>IF(COUNTA(B132:I132)&gt;=7,"Ready","Missing")</x:f>
        <x:v>Ready</x:v>
      </x:c>
    </x:row>
    <x:row r="133">
      <x:c r="A133" t="str">
        <x:f>IPO_Data_Collection!B133</x:f>
        <x:v>IRFC</x:v>
      </x:c>
      <x:c r="B133" t="n">
        <x:f>IPO_Data_Collection!D133</x:f>
        <x:v>0</x:v>
      </x:c>
      <x:c r="C133" t="n">
        <x:f>IPO_Data_Collection!E133</x:f>
        <x:v>0</x:v>
      </x:c>
      <x:c r="D133" t="n">
        <x:f>IPO_Data_Collection!F133</x:f>
        <x:v>0</x:v>
      </x:c>
      <x:c r="E133" t="n">
        <x:f>IPO_Data_Collection!G133</x:f>
        <x:v>0</x:v>
      </x:c>
      <x:c r="F133" t="str">
        <x:f>IFERROR(B133/D133,"")</x:f>
      </x:c>
      <x:c r="G133" t="n">
        <x:f>IPO_Data_Collection!J133</x:f>
        <x:v>0</x:v>
      </x:c>
      <x:c r="H133" t="n">
        <x:f>IPO_Data_Collection!K133</x:f>
        <x:v>0</x:v>
      </x:c>
      <x:c r="I133" t="n">
        <x:f>IPO_Data_Collection!Q133</x:f>
        <x:v>0</x:v>
      </x:c>
      <x:c r="J133" t="n">
        <x:f>IPO_Data_Collection!S133</x:f>
        <x:v>0</x:v>
      </x:c>
      <x:c r="K133" t="n">
        <x:f>IPO_Data_Collection!T133</x:f>
        <x:v>0</x:v>
      </x:c>
      <x:c r="L133" t="n">
        <x:f>IPO_Data_Collection!U133</x:f>
        <x:v>0</x:v>
      </x:c>
      <x:c r="M133" t="str">
        <x:f>IF(COUNTA(B133:I133)&gt;=7,"Ready","Missing")</x:f>
        <x:v>Ready</x:v>
      </x:c>
    </x:row>
    <x:row r="134">
      <x:c r="A134" t="str">
        <x:f>IPO_Data_Collection!B134</x:f>
        <x:v>IRM Energy</x:v>
      </x:c>
      <x:c r="B134" t="n">
        <x:f>IPO_Data_Collection!D134</x:f>
        <x:v>0</x:v>
      </x:c>
      <x:c r="C134" t="n">
        <x:f>IPO_Data_Collection!E134</x:f>
        <x:v>0</x:v>
      </x:c>
      <x:c r="D134" t="n">
        <x:f>IPO_Data_Collection!F134</x:f>
        <x:v>0</x:v>
      </x:c>
      <x:c r="E134" t="n">
        <x:f>IPO_Data_Collection!G134</x:f>
        <x:v>0</x:v>
      </x:c>
      <x:c r="F134" t="str">
        <x:f>IFERROR(B134/D134,"")</x:f>
      </x:c>
      <x:c r="G134" t="n">
        <x:f>IPO_Data_Collection!J134</x:f>
        <x:v>0</x:v>
      </x:c>
      <x:c r="H134" t="n">
        <x:f>IPO_Data_Collection!K134</x:f>
        <x:v>0</x:v>
      </x:c>
      <x:c r="I134" t="n">
        <x:f>IPO_Data_Collection!Q134</x:f>
        <x:v>0</x:v>
      </x:c>
      <x:c r="J134" t="n">
        <x:f>IPO_Data_Collection!S134</x:f>
        <x:v>0</x:v>
      </x:c>
      <x:c r="K134" t="n">
        <x:f>IPO_Data_Collection!T134</x:f>
        <x:v>0</x:v>
      </x:c>
      <x:c r="L134" t="n">
        <x:f>IPO_Data_Collection!U134</x:f>
        <x:v>0</x:v>
      </x:c>
      <x:c r="M134" t="str">
        <x:f>IF(COUNTA(B134:I134)&gt;=7,"Ready","Missing")</x:f>
        <x:v>Ready</x:v>
      </x:c>
    </x:row>
    <x:row r="135">
      <x:c r="A135" t="str">
        <x:f>IPO_Data_Collection!B135</x:f>
        <x:v>IdeaForge Technology</x:v>
      </x:c>
      <x:c r="B135" t="n">
        <x:f>IPO_Data_Collection!D135</x:f>
        <x:v>0</x:v>
      </x:c>
      <x:c r="C135" t="n">
        <x:f>IPO_Data_Collection!E135</x:f>
        <x:v>0</x:v>
      </x:c>
      <x:c r="D135" t="n">
        <x:f>IPO_Data_Collection!F135</x:f>
        <x:v>0</x:v>
      </x:c>
      <x:c r="E135" t="n">
        <x:f>IPO_Data_Collection!G135</x:f>
        <x:v>0</x:v>
      </x:c>
      <x:c r="F135" t="str">
        <x:f>IFERROR(B135/D135,"")</x:f>
      </x:c>
      <x:c r="G135" t="n">
        <x:f>IPO_Data_Collection!J135</x:f>
        <x:v>0</x:v>
      </x:c>
      <x:c r="H135" t="n">
        <x:f>IPO_Data_Collection!K135</x:f>
        <x:v>0</x:v>
      </x:c>
      <x:c r="I135" t="n">
        <x:f>IPO_Data_Collection!Q135</x:f>
        <x:v>0</x:v>
      </x:c>
      <x:c r="J135" t="n">
        <x:f>IPO_Data_Collection!S135</x:f>
        <x:v>0</x:v>
      </x:c>
      <x:c r="K135" t="n">
        <x:f>IPO_Data_Collection!T135</x:f>
        <x:v>0</x:v>
      </x:c>
      <x:c r="L135" t="n">
        <x:f>IPO_Data_Collection!U135</x:f>
        <x:v>0</x:v>
      </x:c>
      <x:c r="M135" t="str">
        <x:f>IF(COUNTA(B135:I135)&gt;=7,"Ready","Missing")</x:f>
        <x:v>Ready</x:v>
      </x:c>
    </x:row>
    <x:row r="136">
      <x:c r="A136" t="str">
        <x:f>IPO_Data_Collection!B136</x:f>
        <x:v>India Pesticides</x:v>
      </x:c>
      <x:c r="B136" t="n">
        <x:f>IPO_Data_Collection!D136</x:f>
        <x:v>0</x:v>
      </x:c>
      <x:c r="C136" t="n">
        <x:f>IPO_Data_Collection!E136</x:f>
        <x:v>0</x:v>
      </x:c>
      <x:c r="D136" t="n">
        <x:f>IPO_Data_Collection!F136</x:f>
        <x:v>0</x:v>
      </x:c>
      <x:c r="E136" t="n">
        <x:f>IPO_Data_Collection!G136</x:f>
        <x:v>0</x:v>
      </x:c>
      <x:c r="F136" t="str">
        <x:f>IFERROR(B136/D136,"")</x:f>
      </x:c>
      <x:c r="G136" t="n">
        <x:f>IPO_Data_Collection!J136</x:f>
        <x:v>0</x:v>
      </x:c>
      <x:c r="H136" t="n">
        <x:f>IPO_Data_Collection!K136</x:f>
        <x:v>0</x:v>
      </x:c>
      <x:c r="I136" t="n">
        <x:f>IPO_Data_Collection!Q136</x:f>
        <x:v>0</x:v>
      </x:c>
      <x:c r="J136" t="n">
        <x:f>IPO_Data_Collection!S136</x:f>
        <x:v>0</x:v>
      </x:c>
      <x:c r="K136" t="n">
        <x:f>IPO_Data_Collection!T136</x:f>
        <x:v>0</x:v>
      </x:c>
      <x:c r="L136" t="n">
        <x:f>IPO_Data_Collection!U136</x:f>
        <x:v>0</x:v>
      </x:c>
      <x:c r="M136" t="str">
        <x:f>IF(COUNTA(B136:I136)&gt;=7,"Ready","Missing")</x:f>
        <x:v>Ready</x:v>
      </x:c>
    </x:row>
    <x:row r="137">
      <x:c r="A137" t="str">
        <x:f>IPO_Data_Collection!B137</x:f>
        <x:v>India Shelter Finance</x:v>
      </x:c>
      <x:c r="B137" t="n">
        <x:f>IPO_Data_Collection!D137</x:f>
        <x:v>0</x:v>
      </x:c>
      <x:c r="C137" t="n">
        <x:f>IPO_Data_Collection!E137</x:f>
        <x:v>0</x:v>
      </x:c>
      <x:c r="D137" t="n">
        <x:f>IPO_Data_Collection!F137</x:f>
        <x:v>0</x:v>
      </x:c>
      <x:c r="E137" t="n">
        <x:f>IPO_Data_Collection!G137</x:f>
        <x:v>0</x:v>
      </x:c>
      <x:c r="F137" t="str">
        <x:f>IFERROR(B137/D137,"")</x:f>
      </x:c>
      <x:c r="G137" t="n">
        <x:f>IPO_Data_Collection!J137</x:f>
        <x:v>0</x:v>
      </x:c>
      <x:c r="H137" t="n">
        <x:f>IPO_Data_Collection!K137</x:f>
        <x:v>0</x:v>
      </x:c>
      <x:c r="I137" t="n">
        <x:f>IPO_Data_Collection!Q137</x:f>
        <x:v>0</x:v>
      </x:c>
      <x:c r="J137" t="n">
        <x:f>IPO_Data_Collection!S137</x:f>
        <x:v>0</x:v>
      </x:c>
      <x:c r="K137" t="n">
        <x:f>IPO_Data_Collection!T137</x:f>
        <x:v>0</x:v>
      </x:c>
      <x:c r="L137" t="n">
        <x:f>IPO_Data_Collection!U137</x:f>
        <x:v>0</x:v>
      </x:c>
      <x:c r="M137" t="str">
        <x:f>IF(COUNTA(B137:I137)&gt;=7,"Ready","Missing")</x:f>
        <x:v>Ready</x:v>
      </x:c>
    </x:row>
    <x:row r="138">
      <x:c r="A138" t="str">
        <x:f>IPO_Data_Collection!B138</x:f>
        <x:v>Indigo Paints</x:v>
      </x:c>
      <x:c r="B138" t="n">
        <x:f>IPO_Data_Collection!D138</x:f>
        <x:v>0</x:v>
      </x:c>
      <x:c r="C138" t="n">
        <x:f>IPO_Data_Collection!E138</x:f>
        <x:v>0</x:v>
      </x:c>
      <x:c r="D138" t="n">
        <x:f>IPO_Data_Collection!F138</x:f>
        <x:v>0</x:v>
      </x:c>
      <x:c r="E138" t="n">
        <x:f>IPO_Data_Collection!G138</x:f>
        <x:v>0</x:v>
      </x:c>
      <x:c r="F138" t="str">
        <x:f>IFERROR(B138/D138,"")</x:f>
      </x:c>
      <x:c r="G138" t="n">
        <x:f>IPO_Data_Collection!J138</x:f>
        <x:v>0</x:v>
      </x:c>
      <x:c r="H138" t="n">
        <x:f>IPO_Data_Collection!K138</x:f>
        <x:v>0</x:v>
      </x:c>
      <x:c r="I138" t="n">
        <x:f>IPO_Data_Collection!Q138</x:f>
        <x:v>0</x:v>
      </x:c>
      <x:c r="J138" t="n">
        <x:f>IPO_Data_Collection!S138</x:f>
        <x:v>0</x:v>
      </x:c>
      <x:c r="K138" t="n">
        <x:f>IPO_Data_Collection!T138</x:f>
        <x:v>0</x:v>
      </x:c>
      <x:c r="L138" t="n">
        <x:f>IPO_Data_Collection!U138</x:f>
        <x:v>0</x:v>
      </x:c>
      <x:c r="M138" t="str">
        <x:f>IF(COUNTA(B138:I138)&gt;=7,"Ready","Missing")</x:f>
        <x:v>Ready</x:v>
      </x:c>
    </x:row>
    <x:row r="139">
      <x:c r="A139" t="str">
        <x:f>IPO_Data_Collection!B139</x:f>
        <x:v>Indiqube Spaces Ltd</x:v>
      </x:c>
      <x:c r="B139" t="n">
        <x:f>IPO_Data_Collection!D139</x:f>
        <x:v>0</x:v>
      </x:c>
      <x:c r="C139" t="n">
        <x:f>IPO_Data_Collection!E139</x:f>
        <x:v>0</x:v>
      </x:c>
      <x:c r="D139" t="n">
        <x:f>IPO_Data_Collection!F139</x:f>
        <x:v>0</x:v>
      </x:c>
      <x:c r="E139" t="n">
        <x:f>IPO_Data_Collection!G139</x:f>
        <x:v>0</x:v>
      </x:c>
      <x:c r="F139" t="str">
        <x:f>IFERROR(B139/D139,"")</x:f>
      </x:c>
      <x:c r="G139" t="n">
        <x:f>IPO_Data_Collection!J139</x:f>
        <x:v>0</x:v>
      </x:c>
      <x:c r="H139" t="n">
        <x:f>IPO_Data_Collection!K139</x:f>
        <x:v>0</x:v>
      </x:c>
      <x:c r="I139" t="n">
        <x:f>IPO_Data_Collection!Q139</x:f>
        <x:v>0</x:v>
      </x:c>
      <x:c r="J139" t="n">
        <x:f>IPO_Data_Collection!S139</x:f>
        <x:v>0</x:v>
      </x:c>
      <x:c r="K139" t="n">
        <x:f>IPO_Data_Collection!T139</x:f>
        <x:v>0</x:v>
      </x:c>
      <x:c r="L139" t="n">
        <x:f>IPO_Data_Collection!U139</x:f>
        <x:v>0</x:v>
      </x:c>
      <x:c r="M139" t="str">
        <x:f>IF(COUNTA(B139:I139)&gt;=7,"Ready","Missing")</x:f>
        <x:v>Ready</x:v>
      </x:c>
    </x:row>
    <x:row r="140">
      <x:c r="A140" t="str">
        <x:f>IPO_Data_Collection!B140</x:f>
        <x:v>Indogulf Cropsciences Limited</x:v>
      </x:c>
      <x:c r="B140" t="n">
        <x:f>IPO_Data_Collection!D140</x:f>
        <x:v>0</x:v>
      </x:c>
      <x:c r="C140" t="n">
        <x:f>IPO_Data_Collection!E140</x:f>
        <x:v>0</x:v>
      </x:c>
      <x:c r="D140" t="n">
        <x:f>IPO_Data_Collection!F140</x:f>
        <x:v>0</x:v>
      </x:c>
      <x:c r="E140" t="n">
        <x:f>IPO_Data_Collection!G140</x:f>
        <x:v>0</x:v>
      </x:c>
      <x:c r="F140" t="str">
        <x:f>IFERROR(B140/D140,"")</x:f>
      </x:c>
      <x:c r="G140" t="n">
        <x:f>IPO_Data_Collection!J140</x:f>
        <x:v>0</x:v>
      </x:c>
      <x:c r="H140" t="n">
        <x:f>IPO_Data_Collection!K140</x:f>
        <x:v>0</x:v>
      </x:c>
      <x:c r="I140" t="n">
        <x:f>IPO_Data_Collection!Q140</x:f>
        <x:v>0</x:v>
      </x:c>
      <x:c r="J140" t="n">
        <x:f>IPO_Data_Collection!S140</x:f>
        <x:v>0</x:v>
      </x:c>
      <x:c r="K140" t="n">
        <x:f>IPO_Data_Collection!T140</x:f>
        <x:v>0</x:v>
      </x:c>
      <x:c r="L140" t="n">
        <x:f>IPO_Data_Collection!U140</x:f>
        <x:v>0</x:v>
      </x:c>
      <x:c r="M140" t="str">
        <x:f>IF(COUNTA(B140:I140)&gt;=7,"Ready","Missing")</x:f>
        <x:v>Ready</x:v>
      </x:c>
    </x:row>
    <x:row r="141">
      <x:c r="A141" t="str">
        <x:f>IPO_Data_Collection!B141</x:f>
        <x:v>Innova Captab</x:v>
      </x:c>
      <x:c r="B141" t="n">
        <x:f>IPO_Data_Collection!D141</x:f>
        <x:v>0</x:v>
      </x:c>
      <x:c r="C141" t="n">
        <x:f>IPO_Data_Collection!E141</x:f>
        <x:v>0</x:v>
      </x:c>
      <x:c r="D141" t="n">
        <x:f>IPO_Data_Collection!F141</x:f>
        <x:v>0</x:v>
      </x:c>
      <x:c r="E141" t="n">
        <x:f>IPO_Data_Collection!G141</x:f>
        <x:v>0</x:v>
      </x:c>
      <x:c r="F141" t="str">
        <x:f>IFERROR(B141/D141,"")</x:f>
      </x:c>
      <x:c r="G141" t="n">
        <x:f>IPO_Data_Collection!J141</x:f>
        <x:v>0</x:v>
      </x:c>
      <x:c r="H141" t="n">
        <x:f>IPO_Data_Collection!K141</x:f>
        <x:v>0</x:v>
      </x:c>
      <x:c r="I141" t="n">
        <x:f>IPO_Data_Collection!Q141</x:f>
        <x:v>0</x:v>
      </x:c>
      <x:c r="J141" t="n">
        <x:f>IPO_Data_Collection!S141</x:f>
        <x:v>0</x:v>
      </x:c>
      <x:c r="K141" t="n">
        <x:f>IPO_Data_Collection!T141</x:f>
        <x:v>0</x:v>
      </x:c>
      <x:c r="L141" t="n">
        <x:f>IPO_Data_Collection!U141</x:f>
        <x:v>0</x:v>
      </x:c>
      <x:c r="M141" t="str">
        <x:f>IF(COUNTA(B141:I141)&gt;=7,"Ready","Missing")</x:f>
        <x:v>Ready</x:v>
      </x:c>
    </x:row>
    <x:row r="142">
      <x:c r="A142" t="str">
        <x:f>IPO_Data_Collection!B142</x:f>
        <x:v>Innovision Ltd</x:v>
      </x:c>
      <x:c r="B142" t="n">
        <x:f>IPO_Data_Collection!D142</x:f>
        <x:v>0</x:v>
      </x:c>
      <x:c r="C142" t="n">
        <x:f>IPO_Data_Collection!E142</x:f>
        <x:v>0</x:v>
      </x:c>
      <x:c r="D142" t="n">
        <x:f>IPO_Data_Collection!F142</x:f>
        <x:v>0</x:v>
      </x:c>
      <x:c r="E142" t="n">
        <x:f>IPO_Data_Collection!G142</x:f>
        <x:v>0</x:v>
      </x:c>
      <x:c r="F142" t="str">
        <x:f>IFERROR(B142/D142,"")</x:f>
      </x:c>
      <x:c r="G142" t="n">
        <x:f>IPO_Data_Collection!J142</x:f>
        <x:v>0</x:v>
      </x:c>
      <x:c r="H142" t="n">
        <x:f>IPO_Data_Collection!K142</x:f>
        <x:v>0</x:v>
      </x:c>
      <x:c r="I142" t="n">
        <x:f>IPO_Data_Collection!Q142</x:f>
        <x:v>0</x:v>
      </x:c>
      <x:c r="J142" t="n">
        <x:f>IPO_Data_Collection!S142</x:f>
        <x:v>0</x:v>
      </x:c>
      <x:c r="K142" t="n">
        <x:f>IPO_Data_Collection!T142</x:f>
        <x:v>0</x:v>
      </x:c>
      <x:c r="L142" t="n">
        <x:f>IPO_Data_Collection!U142</x:f>
        <x:v>0</x:v>
      </x:c>
      <x:c r="M142" t="str">
        <x:f>IF(COUNTA(B142:I142)&gt;=7,"Ready","Missing")</x:f>
        <x:v>Ready</x:v>
      </x:c>
    </x:row>
    <x:row r="143">
      <x:c r="A143" t="str">
        <x:f>IPO_Data_Collection!B143</x:f>
        <x:v>Interarch</x:v>
      </x:c>
      <x:c r="B143" t="n">
        <x:f>IPO_Data_Collection!D143</x:f>
        <x:v>0</x:v>
      </x:c>
      <x:c r="C143" t="n">
        <x:f>IPO_Data_Collection!E143</x:f>
        <x:v>0</x:v>
      </x:c>
      <x:c r="D143" t="n">
        <x:f>IPO_Data_Collection!F143</x:f>
        <x:v>0</x:v>
      </x:c>
      <x:c r="E143" t="n">
        <x:f>IPO_Data_Collection!G143</x:f>
        <x:v>0</x:v>
      </x:c>
      <x:c r="F143" t="str">
        <x:f>IFERROR(B143/D143,"")</x:f>
      </x:c>
      <x:c r="G143" t="n">
        <x:f>IPO_Data_Collection!J143</x:f>
        <x:v>0</x:v>
      </x:c>
      <x:c r="H143" t="n">
        <x:f>IPO_Data_Collection!K143</x:f>
        <x:v>0</x:v>
      </x:c>
      <x:c r="I143" t="n">
        <x:f>IPO_Data_Collection!Q143</x:f>
        <x:v>0</x:v>
      </x:c>
      <x:c r="J143" t="n">
        <x:f>IPO_Data_Collection!S143</x:f>
        <x:v>0</x:v>
      </x:c>
      <x:c r="K143" t="n">
        <x:f>IPO_Data_Collection!T143</x:f>
        <x:v>0</x:v>
      </x:c>
      <x:c r="L143" t="n">
        <x:f>IPO_Data_Collection!U143</x:f>
        <x:v>0</x:v>
      </x:c>
      <x:c r="M143" t="str">
        <x:f>IF(COUNTA(B143:I143)&gt;=7,"Ready","Missing")</x:f>
        <x:v>Ready</x:v>
      </x:c>
    </x:row>
    <x:row r="144">
      <x:c r="A144" t="str">
        <x:f>IPO_Data_Collection!B144</x:f>
        <x:v>Ivalue Infosolutions Ltd</x:v>
      </x:c>
      <x:c r="B144" t="n">
        <x:f>IPO_Data_Collection!D144</x:f>
        <x:v>0</x:v>
      </x:c>
      <x:c r="C144" t="n">
        <x:f>IPO_Data_Collection!E144</x:f>
        <x:v>0</x:v>
      </x:c>
      <x:c r="D144" t="n">
        <x:f>IPO_Data_Collection!F144</x:f>
        <x:v>0</x:v>
      </x:c>
      <x:c r="E144" t="n">
        <x:f>IPO_Data_Collection!G144</x:f>
        <x:v>0</x:v>
      </x:c>
      <x:c r="F144" t="str">
        <x:f>IFERROR(B144/D144,"")</x:f>
      </x:c>
      <x:c r="G144" t="n">
        <x:f>IPO_Data_Collection!J144</x:f>
        <x:v>0</x:v>
      </x:c>
      <x:c r="H144" t="n">
        <x:f>IPO_Data_Collection!K144</x:f>
        <x:v>0</x:v>
      </x:c>
      <x:c r="I144" t="n">
        <x:f>IPO_Data_Collection!Q144</x:f>
        <x:v>0</x:v>
      </x:c>
      <x:c r="J144" t="n">
        <x:f>IPO_Data_Collection!S144</x:f>
        <x:v>0</x:v>
      </x:c>
      <x:c r="K144" t="n">
        <x:f>IPO_Data_Collection!T144</x:f>
        <x:v>0</x:v>
      </x:c>
      <x:c r="L144" t="n">
        <x:f>IPO_Data_Collection!U144</x:f>
        <x:v>0</x:v>
      </x:c>
      <x:c r="M144" t="str">
        <x:f>IF(COUNTA(B144:I144)&gt;=7,"Ready","Missing")</x:f>
        <x:v>Ready</x:v>
      </x:c>
    </x:row>
    <x:row r="145">
      <x:c r="A145" t="str">
        <x:f>IPO_Data_Collection!B145</x:f>
        <x:v>JSW Cement Ltd</x:v>
      </x:c>
      <x:c r="B145" t="n">
        <x:f>IPO_Data_Collection!D145</x:f>
        <x:v>0</x:v>
      </x:c>
      <x:c r="C145" t="n">
        <x:f>IPO_Data_Collection!E145</x:f>
        <x:v>0</x:v>
      </x:c>
      <x:c r="D145" t="n">
        <x:f>IPO_Data_Collection!F145</x:f>
        <x:v>0</x:v>
      </x:c>
      <x:c r="E145" t="n">
        <x:f>IPO_Data_Collection!G145</x:f>
        <x:v>0</x:v>
      </x:c>
      <x:c r="F145" t="str">
        <x:f>IFERROR(B145/D145,"")</x:f>
      </x:c>
      <x:c r="G145" t="n">
        <x:f>IPO_Data_Collection!J145</x:f>
        <x:v>0</x:v>
      </x:c>
      <x:c r="H145" t="n">
        <x:f>IPO_Data_Collection!K145</x:f>
        <x:v>0</x:v>
      </x:c>
      <x:c r="I145" t="n">
        <x:f>IPO_Data_Collection!Q145</x:f>
        <x:v>0</x:v>
      </x:c>
      <x:c r="J145" t="n">
        <x:f>IPO_Data_Collection!S145</x:f>
        <x:v>0</x:v>
      </x:c>
      <x:c r="K145" t="n">
        <x:f>IPO_Data_Collection!T145</x:f>
        <x:v>0</x:v>
      </x:c>
      <x:c r="L145" t="n">
        <x:f>IPO_Data_Collection!U145</x:f>
        <x:v>0</x:v>
      </x:c>
      <x:c r="M145" t="str">
        <x:f>IF(COUNTA(B145:I145)&gt;=7,"Ready","Missing")</x:f>
        <x:v>Ready</x:v>
      </x:c>
    </x:row>
    <x:row r="146">
      <x:c r="A146" t="str">
        <x:f>IPO_Data_Collection!B146</x:f>
        <x:v>JSW Infrastructure</x:v>
      </x:c>
      <x:c r="B146" t="n">
        <x:f>IPO_Data_Collection!D146</x:f>
        <x:v>0</x:v>
      </x:c>
      <x:c r="C146" t="n">
        <x:f>IPO_Data_Collection!E146</x:f>
        <x:v>0</x:v>
      </x:c>
      <x:c r="D146" t="n">
        <x:f>IPO_Data_Collection!F146</x:f>
        <x:v>0</x:v>
      </x:c>
      <x:c r="E146" t="n">
        <x:f>IPO_Data_Collection!G146</x:f>
        <x:v>0</x:v>
      </x:c>
      <x:c r="F146" t="str">
        <x:f>IFERROR(B146/D146,"")</x:f>
      </x:c>
      <x:c r="G146" t="n">
        <x:f>IPO_Data_Collection!J146</x:f>
        <x:v>0</x:v>
      </x:c>
      <x:c r="H146" t="n">
        <x:f>IPO_Data_Collection!K146</x:f>
        <x:v>0</x:v>
      </x:c>
      <x:c r="I146" t="n">
        <x:f>IPO_Data_Collection!Q146</x:f>
        <x:v>0</x:v>
      </x:c>
      <x:c r="J146" t="n">
        <x:f>IPO_Data_Collection!S146</x:f>
        <x:v>0</x:v>
      </x:c>
      <x:c r="K146" t="n">
        <x:f>IPO_Data_Collection!T146</x:f>
        <x:v>0</x:v>
      </x:c>
      <x:c r="L146" t="n">
        <x:f>IPO_Data_Collection!U146</x:f>
        <x:v>0</x:v>
      </x:c>
      <x:c r="M146" t="str">
        <x:f>IF(COUNTA(B146:I146)&gt;=7,"Ready","Missing")</x:f>
        <x:v>Ready</x:v>
      </x:c>
    </x:row>
    <x:row r="147">
      <x:c r="A147" t="str">
        <x:f>IPO_Data_Collection!B147</x:f>
        <x:v>Jain Resource Recycling Ltd</x:v>
      </x:c>
      <x:c r="B147" t="n">
        <x:f>IPO_Data_Collection!D147</x:f>
        <x:v>0</x:v>
      </x:c>
      <x:c r="C147" t="n">
        <x:f>IPO_Data_Collection!E147</x:f>
        <x:v>0</x:v>
      </x:c>
      <x:c r="D147" t="n">
        <x:f>IPO_Data_Collection!F147</x:f>
        <x:v>0</x:v>
      </x:c>
      <x:c r="E147" t="n">
        <x:f>IPO_Data_Collection!G147</x:f>
        <x:v>0</x:v>
      </x:c>
      <x:c r="F147" t="str">
        <x:f>IFERROR(B147/D147,"")</x:f>
      </x:c>
      <x:c r="G147" t="n">
        <x:f>IPO_Data_Collection!J147</x:f>
        <x:v>0</x:v>
      </x:c>
      <x:c r="H147" t="n">
        <x:f>IPO_Data_Collection!K147</x:f>
        <x:v>0</x:v>
      </x:c>
      <x:c r="I147" t="n">
        <x:f>IPO_Data_Collection!Q147</x:f>
        <x:v>0</x:v>
      </x:c>
      <x:c r="J147" t="n">
        <x:f>IPO_Data_Collection!S147</x:f>
        <x:v>0</x:v>
      </x:c>
      <x:c r="K147" t="n">
        <x:f>IPO_Data_Collection!T147</x:f>
        <x:v>0</x:v>
      </x:c>
      <x:c r="L147" t="n">
        <x:f>IPO_Data_Collection!U147</x:f>
        <x:v>0</x:v>
      </x:c>
      <x:c r="M147" t="str">
        <x:f>IF(COUNTA(B147:I147)&gt;=7,"Ready","Missing")</x:f>
        <x:v>Ready</x:v>
      </x:c>
    </x:row>
    <x:row r="148">
      <x:c r="A148" t="str">
        <x:f>IPO_Data_Collection!B148</x:f>
        <x:v>Jaro Institute of Technology Management</x:v>
      </x:c>
      <x:c r="B148" t="n">
        <x:f>IPO_Data_Collection!D148</x:f>
        <x:v>0</x:v>
      </x:c>
      <x:c r="C148" t="n">
        <x:f>IPO_Data_Collection!E148</x:f>
        <x:v>0</x:v>
      </x:c>
      <x:c r="D148" t="n">
        <x:f>IPO_Data_Collection!F148</x:f>
        <x:v>0</x:v>
      </x:c>
      <x:c r="E148" t="n">
        <x:f>IPO_Data_Collection!G148</x:f>
        <x:v>0</x:v>
      </x:c>
      <x:c r="F148" t="str">
        <x:f>IFERROR(B148/D148,"")</x:f>
      </x:c>
      <x:c r="G148" t="n">
        <x:f>IPO_Data_Collection!J148</x:f>
        <x:v>0</x:v>
      </x:c>
      <x:c r="H148" t="n">
        <x:f>IPO_Data_Collection!K148</x:f>
        <x:v>0</x:v>
      </x:c>
      <x:c r="I148" t="n">
        <x:f>IPO_Data_Collection!Q148</x:f>
        <x:v>0</x:v>
      </x:c>
      <x:c r="J148" t="n">
        <x:f>IPO_Data_Collection!S148</x:f>
        <x:v>0</x:v>
      </x:c>
      <x:c r="K148" t="n">
        <x:f>IPO_Data_Collection!T148</x:f>
        <x:v>0</x:v>
      </x:c>
      <x:c r="L148" t="n">
        <x:f>IPO_Data_Collection!U148</x:f>
        <x:v>0</x:v>
      </x:c>
      <x:c r="M148" t="str">
        <x:f>IF(COUNTA(B148:I148)&gt;=7,"Ready","Missing")</x:f>
        <x:v>Ready</x:v>
      </x:c>
    </x:row>
    <x:row r="149">
      <x:c r="A149" t="str">
        <x:f>IPO_Data_Collection!B149</x:f>
        <x:v>Jinkushal Industries Ltd</x:v>
      </x:c>
      <x:c r="B149" t="n">
        <x:f>IPO_Data_Collection!D149</x:f>
        <x:v>0</x:v>
      </x:c>
      <x:c r="C149" t="n">
        <x:f>IPO_Data_Collection!E149</x:f>
        <x:v>0</x:v>
      </x:c>
      <x:c r="D149" t="n">
        <x:f>IPO_Data_Collection!F149</x:f>
        <x:v>0</x:v>
      </x:c>
      <x:c r="E149" t="n">
        <x:f>IPO_Data_Collection!G149</x:f>
        <x:v>0</x:v>
      </x:c>
      <x:c r="F149" t="str">
        <x:f>IFERROR(B149/D149,"")</x:f>
      </x:c>
      <x:c r="G149" t="n">
        <x:f>IPO_Data_Collection!J149</x:f>
        <x:v>0</x:v>
      </x:c>
      <x:c r="H149" t="n">
        <x:f>IPO_Data_Collection!K149</x:f>
        <x:v>0</x:v>
      </x:c>
      <x:c r="I149" t="n">
        <x:f>IPO_Data_Collection!Q149</x:f>
        <x:v>0</x:v>
      </x:c>
      <x:c r="J149" t="n">
        <x:f>IPO_Data_Collection!S149</x:f>
        <x:v>0</x:v>
      </x:c>
      <x:c r="K149" t="n">
        <x:f>IPO_Data_Collection!T149</x:f>
        <x:v>0</x:v>
      </x:c>
      <x:c r="L149" t="n">
        <x:f>IPO_Data_Collection!U149</x:f>
        <x:v>0</x:v>
      </x:c>
      <x:c r="M149" t="str">
        <x:f>IF(COUNTA(B149:I149)&gt;=7,"Ready","Missing")</x:f>
        <x:v>Ready</x:v>
      </x:c>
    </x:row>
    <x:row r="150">
      <x:c r="A150" t="str">
        <x:f>IPO_Data_Collection!B150</x:f>
        <x:v>JNK India</x:v>
      </x:c>
      <x:c r="B150" t="n">
        <x:f>IPO_Data_Collection!D150</x:f>
        <x:v>0</x:v>
      </x:c>
      <x:c r="C150" t="n">
        <x:f>IPO_Data_Collection!E150</x:f>
        <x:v>0</x:v>
      </x:c>
      <x:c r="D150" t="n">
        <x:f>IPO_Data_Collection!F150</x:f>
        <x:v>0</x:v>
      </x:c>
      <x:c r="E150" t="n">
        <x:f>IPO_Data_Collection!G150</x:f>
        <x:v>0</x:v>
      </x:c>
      <x:c r="F150" t="str">
        <x:f>IFERROR(B150/D150,"")</x:f>
      </x:c>
      <x:c r="G150" t="n">
        <x:f>IPO_Data_Collection!J150</x:f>
        <x:v>0</x:v>
      </x:c>
      <x:c r="H150" t="n">
        <x:f>IPO_Data_Collection!K150</x:f>
        <x:v>0</x:v>
      </x:c>
      <x:c r="I150" t="n">
        <x:f>IPO_Data_Collection!Q150</x:f>
        <x:v>0</x:v>
      </x:c>
      <x:c r="J150" t="n">
        <x:f>IPO_Data_Collection!S150</x:f>
        <x:v>0</x:v>
      </x:c>
      <x:c r="K150" t="n">
        <x:f>IPO_Data_Collection!T150</x:f>
        <x:v>0</x:v>
      </x:c>
      <x:c r="L150" t="n">
        <x:f>IPO_Data_Collection!U150</x:f>
        <x:v>0</x:v>
      </x:c>
      <x:c r="M150" t="str">
        <x:f>IF(COUNTA(B150:I150)&gt;=7,"Ready","Missing")</x:f>
        <x:v>Ready</x:v>
      </x:c>
    </x:row>
    <x:row r="151">
      <x:c r="A151" t="str">
        <x:f>IPO_Data_Collection!B151</x:f>
        <x:v>Jana SFB</x:v>
      </x:c>
      <x:c r="B151" t="n">
        <x:f>IPO_Data_Collection!D151</x:f>
        <x:v>0</x:v>
      </x:c>
      <x:c r="C151" t="n">
        <x:f>IPO_Data_Collection!E151</x:f>
        <x:v>0</x:v>
      </x:c>
      <x:c r="D151" t="n">
        <x:f>IPO_Data_Collection!F151</x:f>
        <x:v>0</x:v>
      </x:c>
      <x:c r="E151" t="n">
        <x:f>IPO_Data_Collection!G151</x:f>
        <x:v>0</x:v>
      </x:c>
      <x:c r="F151" t="str">
        <x:f>IFERROR(B151/D151,"")</x:f>
      </x:c>
      <x:c r="G151" t="n">
        <x:f>IPO_Data_Collection!J151</x:f>
        <x:v>0</x:v>
      </x:c>
      <x:c r="H151" t="n">
        <x:f>IPO_Data_Collection!K151</x:f>
        <x:v>0</x:v>
      </x:c>
      <x:c r="I151" t="n">
        <x:f>IPO_Data_Collection!Q151</x:f>
        <x:v>0</x:v>
      </x:c>
      <x:c r="J151" t="n">
        <x:f>IPO_Data_Collection!S151</x:f>
        <x:v>0</x:v>
      </x:c>
      <x:c r="K151" t="n">
        <x:f>IPO_Data_Collection!T151</x:f>
        <x:v>0</x:v>
      </x:c>
      <x:c r="L151" t="n">
        <x:f>IPO_Data_Collection!U151</x:f>
        <x:v>0</x:v>
      </x:c>
      <x:c r="M151" t="str">
        <x:f>IF(COUNTA(B151:I151)&gt;=7,"Ready","Missing")</x:f>
        <x:v>Ready</x:v>
      </x:c>
    </x:row>
    <x:row r="152">
      <x:c r="A152" t="str">
        <x:f>IPO_Data_Collection!B152</x:f>
        <x:v>Jupiter Life Line Hospitals</x:v>
      </x:c>
      <x:c r="B152" t="n">
        <x:f>IPO_Data_Collection!D152</x:f>
        <x:v>0</x:v>
      </x:c>
      <x:c r="C152" t="n">
        <x:f>IPO_Data_Collection!E152</x:f>
        <x:v>0</x:v>
      </x:c>
      <x:c r="D152" t="n">
        <x:f>IPO_Data_Collection!F152</x:f>
        <x:v>0</x:v>
      </x:c>
      <x:c r="E152" t="n">
        <x:f>IPO_Data_Collection!G152</x:f>
        <x:v>0</x:v>
      </x:c>
      <x:c r="F152" t="str">
        <x:f>IFERROR(B152/D152,"")</x:f>
      </x:c>
      <x:c r="G152" t="n">
        <x:f>IPO_Data_Collection!J152</x:f>
        <x:v>0</x:v>
      </x:c>
      <x:c r="H152" t="n">
        <x:f>IPO_Data_Collection!K152</x:f>
        <x:v>0</x:v>
      </x:c>
      <x:c r="I152" t="n">
        <x:f>IPO_Data_Collection!Q152</x:f>
        <x:v>0</x:v>
      </x:c>
      <x:c r="J152" t="n">
        <x:f>IPO_Data_Collection!S152</x:f>
        <x:v>0</x:v>
      </x:c>
      <x:c r="K152" t="n">
        <x:f>IPO_Data_Collection!T152</x:f>
        <x:v>0</x:v>
      </x:c>
      <x:c r="L152" t="n">
        <x:f>IPO_Data_Collection!U152</x:f>
        <x:v>0</x:v>
      </x:c>
      <x:c r="M152" t="str">
        <x:f>IF(COUNTA(B152:I152)&gt;=7,"Ready","Missing")</x:f>
        <x:v>Ready</x:v>
      </x:c>
    </x:row>
    <x:row r="153">
      <x:c r="A153" t="str">
        <x:f>IPO_Data_Collection!B153</x:f>
        <x:v>KFin Technologies</x:v>
      </x:c>
      <x:c r="B153" t="n">
        <x:f>IPO_Data_Collection!D153</x:f>
        <x:v>0</x:v>
      </x:c>
      <x:c r="C153" t="n">
        <x:f>IPO_Data_Collection!E153</x:f>
        <x:v>0</x:v>
      </x:c>
      <x:c r="D153" t="n">
        <x:f>IPO_Data_Collection!F153</x:f>
        <x:v>0</x:v>
      </x:c>
      <x:c r="E153" t="n">
        <x:f>IPO_Data_Collection!G153</x:f>
        <x:v>0</x:v>
      </x:c>
      <x:c r="F153" t="str">
        <x:f>IFERROR(B153/D153,"")</x:f>
      </x:c>
      <x:c r="G153" t="n">
        <x:f>IPO_Data_Collection!J153</x:f>
        <x:v>0</x:v>
      </x:c>
      <x:c r="H153" t="n">
        <x:f>IPO_Data_Collection!K153</x:f>
        <x:v>0</x:v>
      </x:c>
      <x:c r="I153" t="n">
        <x:f>IPO_Data_Collection!Q153</x:f>
        <x:v>0</x:v>
      </x:c>
      <x:c r="J153" t="n">
        <x:f>IPO_Data_Collection!S153</x:f>
        <x:v>0</x:v>
      </x:c>
      <x:c r="K153" t="n">
        <x:f>IPO_Data_Collection!T153</x:f>
        <x:v>0</x:v>
      </x:c>
      <x:c r="L153" t="n">
        <x:f>IPO_Data_Collection!U153</x:f>
        <x:v>0</x:v>
      </x:c>
      <x:c r="M153" t="str">
        <x:f>IF(COUNTA(B153:I153)&gt;=7,"Ready","Missing")</x:f>
        <x:v>Ready</x:v>
      </x:c>
    </x:row>
    <x:row r="154">
      <x:c r="A154" t="str">
        <x:f>IPO_Data_Collection!B154</x:f>
        <x:v>KSH International Ltd</x:v>
      </x:c>
      <x:c r="B154" t="n">
        <x:f>IPO_Data_Collection!D154</x:f>
        <x:v>0</x:v>
      </x:c>
      <x:c r="C154" t="n">
        <x:f>IPO_Data_Collection!E154</x:f>
        <x:v>0</x:v>
      </x:c>
      <x:c r="D154" t="n">
        <x:f>IPO_Data_Collection!F154</x:f>
        <x:v>0</x:v>
      </x:c>
      <x:c r="E154" t="n">
        <x:f>IPO_Data_Collection!G154</x:f>
        <x:v>0</x:v>
      </x:c>
      <x:c r="F154" t="str">
        <x:f>IFERROR(B154/D154,"")</x:f>
      </x:c>
      <x:c r="G154" t="n">
        <x:f>IPO_Data_Collection!J154</x:f>
        <x:v>0</x:v>
      </x:c>
      <x:c r="H154" t="n">
        <x:f>IPO_Data_Collection!K154</x:f>
        <x:v>0</x:v>
      </x:c>
      <x:c r="I154" t="n">
        <x:f>IPO_Data_Collection!Q154</x:f>
        <x:v>0</x:v>
      </x:c>
      <x:c r="J154" t="n">
        <x:f>IPO_Data_Collection!S154</x:f>
        <x:v>0</x:v>
      </x:c>
      <x:c r="K154" t="n">
        <x:f>IPO_Data_Collection!T154</x:f>
        <x:v>0</x:v>
      </x:c>
      <x:c r="L154" t="n">
        <x:f>IPO_Data_Collection!U154</x:f>
        <x:v>0</x:v>
      </x:c>
      <x:c r="M154" t="str">
        <x:f>IF(COUNTA(B154:I154)&gt;=7,"Ready","Missing")</x:f>
        <x:v>Ready</x:v>
      </x:c>
    </x:row>
    <x:row r="155">
      <x:c r="A155" t="str">
        <x:f>IPO_Data_Collection!B155</x:f>
        <x:v>Kalpataru Limited</x:v>
      </x:c>
      <x:c r="B155" t="n">
        <x:f>IPO_Data_Collection!D155</x:f>
        <x:v>0</x:v>
      </x:c>
      <x:c r="C155" t="n">
        <x:f>IPO_Data_Collection!E155</x:f>
        <x:v>0</x:v>
      </x:c>
      <x:c r="D155" t="n">
        <x:f>IPO_Data_Collection!F155</x:f>
        <x:v>0</x:v>
      </x:c>
      <x:c r="E155" t="n">
        <x:f>IPO_Data_Collection!G155</x:f>
        <x:v>0</x:v>
      </x:c>
      <x:c r="F155" t="str">
        <x:f>IFERROR(B155/D155,"")</x:f>
      </x:c>
      <x:c r="G155" t="n">
        <x:f>IPO_Data_Collection!J155</x:f>
        <x:v>0</x:v>
      </x:c>
      <x:c r="H155" t="n">
        <x:f>IPO_Data_Collection!K155</x:f>
        <x:v>0</x:v>
      </x:c>
      <x:c r="I155" t="n">
        <x:f>IPO_Data_Collection!Q155</x:f>
        <x:v>0</x:v>
      </x:c>
      <x:c r="J155" t="n">
        <x:f>IPO_Data_Collection!S155</x:f>
        <x:v>0</x:v>
      </x:c>
      <x:c r="K155" t="n">
        <x:f>IPO_Data_Collection!T155</x:f>
        <x:v>0</x:v>
      </x:c>
      <x:c r="L155" t="n">
        <x:f>IPO_Data_Collection!U155</x:f>
        <x:v>0</x:v>
      </x:c>
      <x:c r="M155" t="str">
        <x:f>IF(COUNTA(B155:I155)&gt;=7,"Ready","Missing")</x:f>
        <x:v>Ready</x:v>
      </x:c>
    </x:row>
    <x:row r="156">
      <x:c r="A156" t="str">
        <x:f>IPO_Data_Collection!B156</x:f>
        <x:v>Kalyan Jewellers</x:v>
      </x:c>
      <x:c r="B156" t="n">
        <x:f>IPO_Data_Collection!D156</x:f>
        <x:v>0</x:v>
      </x:c>
      <x:c r="C156" t="n">
        <x:f>IPO_Data_Collection!E156</x:f>
        <x:v>0</x:v>
      </x:c>
      <x:c r="D156" t="n">
        <x:f>IPO_Data_Collection!F156</x:f>
        <x:v>0</x:v>
      </x:c>
      <x:c r="E156" t="n">
        <x:f>IPO_Data_Collection!G156</x:f>
        <x:v>0</x:v>
      </x:c>
      <x:c r="F156" t="str">
        <x:f>IFERROR(B156/D156,"")</x:f>
      </x:c>
      <x:c r="G156" t="n">
        <x:f>IPO_Data_Collection!J156</x:f>
        <x:v>0</x:v>
      </x:c>
      <x:c r="H156" t="n">
        <x:f>IPO_Data_Collection!K156</x:f>
        <x:v>0</x:v>
      </x:c>
      <x:c r="I156" t="n">
        <x:f>IPO_Data_Collection!Q156</x:f>
        <x:v>0</x:v>
      </x:c>
      <x:c r="J156" t="n">
        <x:f>IPO_Data_Collection!S156</x:f>
        <x:v>0</x:v>
      </x:c>
      <x:c r="K156" t="n">
        <x:f>IPO_Data_Collection!T156</x:f>
        <x:v>0</x:v>
      </x:c>
      <x:c r="L156" t="n">
        <x:f>IPO_Data_Collection!U156</x:f>
        <x:v>0</x:v>
      </x:c>
      <x:c r="M156" t="str">
        <x:f>IF(COUNTA(B156:I156)&gt;=7,"Ready","Missing")</x:f>
        <x:v>Ready</x:v>
      </x:c>
    </x:row>
    <x:row r="157">
      <x:c r="A157" t="str">
        <x:f>IPO_Data_Collection!B157</x:f>
        <x:v>Kaynes Technology India</x:v>
      </x:c>
      <x:c r="B157" t="n">
        <x:f>IPO_Data_Collection!D157</x:f>
        <x:v>0</x:v>
      </x:c>
      <x:c r="C157" t="n">
        <x:f>IPO_Data_Collection!E157</x:f>
        <x:v>0</x:v>
      </x:c>
      <x:c r="D157" t="n">
        <x:f>IPO_Data_Collection!F157</x:f>
        <x:v>0</x:v>
      </x:c>
      <x:c r="E157" t="n">
        <x:f>IPO_Data_Collection!G157</x:f>
        <x:v>0</x:v>
      </x:c>
      <x:c r="F157" t="str">
        <x:f>IFERROR(B157/D157,"")</x:f>
      </x:c>
      <x:c r="G157" t="n">
        <x:f>IPO_Data_Collection!J157</x:f>
        <x:v>0</x:v>
      </x:c>
      <x:c r="H157" t="n">
        <x:f>IPO_Data_Collection!K157</x:f>
        <x:v>0</x:v>
      </x:c>
      <x:c r="I157" t="n">
        <x:f>IPO_Data_Collection!Q157</x:f>
        <x:v>0</x:v>
      </x:c>
      <x:c r="J157" t="n">
        <x:f>IPO_Data_Collection!S157</x:f>
        <x:v>0</x:v>
      </x:c>
      <x:c r="K157" t="n">
        <x:f>IPO_Data_Collection!T157</x:f>
        <x:v>0</x:v>
      </x:c>
      <x:c r="L157" t="n">
        <x:f>IPO_Data_Collection!U157</x:f>
        <x:v>0</x:v>
      </x:c>
      <x:c r="M157" t="str">
        <x:f>IF(COUNTA(B157:I157)&gt;=7,"Ready","Missing")</x:f>
        <x:v>Ready</x:v>
      </x:c>
    </x:row>
    <x:row r="158">
      <x:c r="A158" t="str">
        <x:f>IPO_Data_Collection!B158</x:f>
        <x:v>Keystone Realtors</x:v>
      </x:c>
      <x:c r="B158" t="n">
        <x:f>IPO_Data_Collection!D158</x:f>
        <x:v>0</x:v>
      </x:c>
      <x:c r="C158" t="n">
        <x:f>IPO_Data_Collection!E158</x:f>
        <x:v>0</x:v>
      </x:c>
      <x:c r="D158" t="n">
        <x:f>IPO_Data_Collection!F158</x:f>
        <x:v>0</x:v>
      </x:c>
      <x:c r="E158" t="n">
        <x:f>IPO_Data_Collection!G158</x:f>
        <x:v>0</x:v>
      </x:c>
      <x:c r="F158" t="str">
        <x:f>IFERROR(B158/D158,"")</x:f>
      </x:c>
      <x:c r="G158" t="n">
        <x:f>IPO_Data_Collection!J158</x:f>
        <x:v>0</x:v>
      </x:c>
      <x:c r="H158" t="n">
        <x:f>IPO_Data_Collection!K158</x:f>
        <x:v>0</x:v>
      </x:c>
      <x:c r="I158" t="n">
        <x:f>IPO_Data_Collection!Q158</x:f>
        <x:v>0</x:v>
      </x:c>
      <x:c r="J158" t="n">
        <x:f>IPO_Data_Collection!S158</x:f>
        <x:v>0</x:v>
      </x:c>
      <x:c r="K158" t="n">
        <x:f>IPO_Data_Collection!T158</x:f>
        <x:v>0</x:v>
      </x:c>
      <x:c r="L158" t="n">
        <x:f>IPO_Data_Collection!U158</x:f>
        <x:v>0</x:v>
      </x:c>
      <x:c r="M158" t="str">
        <x:f>IF(COUNTA(B158:I158)&gt;=7,"Ready","Missing")</x:f>
        <x:v>Ready</x:v>
      </x:c>
    </x:row>
    <x:row r="159">
      <x:c r="A159" t="str">
        <x:f>IPO_Data_Collection!B159</x:f>
        <x:v>KIMS</x:v>
      </x:c>
      <x:c r="B159" t="n">
        <x:f>IPO_Data_Collection!D159</x:f>
        <x:v>0</x:v>
      </x:c>
      <x:c r="C159" t="n">
        <x:f>IPO_Data_Collection!E159</x:f>
        <x:v>0</x:v>
      </x:c>
      <x:c r="D159" t="n">
        <x:f>IPO_Data_Collection!F159</x:f>
        <x:v>0</x:v>
      </x:c>
      <x:c r="E159" t="n">
        <x:f>IPO_Data_Collection!G159</x:f>
        <x:v>0</x:v>
      </x:c>
      <x:c r="F159" t="str">
        <x:f>IFERROR(B159/D159,"")</x:f>
      </x:c>
      <x:c r="G159" t="n">
        <x:f>IPO_Data_Collection!J159</x:f>
        <x:v>0</x:v>
      </x:c>
      <x:c r="H159" t="n">
        <x:f>IPO_Data_Collection!K159</x:f>
        <x:v>0</x:v>
      </x:c>
      <x:c r="I159" t="n">
        <x:f>IPO_Data_Collection!Q159</x:f>
        <x:v>0</x:v>
      </x:c>
      <x:c r="J159" t="n">
        <x:f>IPO_Data_Collection!S159</x:f>
        <x:v>0</x:v>
      </x:c>
      <x:c r="K159" t="n">
        <x:f>IPO_Data_Collection!T159</x:f>
        <x:v>0</x:v>
      </x:c>
      <x:c r="L159" t="n">
        <x:f>IPO_Data_Collection!U159</x:f>
        <x:v>0</x:v>
      </x:c>
      <x:c r="M159" t="str">
        <x:f>IF(COUNTA(B159:I159)&gt;=7,"Ready","Missing")</x:f>
        <x:v>Ready</x:v>
      </x:c>
    </x:row>
    <x:row r="160">
      <x:c r="A160" t="str">
        <x:f>IPO_Data_Collection!B160</x:f>
        <x:v>Knowledge Realty Trust REIT</x:v>
      </x:c>
      <x:c r="B160" t="n">
        <x:f>IPO_Data_Collection!D160</x:f>
        <x:v>0</x:v>
      </x:c>
      <x:c r="C160" t="n">
        <x:f>IPO_Data_Collection!E160</x:f>
        <x:v>0</x:v>
      </x:c>
      <x:c r="D160" t="n">
        <x:f>IPO_Data_Collection!F160</x:f>
        <x:v>0</x:v>
      </x:c>
      <x:c r="E160" t="n">
        <x:f>IPO_Data_Collection!G160</x:f>
        <x:v>0</x:v>
      </x:c>
      <x:c r="F160" t="str">
        <x:f>IFERROR(B160/D160,"")</x:f>
      </x:c>
      <x:c r="G160" t="n">
        <x:f>IPO_Data_Collection!J160</x:f>
        <x:v>0</x:v>
      </x:c>
      <x:c r="H160" t="n">
        <x:f>IPO_Data_Collection!K160</x:f>
        <x:v>0</x:v>
      </x:c>
      <x:c r="I160" t="n">
        <x:f>IPO_Data_Collection!Q160</x:f>
        <x:v>0</x:v>
      </x:c>
      <x:c r="J160" t="n">
        <x:f>IPO_Data_Collection!S160</x:f>
        <x:v>0</x:v>
      </x:c>
      <x:c r="K160" t="n">
        <x:f>IPO_Data_Collection!T160</x:f>
        <x:v>0</x:v>
      </x:c>
      <x:c r="L160" t="n">
        <x:f>IPO_Data_Collection!U160</x:f>
        <x:v>0</x:v>
      </x:c>
      <x:c r="M160" t="str">
        <x:f>IF(COUNTA(B160:I160)&gt;=7,"Ready","Missing")</x:f>
        <x:v>Ready</x:v>
      </x:c>
    </x:row>
    <x:row r="161">
      <x:c r="A161" t="str">
        <x:f>IPO_Data_Collection!B161</x:f>
        <x:v>Krsnaa Diagnostics</x:v>
      </x:c>
      <x:c r="B161" t="n">
        <x:f>IPO_Data_Collection!D161</x:f>
        <x:v>0</x:v>
      </x:c>
      <x:c r="C161" t="n">
        <x:f>IPO_Data_Collection!E161</x:f>
        <x:v>0</x:v>
      </x:c>
      <x:c r="D161" t="n">
        <x:f>IPO_Data_Collection!F161</x:f>
        <x:v>0</x:v>
      </x:c>
      <x:c r="E161" t="n">
        <x:f>IPO_Data_Collection!G161</x:f>
        <x:v>0</x:v>
      </x:c>
      <x:c r="F161" t="str">
        <x:f>IFERROR(B161/D161,"")</x:f>
      </x:c>
      <x:c r="G161" t="n">
        <x:f>IPO_Data_Collection!J161</x:f>
        <x:v>0</x:v>
      </x:c>
      <x:c r="H161" t="n">
        <x:f>IPO_Data_Collection!K161</x:f>
        <x:v>0</x:v>
      </x:c>
      <x:c r="I161" t="n">
        <x:f>IPO_Data_Collection!Q161</x:f>
        <x:v>0</x:v>
      </x:c>
      <x:c r="J161" t="n">
        <x:f>IPO_Data_Collection!S161</x:f>
        <x:v>0</x:v>
      </x:c>
      <x:c r="K161" t="n">
        <x:f>IPO_Data_Collection!T161</x:f>
        <x:v>0</x:v>
      </x:c>
      <x:c r="L161" t="n">
        <x:f>IPO_Data_Collection!U161</x:f>
        <x:v>0</x:v>
      </x:c>
      <x:c r="M161" t="str">
        <x:f>IF(COUNTA(B161:I161)&gt;=7,"Ready","Missing")</x:f>
        <x:v>Ready</x:v>
      </x:c>
    </x:row>
    <x:row r="162">
      <x:c r="A162" t="str">
        <x:f>IPO_Data_Collection!B162</x:f>
        <x:v>LG Electronics India Ltd</x:v>
      </x:c>
      <x:c r="B162" t="n">
        <x:f>IPO_Data_Collection!D162</x:f>
        <x:v>0</x:v>
      </x:c>
      <x:c r="C162" t="n">
        <x:f>IPO_Data_Collection!E162</x:f>
        <x:v>0</x:v>
      </x:c>
      <x:c r="D162" t="n">
        <x:f>IPO_Data_Collection!F162</x:f>
        <x:v>0</x:v>
      </x:c>
      <x:c r="E162" t="n">
        <x:f>IPO_Data_Collection!G162</x:f>
        <x:v>0</x:v>
      </x:c>
      <x:c r="F162" t="str">
        <x:f>IFERROR(B162/D162,"")</x:f>
      </x:c>
      <x:c r="G162" t="n">
        <x:f>IPO_Data_Collection!J162</x:f>
        <x:v>0</x:v>
      </x:c>
      <x:c r="H162" t="n">
        <x:f>IPO_Data_Collection!K162</x:f>
        <x:v>0</x:v>
      </x:c>
      <x:c r="I162" t="n">
        <x:f>IPO_Data_Collection!Q162</x:f>
        <x:v>0</x:v>
      </x:c>
      <x:c r="J162" t="n">
        <x:f>IPO_Data_Collection!S162</x:f>
        <x:v>0</x:v>
      </x:c>
      <x:c r="K162" t="n">
        <x:f>IPO_Data_Collection!T162</x:f>
        <x:v>0</x:v>
      </x:c>
      <x:c r="L162" t="n">
        <x:f>IPO_Data_Collection!U162</x:f>
        <x:v>0</x:v>
      </x:c>
      <x:c r="M162" t="str">
        <x:f>IF(COUNTA(B162:I162)&gt;=7,"Ready","Missing")</x:f>
        <x:v>Ready</x:v>
      </x:c>
    </x:row>
    <x:row r="163">
      <x:c r="A163" t="str">
        <x:f>IPO_Data_Collection!B163</x:f>
        <x:v>LIC</x:v>
      </x:c>
      <x:c r="B163" t="n">
        <x:f>IPO_Data_Collection!D163</x:f>
        <x:v>0</x:v>
      </x:c>
      <x:c r="C163" t="n">
        <x:f>IPO_Data_Collection!E163</x:f>
        <x:v>0</x:v>
      </x:c>
      <x:c r="D163" t="n">
        <x:f>IPO_Data_Collection!F163</x:f>
        <x:v>0</x:v>
      </x:c>
      <x:c r="E163" t="n">
        <x:f>IPO_Data_Collection!G163</x:f>
        <x:v>0</x:v>
      </x:c>
      <x:c r="F163" t="str">
        <x:f>IFERROR(B163/D163,"")</x:f>
      </x:c>
      <x:c r="G163" t="n">
        <x:f>IPO_Data_Collection!J163</x:f>
        <x:v>0</x:v>
      </x:c>
      <x:c r="H163" t="n">
        <x:f>IPO_Data_Collection!K163</x:f>
        <x:v>0</x:v>
      </x:c>
      <x:c r="I163" t="n">
        <x:f>IPO_Data_Collection!Q163</x:f>
        <x:v>0</x:v>
      </x:c>
      <x:c r="J163" t="n">
        <x:f>IPO_Data_Collection!S163</x:f>
        <x:v>0</x:v>
      </x:c>
      <x:c r="K163" t="n">
        <x:f>IPO_Data_Collection!T163</x:f>
        <x:v>0</x:v>
      </x:c>
      <x:c r="L163" t="n">
        <x:f>IPO_Data_Collection!U163</x:f>
        <x:v>0</x:v>
      </x:c>
      <x:c r="M163" t="str">
        <x:f>IF(COUNTA(B163:I163)&gt;=7,"Ready","Missing")</x:f>
        <x:v>Ready</x:v>
      </x:c>
    </x:row>
    <x:row r="164">
      <x:c r="A164" t="str">
        <x:f>IPO_Data_Collection!B164</x:f>
        <x:v>Landmark Cars</x:v>
      </x:c>
      <x:c r="B164" t="n">
        <x:f>IPO_Data_Collection!D164</x:f>
        <x:v>0</x:v>
      </x:c>
      <x:c r="C164" t="n">
        <x:f>IPO_Data_Collection!E164</x:f>
        <x:v>0</x:v>
      </x:c>
      <x:c r="D164" t="n">
        <x:f>IPO_Data_Collection!F164</x:f>
        <x:v>0</x:v>
      </x:c>
      <x:c r="E164" t="n">
        <x:f>IPO_Data_Collection!G164</x:f>
        <x:v>0</x:v>
      </x:c>
      <x:c r="F164" t="str">
        <x:f>IFERROR(B164/D164,"")</x:f>
      </x:c>
      <x:c r="G164" t="n">
        <x:f>IPO_Data_Collection!J164</x:f>
        <x:v>0</x:v>
      </x:c>
      <x:c r="H164" t="n">
        <x:f>IPO_Data_Collection!K164</x:f>
        <x:v>0</x:v>
      </x:c>
      <x:c r="I164" t="n">
        <x:f>IPO_Data_Collection!Q164</x:f>
        <x:v>0</x:v>
      </x:c>
      <x:c r="J164" t="n">
        <x:f>IPO_Data_Collection!S164</x:f>
        <x:v>0</x:v>
      </x:c>
      <x:c r="K164" t="n">
        <x:f>IPO_Data_Collection!T164</x:f>
        <x:v>0</x:v>
      </x:c>
      <x:c r="L164" t="n">
        <x:f>IPO_Data_Collection!U164</x:f>
        <x:v>0</x:v>
      </x:c>
      <x:c r="M164" t="str">
        <x:f>IF(COUNTA(B164:I164)&gt;=7,"Ready","Missing")</x:f>
        <x:v>Ready</x:v>
      </x:c>
    </x:row>
    <x:row r="165">
      <x:c r="A165" t="str">
        <x:f>IPO_Data_Collection!B165</x:f>
        <x:v>Latent View Analytics</x:v>
      </x:c>
      <x:c r="B165" t="n">
        <x:f>IPO_Data_Collection!D165</x:f>
        <x:v>0</x:v>
      </x:c>
      <x:c r="C165" t="n">
        <x:f>IPO_Data_Collection!E165</x:f>
        <x:v>0</x:v>
      </x:c>
      <x:c r="D165" t="n">
        <x:f>IPO_Data_Collection!F165</x:f>
        <x:v>0</x:v>
      </x:c>
      <x:c r="E165" t="n">
        <x:f>IPO_Data_Collection!G165</x:f>
        <x:v>0</x:v>
      </x:c>
      <x:c r="F165" t="str">
        <x:f>IFERROR(B165/D165,"")</x:f>
      </x:c>
      <x:c r="G165" t="n">
        <x:f>IPO_Data_Collection!J165</x:f>
        <x:v>0</x:v>
      </x:c>
      <x:c r="H165" t="n">
        <x:f>IPO_Data_Collection!K165</x:f>
        <x:v>0</x:v>
      </x:c>
      <x:c r="I165" t="n">
        <x:f>IPO_Data_Collection!Q165</x:f>
        <x:v>0</x:v>
      </x:c>
      <x:c r="J165" t="n">
        <x:f>IPO_Data_Collection!S165</x:f>
        <x:v>0</x:v>
      </x:c>
      <x:c r="K165" t="n">
        <x:f>IPO_Data_Collection!T165</x:f>
        <x:v>0</x:v>
      </x:c>
      <x:c r="L165" t="n">
        <x:f>IPO_Data_Collection!U165</x:f>
        <x:v>0</x:v>
      </x:c>
      <x:c r="M165" t="str">
        <x:f>IF(COUNTA(B165:I165)&gt;=7,"Ready","Missing")</x:f>
        <x:v>Ready</x:v>
      </x:c>
    </x:row>
    <x:row r="166">
      <x:c r="A166" t="str">
        <x:f>IPO_Data_Collection!B166</x:f>
        <x:v>Laxmi India Finance Ltd</x:v>
      </x:c>
      <x:c r="B166" t="n">
        <x:f>IPO_Data_Collection!D166</x:f>
        <x:v>0</x:v>
      </x:c>
      <x:c r="C166" t="n">
        <x:f>IPO_Data_Collection!E166</x:f>
        <x:v>0</x:v>
      </x:c>
      <x:c r="D166" t="n">
        <x:f>IPO_Data_Collection!F166</x:f>
        <x:v>0</x:v>
      </x:c>
      <x:c r="E166" t="n">
        <x:f>IPO_Data_Collection!G166</x:f>
        <x:v>0</x:v>
      </x:c>
      <x:c r="F166" t="str">
        <x:f>IFERROR(B166/D166,"")</x:f>
      </x:c>
      <x:c r="G166" t="n">
        <x:f>IPO_Data_Collection!J166</x:f>
        <x:v>0</x:v>
      </x:c>
      <x:c r="H166" t="n">
        <x:f>IPO_Data_Collection!K166</x:f>
        <x:v>0</x:v>
      </x:c>
      <x:c r="I166" t="n">
        <x:f>IPO_Data_Collection!Q166</x:f>
        <x:v>0</x:v>
      </x:c>
      <x:c r="J166" t="n">
        <x:f>IPO_Data_Collection!S166</x:f>
        <x:v>0</x:v>
      </x:c>
      <x:c r="K166" t="n">
        <x:f>IPO_Data_Collection!T166</x:f>
        <x:v>0</x:v>
      </x:c>
      <x:c r="L166" t="n">
        <x:f>IPO_Data_Collection!U166</x:f>
        <x:v>0</x:v>
      </x:c>
      <x:c r="M166" t="str">
        <x:f>IF(COUNTA(B166:I166)&gt;=7,"Ready","Missing")</x:f>
        <x:v>Ready</x:v>
      </x:c>
    </x:row>
    <x:row r="167">
      <x:c r="A167" t="str">
        <x:f>IPO_Data_Collection!B167</x:f>
        <x:v>Lenskart Solutions Ltd</x:v>
      </x:c>
      <x:c r="B167" t="n">
        <x:f>IPO_Data_Collection!D167</x:f>
        <x:v>0</x:v>
      </x:c>
      <x:c r="C167" t="n">
        <x:f>IPO_Data_Collection!E167</x:f>
        <x:v>0</x:v>
      </x:c>
      <x:c r="D167" t="n">
        <x:f>IPO_Data_Collection!F167</x:f>
        <x:v>0</x:v>
      </x:c>
      <x:c r="E167" t="n">
        <x:f>IPO_Data_Collection!G167</x:f>
        <x:v>0</x:v>
      </x:c>
      <x:c r="F167" t="str">
        <x:f>IFERROR(B167/D167,"")</x:f>
      </x:c>
      <x:c r="G167" t="n">
        <x:f>IPO_Data_Collection!J167</x:f>
        <x:v>0</x:v>
      </x:c>
      <x:c r="H167" t="n">
        <x:f>IPO_Data_Collection!K167</x:f>
        <x:v>0</x:v>
      </x:c>
      <x:c r="I167" t="n">
        <x:f>IPO_Data_Collection!Q167</x:f>
        <x:v>0</x:v>
      </x:c>
      <x:c r="J167" t="n">
        <x:f>IPO_Data_Collection!S167</x:f>
        <x:v>0</x:v>
      </x:c>
      <x:c r="K167" t="n">
        <x:f>IPO_Data_Collection!T167</x:f>
        <x:v>0</x:v>
      </x:c>
      <x:c r="L167" t="n">
        <x:f>IPO_Data_Collection!U167</x:f>
        <x:v>0</x:v>
      </x:c>
      <x:c r="M167" t="str">
        <x:f>IF(COUNTA(B167:I167)&gt;=7,"Ready","Missing")</x:f>
        <x:v>Ready</x:v>
      </x:c>
    </x:row>
    <x:row r="168">
      <x:c r="A168" t="str">
        <x:f>IPO_Data_Collection!B168</x:f>
        <x:v>Likhitha Infrastructure</x:v>
      </x:c>
      <x:c r="B168" t="n">
        <x:f>IPO_Data_Collection!D168</x:f>
        <x:v>0</x:v>
      </x:c>
      <x:c r="C168" t="n">
        <x:f>IPO_Data_Collection!E168</x:f>
        <x:v>0</x:v>
      </x:c>
      <x:c r="D168" t="n">
        <x:f>IPO_Data_Collection!F168</x:f>
        <x:v>0</x:v>
      </x:c>
      <x:c r="E168" t="n">
        <x:f>IPO_Data_Collection!G168</x:f>
        <x:v>0</x:v>
      </x:c>
      <x:c r="F168" t="str">
        <x:f>IFERROR(B168/D168,"")</x:f>
      </x:c>
      <x:c r="G168" t="n">
        <x:f>IPO_Data_Collection!J168</x:f>
        <x:v>0</x:v>
      </x:c>
      <x:c r="H168" t="n">
        <x:f>IPO_Data_Collection!K168</x:f>
        <x:v>0</x:v>
      </x:c>
      <x:c r="I168" t="n">
        <x:f>IPO_Data_Collection!Q168</x:f>
        <x:v>0</x:v>
      </x:c>
      <x:c r="J168" t="n">
        <x:f>IPO_Data_Collection!S168</x:f>
        <x:v>0</x:v>
      </x:c>
      <x:c r="K168" t="n">
        <x:f>IPO_Data_Collection!T168</x:f>
        <x:v>0</x:v>
      </x:c>
      <x:c r="L168" t="n">
        <x:f>IPO_Data_Collection!U168</x:f>
        <x:v>0</x:v>
      </x:c>
      <x:c r="M168" t="str">
        <x:f>IF(COUNTA(B168:I168)&gt;=7,"Ready","Missing")</x:f>
        <x:v>Ready</x:v>
      </x:c>
    </x:row>
    <x:row r="169">
      <x:c r="A169" t="str">
        <x:f>IPO_Data_Collection!B169</x:f>
        <x:v>Lodha Macrotech Developers</x:v>
      </x:c>
      <x:c r="B169" t="n">
        <x:f>IPO_Data_Collection!D169</x:f>
        <x:v>0</x:v>
      </x:c>
      <x:c r="C169" t="n">
        <x:f>IPO_Data_Collection!E169</x:f>
        <x:v>0</x:v>
      </x:c>
      <x:c r="D169" t="n">
        <x:f>IPO_Data_Collection!F169</x:f>
        <x:v>0</x:v>
      </x:c>
      <x:c r="E169" t="n">
        <x:f>IPO_Data_Collection!G169</x:f>
        <x:v>0</x:v>
      </x:c>
      <x:c r="F169" t="str">
        <x:f>IFERROR(B169/D169,"")</x:f>
      </x:c>
      <x:c r="G169" t="n">
        <x:f>IPO_Data_Collection!J169</x:f>
        <x:v>0</x:v>
      </x:c>
      <x:c r="H169" t="n">
        <x:f>IPO_Data_Collection!K169</x:f>
        <x:v>0</x:v>
      </x:c>
      <x:c r="I169" t="n">
        <x:f>IPO_Data_Collection!Q169</x:f>
        <x:v>0</x:v>
      </x:c>
      <x:c r="J169" t="n">
        <x:f>IPO_Data_Collection!S169</x:f>
        <x:v>0</x:v>
      </x:c>
      <x:c r="K169" t="n">
        <x:f>IPO_Data_Collection!T169</x:f>
        <x:v>0</x:v>
      </x:c>
      <x:c r="L169" t="n">
        <x:f>IPO_Data_Collection!U169</x:f>
        <x:v>0</x:v>
      </x:c>
      <x:c r="M169" t="str">
        <x:f>IF(COUNTA(B169:I169)&gt;=7,"Ready","Missing")</x:f>
        <x:v>Ready</x:v>
      </x:c>
    </x:row>
    <x:row r="170">
      <x:c r="A170" t="str">
        <x:f>IPO_Data_Collection!B170</x:f>
        <x:v>M B Engineering Ltd</x:v>
      </x:c>
      <x:c r="B170" t="n">
        <x:f>IPO_Data_Collection!D170</x:f>
        <x:v>0</x:v>
      </x:c>
      <x:c r="C170" t="n">
        <x:f>IPO_Data_Collection!E170</x:f>
        <x:v>0</x:v>
      </x:c>
      <x:c r="D170" t="n">
        <x:f>IPO_Data_Collection!F170</x:f>
        <x:v>0</x:v>
      </x:c>
      <x:c r="E170" t="n">
        <x:f>IPO_Data_Collection!G170</x:f>
        <x:v>0</x:v>
      </x:c>
      <x:c r="F170" t="str">
        <x:f>IFERROR(B170/D170,"")</x:f>
      </x:c>
      <x:c r="G170" t="n">
        <x:f>IPO_Data_Collection!J170</x:f>
        <x:v>0</x:v>
      </x:c>
      <x:c r="H170" t="n">
        <x:f>IPO_Data_Collection!K170</x:f>
        <x:v>0</x:v>
      </x:c>
      <x:c r="I170" t="n">
        <x:f>IPO_Data_Collection!Q170</x:f>
        <x:v>0</x:v>
      </x:c>
      <x:c r="J170" t="n">
        <x:f>IPO_Data_Collection!S170</x:f>
        <x:v>0</x:v>
      </x:c>
      <x:c r="K170" t="n">
        <x:f>IPO_Data_Collection!T170</x:f>
        <x:v>0</x:v>
      </x:c>
      <x:c r="L170" t="n">
        <x:f>IPO_Data_Collection!U170</x:f>
        <x:v>0</x:v>
      </x:c>
      <x:c r="M170" t="str">
        <x:f>IF(COUNTA(B170:I170)&gt;=7,"Ready","Missing")</x:f>
        <x:v>Ready</x:v>
      </x:c>
    </x:row>
    <x:row r="171">
      <x:c r="A171" t="str">
        <x:f>IPO_Data_Collection!B171</x:f>
        <x:v>Mamaearth</x:v>
      </x:c>
      <x:c r="B171" t="n">
        <x:f>IPO_Data_Collection!D171</x:f>
        <x:v>0</x:v>
      </x:c>
      <x:c r="C171" t="n">
        <x:f>IPO_Data_Collection!E171</x:f>
        <x:v>0</x:v>
      </x:c>
      <x:c r="D171" t="n">
        <x:f>IPO_Data_Collection!F171</x:f>
        <x:v>0</x:v>
      </x:c>
      <x:c r="E171" t="n">
        <x:f>IPO_Data_Collection!G171</x:f>
        <x:v>0</x:v>
      </x:c>
      <x:c r="F171" t="str">
        <x:f>IFERROR(B171/D171,"")</x:f>
      </x:c>
      <x:c r="G171" t="n">
        <x:f>IPO_Data_Collection!J171</x:f>
        <x:v>0</x:v>
      </x:c>
      <x:c r="H171" t="n">
        <x:f>IPO_Data_Collection!K171</x:f>
        <x:v>0</x:v>
      </x:c>
      <x:c r="I171" t="n">
        <x:f>IPO_Data_Collection!Q171</x:f>
        <x:v>0</x:v>
      </x:c>
      <x:c r="J171" t="n">
        <x:f>IPO_Data_Collection!S171</x:f>
        <x:v>0</x:v>
      </x:c>
      <x:c r="K171" t="n">
        <x:f>IPO_Data_Collection!T171</x:f>
        <x:v>0</x:v>
      </x:c>
      <x:c r="L171" t="n">
        <x:f>IPO_Data_Collection!U171</x:f>
        <x:v>0</x:v>
      </x:c>
      <x:c r="M171" t="str">
        <x:f>IF(COUNTA(B171:I171)&gt;=7,"Ready","Missing")</x:f>
        <x:v>Ready</x:v>
      </x:c>
    </x:row>
    <x:row r="172">
      <x:c r="A172" t="str">
        <x:f>IPO_Data_Collection!B172</x:f>
        <x:v>Mangal Electrical Industries Ltd</x:v>
      </x:c>
      <x:c r="B172" t="n">
        <x:f>IPO_Data_Collection!D172</x:f>
        <x:v>0</x:v>
      </x:c>
      <x:c r="C172" t="n">
        <x:f>IPO_Data_Collection!E172</x:f>
        <x:v>0</x:v>
      </x:c>
      <x:c r="D172" t="n">
        <x:f>IPO_Data_Collection!F172</x:f>
        <x:v>0</x:v>
      </x:c>
      <x:c r="E172" t="n">
        <x:f>IPO_Data_Collection!G172</x:f>
        <x:v>0</x:v>
      </x:c>
      <x:c r="F172" t="str">
        <x:f>IFERROR(B172/D172,"")</x:f>
      </x:c>
      <x:c r="G172" t="n">
        <x:f>IPO_Data_Collection!J172</x:f>
        <x:v>0</x:v>
      </x:c>
      <x:c r="H172" t="n">
        <x:f>IPO_Data_Collection!K172</x:f>
        <x:v>0</x:v>
      </x:c>
      <x:c r="I172" t="n">
        <x:f>IPO_Data_Collection!Q172</x:f>
        <x:v>0</x:v>
      </x:c>
      <x:c r="J172" t="n">
        <x:f>IPO_Data_Collection!S172</x:f>
        <x:v>0</x:v>
      </x:c>
      <x:c r="K172" t="n">
        <x:f>IPO_Data_Collection!T172</x:f>
        <x:v>0</x:v>
      </x:c>
      <x:c r="L172" t="n">
        <x:f>IPO_Data_Collection!U172</x:f>
        <x:v>0</x:v>
      </x:c>
      <x:c r="M172" t="str">
        <x:f>IF(COUNTA(B172:I172)&gt;=7,"Ready","Missing")</x:f>
        <x:v>Ready</x:v>
      </x:c>
    </x:row>
    <x:row r="173">
      <x:c r="A173" t="str">
        <x:f>IPO_Data_Collection!B173</x:f>
        <x:v>Mankind Pharma</x:v>
      </x:c>
      <x:c r="B173" t="n">
        <x:f>IPO_Data_Collection!D173</x:f>
        <x:v>0</x:v>
      </x:c>
      <x:c r="C173" t="n">
        <x:f>IPO_Data_Collection!E173</x:f>
        <x:v>0</x:v>
      </x:c>
      <x:c r="D173" t="n">
        <x:f>IPO_Data_Collection!F173</x:f>
        <x:v>0</x:v>
      </x:c>
      <x:c r="E173" t="n">
        <x:f>IPO_Data_Collection!G173</x:f>
        <x:v>0</x:v>
      </x:c>
      <x:c r="F173" t="str">
        <x:f>IFERROR(B173/D173,"")</x:f>
      </x:c>
      <x:c r="G173" t="n">
        <x:f>IPO_Data_Collection!J173</x:f>
        <x:v>0</x:v>
      </x:c>
      <x:c r="H173" t="n">
        <x:f>IPO_Data_Collection!K173</x:f>
        <x:v>0</x:v>
      </x:c>
      <x:c r="I173" t="n">
        <x:f>IPO_Data_Collection!Q173</x:f>
        <x:v>0</x:v>
      </x:c>
      <x:c r="J173" t="n">
        <x:f>IPO_Data_Collection!S173</x:f>
        <x:v>0</x:v>
      </x:c>
      <x:c r="K173" t="n">
        <x:f>IPO_Data_Collection!T173</x:f>
        <x:v>0</x:v>
      </x:c>
      <x:c r="L173" t="n">
        <x:f>IPO_Data_Collection!U173</x:f>
        <x:v>0</x:v>
      </x:c>
      <x:c r="M173" t="str">
        <x:f>IF(COUNTA(B173:I173)&gt;=7,"Ready","Missing")</x:f>
        <x:v>Ready</x:v>
      </x:c>
    </x:row>
    <x:row r="174">
      <x:c r="A174" t="str">
        <x:f>IPO_Data_Collection!B174</x:f>
        <x:v>Manoj Vaibhav Gems</x:v>
      </x:c>
      <x:c r="B174" t="n">
        <x:f>IPO_Data_Collection!D174</x:f>
        <x:v>0</x:v>
      </x:c>
      <x:c r="C174" t="n">
        <x:f>IPO_Data_Collection!E174</x:f>
        <x:v>0</x:v>
      </x:c>
      <x:c r="D174" t="n">
        <x:f>IPO_Data_Collection!F174</x:f>
        <x:v>0</x:v>
      </x:c>
      <x:c r="E174" t="n">
        <x:f>IPO_Data_Collection!G174</x:f>
        <x:v>0</x:v>
      </x:c>
      <x:c r="F174" t="str">
        <x:f>IFERROR(B174/D174,"")</x:f>
      </x:c>
      <x:c r="G174" t="n">
        <x:f>IPO_Data_Collection!J174</x:f>
        <x:v>0</x:v>
      </x:c>
      <x:c r="H174" t="n">
        <x:f>IPO_Data_Collection!K174</x:f>
        <x:v>0</x:v>
      </x:c>
      <x:c r="I174" t="n">
        <x:f>IPO_Data_Collection!Q174</x:f>
        <x:v>0</x:v>
      </x:c>
      <x:c r="J174" t="n">
        <x:f>IPO_Data_Collection!S174</x:f>
        <x:v>0</x:v>
      </x:c>
      <x:c r="K174" t="n">
        <x:f>IPO_Data_Collection!T174</x:f>
        <x:v>0</x:v>
      </x:c>
      <x:c r="L174" t="n">
        <x:f>IPO_Data_Collection!U174</x:f>
        <x:v>0</x:v>
      </x:c>
      <x:c r="M174" t="str">
        <x:f>IF(COUNTA(B174:I174)&gt;=7,"Ready","Missing")</x:f>
        <x:v>Ready</x:v>
      </x:c>
    </x:row>
    <x:row r="175">
      <x:c r="A175" t="str">
        <x:f>IPO_Data_Collection!B175</x:f>
        <x:v>Mazagon Dock Shipbuilders</x:v>
      </x:c>
      <x:c r="B175" t="n">
        <x:f>IPO_Data_Collection!D175</x:f>
        <x:v>0</x:v>
      </x:c>
      <x:c r="C175" t="n">
        <x:f>IPO_Data_Collection!E175</x:f>
        <x:v>0</x:v>
      </x:c>
      <x:c r="D175" t="n">
        <x:f>IPO_Data_Collection!F175</x:f>
        <x:v>0</x:v>
      </x:c>
      <x:c r="E175" t="n">
        <x:f>IPO_Data_Collection!G175</x:f>
        <x:v>0</x:v>
      </x:c>
      <x:c r="F175" t="str">
        <x:f>IFERROR(B175/D175,"")</x:f>
      </x:c>
      <x:c r="G175" t="n">
        <x:f>IPO_Data_Collection!J175</x:f>
        <x:v>0</x:v>
      </x:c>
      <x:c r="H175" t="n">
        <x:f>IPO_Data_Collection!K175</x:f>
        <x:v>0</x:v>
      </x:c>
      <x:c r="I175" t="n">
        <x:f>IPO_Data_Collection!Q175</x:f>
        <x:v>0</x:v>
      </x:c>
      <x:c r="J175" t="n">
        <x:f>IPO_Data_Collection!S175</x:f>
        <x:v>0</x:v>
      </x:c>
      <x:c r="K175" t="n">
        <x:f>IPO_Data_Collection!T175</x:f>
        <x:v>0</x:v>
      </x:c>
      <x:c r="L175" t="n">
        <x:f>IPO_Data_Collection!U175</x:f>
        <x:v>0</x:v>
      </x:c>
      <x:c r="M175" t="str">
        <x:f>IF(COUNTA(B175:I175)&gt;=7,"Ready","Missing")</x:f>
        <x:v>Ready</x:v>
      </x:c>
    </x:row>
    <x:row r="176">
      <x:c r="A176" t="str">
        <x:f>IPO_Data_Collection!B176</x:f>
        <x:v>Medi Assist</x:v>
      </x:c>
      <x:c r="B176" t="n">
        <x:f>IPO_Data_Collection!D176</x:f>
        <x:v>0</x:v>
      </x:c>
      <x:c r="C176" t="n">
        <x:f>IPO_Data_Collection!E176</x:f>
        <x:v>0</x:v>
      </x:c>
      <x:c r="D176" t="n">
        <x:f>IPO_Data_Collection!F176</x:f>
        <x:v>0</x:v>
      </x:c>
      <x:c r="E176" t="n">
        <x:f>IPO_Data_Collection!G176</x:f>
        <x:v>0</x:v>
      </x:c>
      <x:c r="F176" t="str">
        <x:f>IFERROR(B176/D176,"")</x:f>
      </x:c>
      <x:c r="G176" t="n">
        <x:f>IPO_Data_Collection!J176</x:f>
        <x:v>0</x:v>
      </x:c>
      <x:c r="H176" t="n">
        <x:f>IPO_Data_Collection!K176</x:f>
        <x:v>0</x:v>
      </x:c>
      <x:c r="I176" t="n">
        <x:f>IPO_Data_Collection!Q176</x:f>
        <x:v>0</x:v>
      </x:c>
      <x:c r="J176" t="n">
        <x:f>IPO_Data_Collection!S176</x:f>
        <x:v>0</x:v>
      </x:c>
      <x:c r="K176" t="n">
        <x:f>IPO_Data_Collection!T176</x:f>
        <x:v>0</x:v>
      </x:c>
      <x:c r="L176" t="n">
        <x:f>IPO_Data_Collection!U176</x:f>
        <x:v>0</x:v>
      </x:c>
      <x:c r="M176" t="str">
        <x:f>IF(COUNTA(B176:I176)&gt;=7,"Ready","Missing")</x:f>
        <x:v>Ready</x:v>
      </x:c>
    </x:row>
    <x:row r="177">
      <x:c r="A177" t="str">
        <x:f>IPO_Data_Collection!B177</x:f>
        <x:v>Medplus Health</x:v>
      </x:c>
      <x:c r="B177" t="n">
        <x:f>IPO_Data_Collection!D177</x:f>
        <x:v>0</x:v>
      </x:c>
      <x:c r="C177" t="n">
        <x:f>IPO_Data_Collection!E177</x:f>
        <x:v>0</x:v>
      </x:c>
      <x:c r="D177" t="n">
        <x:f>IPO_Data_Collection!F177</x:f>
        <x:v>0</x:v>
      </x:c>
      <x:c r="E177" t="n">
        <x:f>IPO_Data_Collection!G177</x:f>
        <x:v>0</x:v>
      </x:c>
      <x:c r="F177" t="str">
        <x:f>IFERROR(B177/D177,"")</x:f>
      </x:c>
      <x:c r="G177" t="n">
        <x:f>IPO_Data_Collection!J177</x:f>
        <x:v>0</x:v>
      </x:c>
      <x:c r="H177" t="n">
        <x:f>IPO_Data_Collection!K177</x:f>
        <x:v>0</x:v>
      </x:c>
      <x:c r="I177" t="n">
        <x:f>IPO_Data_Collection!Q177</x:f>
        <x:v>0</x:v>
      </x:c>
      <x:c r="J177" t="n">
        <x:f>IPO_Data_Collection!S177</x:f>
        <x:v>0</x:v>
      </x:c>
      <x:c r="K177" t="n">
        <x:f>IPO_Data_Collection!T177</x:f>
        <x:v>0</x:v>
      </x:c>
      <x:c r="L177" t="n">
        <x:f>IPO_Data_Collection!U177</x:f>
        <x:v>0</x:v>
      </x:c>
      <x:c r="M177" t="str">
        <x:f>IF(COUNTA(B177:I177)&gt;=7,"Ready","Missing")</x:f>
        <x:v>Ready</x:v>
      </x:c>
    </x:row>
    <x:row r="178">
      <x:c r="A178" t="str">
        <x:f>IPO_Data_Collection!B178</x:f>
        <x:v>Meesho Ltd</x:v>
      </x:c>
      <x:c r="B178" t="n">
        <x:f>IPO_Data_Collection!D178</x:f>
        <x:v>0</x:v>
      </x:c>
      <x:c r="C178" t="n">
        <x:f>IPO_Data_Collection!E178</x:f>
        <x:v>0</x:v>
      </x:c>
      <x:c r="D178" t="n">
        <x:f>IPO_Data_Collection!F178</x:f>
        <x:v>0</x:v>
      </x:c>
      <x:c r="E178" t="n">
        <x:f>IPO_Data_Collection!G178</x:f>
        <x:v>0</x:v>
      </x:c>
      <x:c r="F178" t="str">
        <x:f>IFERROR(B178/D178,"")</x:f>
      </x:c>
      <x:c r="G178" t="n">
        <x:f>IPO_Data_Collection!J178</x:f>
        <x:v>0</x:v>
      </x:c>
      <x:c r="H178" t="n">
        <x:f>IPO_Data_Collection!K178</x:f>
        <x:v>0</x:v>
      </x:c>
      <x:c r="I178" t="n">
        <x:f>IPO_Data_Collection!Q178</x:f>
        <x:v>0</x:v>
      </x:c>
      <x:c r="J178" t="n">
        <x:f>IPO_Data_Collection!S178</x:f>
        <x:v>0</x:v>
      </x:c>
      <x:c r="K178" t="n">
        <x:f>IPO_Data_Collection!T178</x:f>
        <x:v>0</x:v>
      </x:c>
      <x:c r="L178" t="n">
        <x:f>IPO_Data_Collection!U178</x:f>
        <x:v>0</x:v>
      </x:c>
      <x:c r="M178" t="str">
        <x:f>IF(COUNTA(B178:I178)&gt;=7,"Ready","Missing")</x:f>
        <x:v>Ready</x:v>
      </x:c>
    </x:row>
    <x:row r="179">
      <x:c r="A179" t="str">
        <x:f>IPO_Data_Collection!B179</x:f>
        <x:v>Metro Brands</x:v>
      </x:c>
      <x:c r="B179" t="n">
        <x:f>IPO_Data_Collection!D179</x:f>
        <x:v>0</x:v>
      </x:c>
      <x:c r="C179" t="n">
        <x:f>IPO_Data_Collection!E179</x:f>
        <x:v>0</x:v>
      </x:c>
      <x:c r="D179" t="n">
        <x:f>IPO_Data_Collection!F179</x:f>
        <x:v>0</x:v>
      </x:c>
      <x:c r="E179" t="n">
        <x:f>IPO_Data_Collection!G179</x:f>
        <x:v>0</x:v>
      </x:c>
      <x:c r="F179" t="str">
        <x:f>IFERROR(B179/D179,"")</x:f>
      </x:c>
      <x:c r="G179" t="n">
        <x:f>IPO_Data_Collection!J179</x:f>
        <x:v>0</x:v>
      </x:c>
      <x:c r="H179" t="n">
        <x:f>IPO_Data_Collection!K179</x:f>
        <x:v>0</x:v>
      </x:c>
      <x:c r="I179" t="n">
        <x:f>IPO_Data_Collection!Q179</x:f>
        <x:v>0</x:v>
      </x:c>
      <x:c r="J179" t="n">
        <x:f>IPO_Data_Collection!S179</x:f>
        <x:v>0</x:v>
      </x:c>
      <x:c r="K179" t="n">
        <x:f>IPO_Data_Collection!T179</x:f>
        <x:v>0</x:v>
      </x:c>
      <x:c r="L179" t="n">
        <x:f>IPO_Data_Collection!U179</x:f>
        <x:v>0</x:v>
      </x:c>
      <x:c r="M179" t="str">
        <x:f>IF(COUNTA(B179:I179)&gt;=7,"Ready","Missing")</x:f>
        <x:v>Ready</x:v>
      </x:c>
    </x:row>
    <x:row r="180">
      <x:c r="A180" t="str">
        <x:f>IPO_Data_Collection!B180</x:f>
        <x:v>Midwest Ltd</x:v>
      </x:c>
      <x:c r="B180" t="n">
        <x:f>IPO_Data_Collection!D180</x:f>
        <x:v>0</x:v>
      </x:c>
      <x:c r="C180" t="n">
        <x:f>IPO_Data_Collection!E180</x:f>
        <x:v>0</x:v>
      </x:c>
      <x:c r="D180" t="n">
        <x:f>IPO_Data_Collection!F180</x:f>
        <x:v>0</x:v>
      </x:c>
      <x:c r="E180" t="n">
        <x:f>IPO_Data_Collection!G180</x:f>
        <x:v>0</x:v>
      </x:c>
      <x:c r="F180" t="str">
        <x:f>IFERROR(B180/D180,"")</x:f>
      </x:c>
      <x:c r="G180" t="n">
        <x:f>IPO_Data_Collection!J180</x:f>
        <x:v>0</x:v>
      </x:c>
      <x:c r="H180" t="n">
        <x:f>IPO_Data_Collection!K180</x:f>
        <x:v>0</x:v>
      </x:c>
      <x:c r="I180" t="n">
        <x:f>IPO_Data_Collection!Q180</x:f>
        <x:v>0</x:v>
      </x:c>
      <x:c r="J180" t="n">
        <x:f>IPO_Data_Collection!S180</x:f>
        <x:v>0</x:v>
      </x:c>
      <x:c r="K180" t="n">
        <x:f>IPO_Data_Collection!T180</x:f>
        <x:v>0</x:v>
      </x:c>
      <x:c r="L180" t="n">
        <x:f>IPO_Data_Collection!U180</x:f>
        <x:v>0</x:v>
      </x:c>
      <x:c r="M180" t="str">
        <x:f>IF(COUNTA(B180:I180)&gt;=7,"Ready","Missing")</x:f>
        <x:v>Ready</x:v>
      </x:c>
    </x:row>
    <x:row r="181">
      <x:c r="A181" t="str">
        <x:f>IPO_Data_Collection!B181</x:f>
        <x:v>Mobikwik</x:v>
      </x:c>
      <x:c r="B181" t="n">
        <x:f>IPO_Data_Collection!D181</x:f>
        <x:v>0</x:v>
      </x:c>
      <x:c r="C181" t="n">
        <x:f>IPO_Data_Collection!E181</x:f>
        <x:v>0</x:v>
      </x:c>
      <x:c r="D181" t="n">
        <x:f>IPO_Data_Collection!F181</x:f>
        <x:v>0</x:v>
      </x:c>
      <x:c r="E181" t="n">
        <x:f>IPO_Data_Collection!G181</x:f>
        <x:v>0</x:v>
      </x:c>
      <x:c r="F181" t="str">
        <x:f>IFERROR(B181/D181,"")</x:f>
      </x:c>
      <x:c r="G181" t="n">
        <x:f>IPO_Data_Collection!J181</x:f>
        <x:v>0</x:v>
      </x:c>
      <x:c r="H181" t="n">
        <x:f>IPO_Data_Collection!K181</x:f>
        <x:v>0</x:v>
      </x:c>
      <x:c r="I181" t="n">
        <x:f>IPO_Data_Collection!Q181</x:f>
        <x:v>0</x:v>
      </x:c>
      <x:c r="J181" t="n">
        <x:f>IPO_Data_Collection!S181</x:f>
        <x:v>0</x:v>
      </x:c>
      <x:c r="K181" t="n">
        <x:f>IPO_Data_Collection!T181</x:f>
        <x:v>0</x:v>
      </x:c>
      <x:c r="L181" t="n">
        <x:f>IPO_Data_Collection!U181</x:f>
        <x:v>0</x:v>
      </x:c>
      <x:c r="M181" t="str">
        <x:f>IF(COUNTA(B181:I181)&gt;=7,"Ready","Missing")</x:f>
        <x:v>Ready</x:v>
      </x:c>
    </x:row>
    <x:row r="182">
      <x:c r="A182" t="str">
        <x:f>IPO_Data_Collection!B182</x:f>
        <x:v>Motisons Jewellers</x:v>
      </x:c>
      <x:c r="B182" t="n">
        <x:f>IPO_Data_Collection!D182</x:f>
        <x:v>0</x:v>
      </x:c>
      <x:c r="C182" t="n">
        <x:f>IPO_Data_Collection!E182</x:f>
        <x:v>0</x:v>
      </x:c>
      <x:c r="D182" t="n">
        <x:f>IPO_Data_Collection!F182</x:f>
        <x:v>0</x:v>
      </x:c>
      <x:c r="E182" t="n">
        <x:f>IPO_Data_Collection!G182</x:f>
        <x:v>0</x:v>
      </x:c>
      <x:c r="F182" t="str">
        <x:f>IFERROR(B182/D182,"")</x:f>
      </x:c>
      <x:c r="G182" t="n">
        <x:f>IPO_Data_Collection!J182</x:f>
        <x:v>0</x:v>
      </x:c>
      <x:c r="H182" t="n">
        <x:f>IPO_Data_Collection!K182</x:f>
        <x:v>0</x:v>
      </x:c>
      <x:c r="I182" t="n">
        <x:f>IPO_Data_Collection!Q182</x:f>
        <x:v>0</x:v>
      </x:c>
      <x:c r="J182" t="n">
        <x:f>IPO_Data_Collection!S182</x:f>
        <x:v>0</x:v>
      </x:c>
      <x:c r="K182" t="n">
        <x:f>IPO_Data_Collection!T182</x:f>
        <x:v>0</x:v>
      </x:c>
      <x:c r="L182" t="n">
        <x:f>IPO_Data_Collection!U182</x:f>
        <x:v>0</x:v>
      </x:c>
      <x:c r="M182" t="str">
        <x:f>IF(COUNTA(B182:I182)&gt;=7,"Ready","Missing")</x:f>
        <x:v>Ready</x:v>
      </x:c>
    </x:row>
    <x:row r="183">
      <x:c r="A183" t="str">
        <x:f>IPO_Data_Collection!B183</x:f>
        <x:v>Mrs Bectors Food Specialities</x:v>
      </x:c>
      <x:c r="B183" t="n">
        <x:f>IPO_Data_Collection!D183</x:f>
        <x:v>0</x:v>
      </x:c>
      <x:c r="C183" t="n">
        <x:f>IPO_Data_Collection!E183</x:f>
        <x:v>0</x:v>
      </x:c>
      <x:c r="D183" t="n">
        <x:f>IPO_Data_Collection!F183</x:f>
        <x:v>0</x:v>
      </x:c>
      <x:c r="E183" t="n">
        <x:f>IPO_Data_Collection!G183</x:f>
        <x:v>0</x:v>
      </x:c>
      <x:c r="F183" t="str">
        <x:f>IFERROR(B183/D183,"")</x:f>
      </x:c>
      <x:c r="G183" t="n">
        <x:f>IPO_Data_Collection!J183</x:f>
        <x:v>0</x:v>
      </x:c>
      <x:c r="H183" t="n">
        <x:f>IPO_Data_Collection!K183</x:f>
        <x:v>0</x:v>
      </x:c>
      <x:c r="I183" t="n">
        <x:f>IPO_Data_Collection!Q183</x:f>
        <x:v>0</x:v>
      </x:c>
      <x:c r="J183" t="n">
        <x:f>IPO_Data_Collection!S183</x:f>
        <x:v>0</x:v>
      </x:c>
      <x:c r="K183" t="n">
        <x:f>IPO_Data_Collection!T183</x:f>
        <x:v>0</x:v>
      </x:c>
      <x:c r="L183" t="n">
        <x:f>IPO_Data_Collection!U183</x:f>
        <x:v>0</x:v>
      </x:c>
      <x:c r="M183" t="str">
        <x:f>IF(COUNTA(B183:I183)&gt;=7,"Ready","Missing")</x:f>
        <x:v>Ready</x:v>
      </x:c>
    </x:row>
    <x:row r="184">
      <x:c r="A184" t="str">
        <x:f>IPO_Data_Collection!B184</x:f>
        <x:v>Muthoot Microfin</x:v>
      </x:c>
      <x:c r="B184" t="n">
        <x:f>IPO_Data_Collection!D184</x:f>
        <x:v>0</x:v>
      </x:c>
      <x:c r="C184" t="n">
        <x:f>IPO_Data_Collection!E184</x:f>
        <x:v>0</x:v>
      </x:c>
      <x:c r="D184" t="n">
        <x:f>IPO_Data_Collection!F184</x:f>
        <x:v>0</x:v>
      </x:c>
      <x:c r="E184" t="n">
        <x:f>IPO_Data_Collection!G184</x:f>
        <x:v>0</x:v>
      </x:c>
      <x:c r="F184" t="str">
        <x:f>IFERROR(B184/D184,"")</x:f>
      </x:c>
      <x:c r="G184" t="n">
        <x:f>IPO_Data_Collection!J184</x:f>
        <x:v>0</x:v>
      </x:c>
      <x:c r="H184" t="n">
        <x:f>IPO_Data_Collection!K184</x:f>
        <x:v>0</x:v>
      </x:c>
      <x:c r="I184" t="n">
        <x:f>IPO_Data_Collection!Q184</x:f>
        <x:v>0</x:v>
      </x:c>
      <x:c r="J184" t="n">
        <x:f>IPO_Data_Collection!S184</x:f>
        <x:v>0</x:v>
      </x:c>
      <x:c r="K184" t="n">
        <x:f>IPO_Data_Collection!T184</x:f>
        <x:v>0</x:v>
      </x:c>
      <x:c r="L184" t="n">
        <x:f>IPO_Data_Collection!U184</x:f>
        <x:v>0</x:v>
      </x:c>
      <x:c r="M184" t="str">
        <x:f>IF(COUNTA(B184:I184)&gt;=7,"Ready","Missing")</x:f>
        <x:v>Ready</x:v>
      </x:c>
    </x:row>
    <x:row r="185">
      <x:c r="A185" t="str">
        <x:f>IPO_Data_Collection!B185</x:f>
        <x:v>NTPC Green</x:v>
      </x:c>
      <x:c r="B185" t="n">
        <x:f>IPO_Data_Collection!D185</x:f>
        <x:v>0</x:v>
      </x:c>
      <x:c r="C185" t="n">
        <x:f>IPO_Data_Collection!E185</x:f>
        <x:v>0</x:v>
      </x:c>
      <x:c r="D185" t="n">
        <x:f>IPO_Data_Collection!F185</x:f>
        <x:v>0</x:v>
      </x:c>
      <x:c r="E185" t="n">
        <x:f>IPO_Data_Collection!G185</x:f>
        <x:v>0</x:v>
      </x:c>
      <x:c r="F185" t="str">
        <x:f>IFERROR(B185/D185,"")</x:f>
      </x:c>
      <x:c r="G185" t="n">
        <x:f>IPO_Data_Collection!J185</x:f>
        <x:v>0</x:v>
      </x:c>
      <x:c r="H185" t="n">
        <x:f>IPO_Data_Collection!K185</x:f>
        <x:v>0</x:v>
      </x:c>
      <x:c r="I185" t="n">
        <x:f>IPO_Data_Collection!Q185</x:f>
        <x:v>0</x:v>
      </x:c>
      <x:c r="J185" t="n">
        <x:f>IPO_Data_Collection!S185</x:f>
        <x:v>0</x:v>
      </x:c>
      <x:c r="K185" t="n">
        <x:f>IPO_Data_Collection!T185</x:f>
        <x:v>0</x:v>
      </x:c>
      <x:c r="L185" t="n">
        <x:f>IPO_Data_Collection!U185</x:f>
        <x:v>0</x:v>
      </x:c>
      <x:c r="M185" t="str">
        <x:f>IF(COUNTA(B185:I185)&gt;=7,"Ready","Missing")</x:f>
        <x:v>Ready</x:v>
      </x:c>
    </x:row>
    <x:row r="186">
      <x:c r="A186" t="str">
        <x:f>IPO_Data_Collection!B186</x:f>
        <x:v>National Securities Depository Ltd</x:v>
      </x:c>
      <x:c r="B186" t="n">
        <x:f>IPO_Data_Collection!D186</x:f>
        <x:v>0</x:v>
      </x:c>
      <x:c r="C186" t="n">
        <x:f>IPO_Data_Collection!E186</x:f>
        <x:v>0</x:v>
      </x:c>
      <x:c r="D186" t="n">
        <x:f>IPO_Data_Collection!F186</x:f>
        <x:v>0</x:v>
      </x:c>
      <x:c r="E186" t="n">
        <x:f>IPO_Data_Collection!G186</x:f>
        <x:v>0</x:v>
      </x:c>
      <x:c r="F186" t="str">
        <x:f>IFERROR(B186/D186,"")</x:f>
      </x:c>
      <x:c r="G186" t="n">
        <x:f>IPO_Data_Collection!J186</x:f>
        <x:v>0</x:v>
      </x:c>
      <x:c r="H186" t="n">
        <x:f>IPO_Data_Collection!K186</x:f>
        <x:v>0</x:v>
      </x:c>
      <x:c r="I186" t="n">
        <x:f>IPO_Data_Collection!Q186</x:f>
        <x:v>0</x:v>
      </x:c>
      <x:c r="J186" t="n">
        <x:f>IPO_Data_Collection!S186</x:f>
        <x:v>0</x:v>
      </x:c>
      <x:c r="K186" t="n">
        <x:f>IPO_Data_Collection!T186</x:f>
        <x:v>0</x:v>
      </x:c>
      <x:c r="L186" t="n">
        <x:f>IPO_Data_Collection!U186</x:f>
        <x:v>0</x:v>
      </x:c>
      <x:c r="M186" t="str">
        <x:f>IF(COUNTA(B186:I186)&gt;=7,"Ready","Missing")</x:f>
        <x:v>Ready</x:v>
      </x:c>
    </x:row>
    <x:row r="187">
      <x:c r="A187" t="str">
        <x:f>IPO_Data_Collection!B187</x:f>
        <x:v>Nazara Technologies</x:v>
      </x:c>
      <x:c r="B187" t="n">
        <x:f>IPO_Data_Collection!D187</x:f>
        <x:v>0</x:v>
      </x:c>
      <x:c r="C187" t="n">
        <x:f>IPO_Data_Collection!E187</x:f>
        <x:v>0</x:v>
      </x:c>
      <x:c r="D187" t="n">
        <x:f>IPO_Data_Collection!F187</x:f>
        <x:v>0</x:v>
      </x:c>
      <x:c r="E187" t="n">
        <x:f>IPO_Data_Collection!G187</x:f>
        <x:v>0</x:v>
      </x:c>
      <x:c r="F187" t="str">
        <x:f>IFERROR(B187/D187,"")</x:f>
      </x:c>
      <x:c r="G187" t="n">
        <x:f>IPO_Data_Collection!J187</x:f>
        <x:v>0</x:v>
      </x:c>
      <x:c r="H187" t="n">
        <x:f>IPO_Data_Collection!K187</x:f>
        <x:v>0</x:v>
      </x:c>
      <x:c r="I187" t="n">
        <x:f>IPO_Data_Collection!Q187</x:f>
        <x:v>0</x:v>
      </x:c>
      <x:c r="J187" t="n">
        <x:f>IPO_Data_Collection!S187</x:f>
        <x:v>0</x:v>
      </x:c>
      <x:c r="K187" t="n">
        <x:f>IPO_Data_Collection!T187</x:f>
        <x:v>0</x:v>
      </x:c>
      <x:c r="L187" t="n">
        <x:f>IPO_Data_Collection!U187</x:f>
        <x:v>0</x:v>
      </x:c>
      <x:c r="M187" t="str">
        <x:f>IF(COUNTA(B187:I187)&gt;=7,"Ready","Missing")</x:f>
        <x:v>Ready</x:v>
      </x:c>
    </x:row>
    <x:row r="188">
      <x:c r="A188" t="str">
        <x:f>IPO_Data_Collection!B188</x:f>
        <x:v>Nephrocare Health Services Ltd</x:v>
      </x:c>
      <x:c r="B188" t="n">
        <x:f>IPO_Data_Collection!D188</x:f>
        <x:v>0</x:v>
      </x:c>
      <x:c r="C188" t="n">
        <x:f>IPO_Data_Collection!E188</x:f>
        <x:v>0</x:v>
      </x:c>
      <x:c r="D188" t="n">
        <x:f>IPO_Data_Collection!F188</x:f>
        <x:v>0</x:v>
      </x:c>
      <x:c r="E188" t="n">
        <x:f>IPO_Data_Collection!G188</x:f>
        <x:v>0</x:v>
      </x:c>
      <x:c r="F188" t="str">
        <x:f>IFERROR(B188/D188,"")</x:f>
      </x:c>
      <x:c r="G188" t="n">
        <x:f>IPO_Data_Collection!J188</x:f>
        <x:v>0</x:v>
      </x:c>
      <x:c r="H188" t="n">
        <x:f>IPO_Data_Collection!K188</x:f>
        <x:v>0</x:v>
      </x:c>
      <x:c r="I188" t="n">
        <x:f>IPO_Data_Collection!Q188</x:f>
        <x:v>0</x:v>
      </x:c>
      <x:c r="J188" t="n">
        <x:f>IPO_Data_Collection!S188</x:f>
        <x:v>0</x:v>
      </x:c>
      <x:c r="K188" t="n">
        <x:f>IPO_Data_Collection!T188</x:f>
        <x:v>0</x:v>
      </x:c>
      <x:c r="L188" t="n">
        <x:f>IPO_Data_Collection!U188</x:f>
        <x:v>0</x:v>
      </x:c>
      <x:c r="M188" t="str">
        <x:f>IF(COUNTA(B188:I188)&gt;=7,"Ready","Missing")</x:f>
        <x:v>Ready</x:v>
      </x:c>
    </x:row>
    <x:row r="189">
      <x:c r="A189" t="str">
        <x:f>IPO_Data_Collection!B189</x:f>
        <x:v>Netweb Technologies India</x:v>
      </x:c>
      <x:c r="B189" t="n">
        <x:f>IPO_Data_Collection!D189</x:f>
        <x:v>0</x:v>
      </x:c>
      <x:c r="C189" t="n">
        <x:f>IPO_Data_Collection!E189</x:f>
        <x:v>0</x:v>
      </x:c>
      <x:c r="D189" t="n">
        <x:f>IPO_Data_Collection!F189</x:f>
        <x:v>0</x:v>
      </x:c>
      <x:c r="E189" t="n">
        <x:f>IPO_Data_Collection!G189</x:f>
        <x:v>0</x:v>
      </x:c>
      <x:c r="F189" t="str">
        <x:f>IFERROR(B189/D189,"")</x:f>
      </x:c>
      <x:c r="G189" t="n">
        <x:f>IPO_Data_Collection!J189</x:f>
        <x:v>0</x:v>
      </x:c>
      <x:c r="H189" t="n">
        <x:f>IPO_Data_Collection!K189</x:f>
        <x:v>0</x:v>
      </x:c>
      <x:c r="I189" t="n">
        <x:f>IPO_Data_Collection!Q189</x:f>
        <x:v>0</x:v>
      </x:c>
      <x:c r="J189" t="n">
        <x:f>IPO_Data_Collection!S189</x:f>
        <x:v>0</x:v>
      </x:c>
      <x:c r="K189" t="n">
        <x:f>IPO_Data_Collection!T189</x:f>
        <x:v>0</x:v>
      </x:c>
      <x:c r="L189" t="n">
        <x:f>IPO_Data_Collection!U189</x:f>
        <x:v>0</x:v>
      </x:c>
      <x:c r="M189" t="str">
        <x:f>IF(COUNTA(B189:I189)&gt;=7,"Ready","Missing")</x:f>
        <x:v>Ready</x:v>
      </x:c>
    </x:row>
    <x:row r="190">
      <x:c r="A190" t="str">
        <x:f>IPO_Data_Collection!B190</x:f>
        <x:v>Nova Agritech</x:v>
      </x:c>
      <x:c r="B190" t="n">
        <x:f>IPO_Data_Collection!D190</x:f>
        <x:v>0</x:v>
      </x:c>
      <x:c r="C190" t="n">
        <x:f>IPO_Data_Collection!E190</x:f>
        <x:v>0</x:v>
      </x:c>
      <x:c r="D190" t="n">
        <x:f>IPO_Data_Collection!F190</x:f>
        <x:v>0</x:v>
      </x:c>
      <x:c r="E190" t="n">
        <x:f>IPO_Data_Collection!G190</x:f>
        <x:v>0</x:v>
      </x:c>
      <x:c r="F190" t="str">
        <x:f>IFERROR(B190/D190,"")</x:f>
      </x:c>
      <x:c r="G190" t="n">
        <x:f>IPO_Data_Collection!J190</x:f>
        <x:v>0</x:v>
      </x:c>
      <x:c r="H190" t="n">
        <x:f>IPO_Data_Collection!K190</x:f>
        <x:v>0</x:v>
      </x:c>
      <x:c r="I190" t="n">
        <x:f>IPO_Data_Collection!Q190</x:f>
        <x:v>0</x:v>
      </x:c>
      <x:c r="J190" t="n">
        <x:f>IPO_Data_Collection!S190</x:f>
        <x:v>0</x:v>
      </x:c>
      <x:c r="K190" t="n">
        <x:f>IPO_Data_Collection!T190</x:f>
        <x:v>0</x:v>
      </x:c>
      <x:c r="L190" t="n">
        <x:f>IPO_Data_Collection!U190</x:f>
        <x:v>0</x:v>
      </x:c>
      <x:c r="M190" t="str">
        <x:f>IF(COUNTA(B190:I190)&gt;=7,"Ready","Missing")</x:f>
        <x:v>Ready</x:v>
      </x:c>
    </x:row>
    <x:row r="191">
      <x:c r="A191" t="str">
        <x:f>IPO_Data_Collection!B191</x:f>
        <x:v>Nuvoco Vistas</x:v>
      </x:c>
      <x:c r="B191" t="n">
        <x:f>IPO_Data_Collection!D191</x:f>
        <x:v>0</x:v>
      </x:c>
      <x:c r="C191" t="n">
        <x:f>IPO_Data_Collection!E191</x:f>
        <x:v>0</x:v>
      </x:c>
      <x:c r="D191" t="n">
        <x:f>IPO_Data_Collection!F191</x:f>
        <x:v>0</x:v>
      </x:c>
      <x:c r="E191" t="n">
        <x:f>IPO_Data_Collection!G191</x:f>
        <x:v>0</x:v>
      </x:c>
      <x:c r="F191" t="str">
        <x:f>IFERROR(B191/D191,"")</x:f>
      </x:c>
      <x:c r="G191" t="n">
        <x:f>IPO_Data_Collection!J191</x:f>
        <x:v>0</x:v>
      </x:c>
      <x:c r="H191" t="n">
        <x:f>IPO_Data_Collection!K191</x:f>
        <x:v>0</x:v>
      </x:c>
      <x:c r="I191" t="n">
        <x:f>IPO_Data_Collection!Q191</x:f>
        <x:v>0</x:v>
      </x:c>
      <x:c r="J191" t="n">
        <x:f>IPO_Data_Collection!S191</x:f>
        <x:v>0</x:v>
      </x:c>
      <x:c r="K191" t="n">
        <x:f>IPO_Data_Collection!T191</x:f>
        <x:v>0</x:v>
      </x:c>
      <x:c r="L191" t="n">
        <x:f>IPO_Data_Collection!U191</x:f>
        <x:v>0</x:v>
      </x:c>
      <x:c r="M191" t="str">
        <x:f>IF(COUNTA(B191:I191)&gt;=7,"Ready","Missing")</x:f>
        <x:v>Ready</x:v>
      </x:c>
    </x:row>
    <x:row r="192">
      <x:c r="A192" t="str">
        <x:f>IPO_Data_Collection!B192</x:f>
        <x:v>Nykaa</x:v>
      </x:c>
      <x:c r="B192" t="n">
        <x:f>IPO_Data_Collection!D192</x:f>
        <x:v>0</x:v>
      </x:c>
      <x:c r="C192" t="n">
        <x:f>IPO_Data_Collection!E192</x:f>
        <x:v>0</x:v>
      </x:c>
      <x:c r="D192" t="n">
        <x:f>IPO_Data_Collection!F192</x:f>
        <x:v>0</x:v>
      </x:c>
      <x:c r="E192" t="n">
        <x:f>IPO_Data_Collection!G192</x:f>
        <x:v>0</x:v>
      </x:c>
      <x:c r="F192" t="str">
        <x:f>IFERROR(B192/D192,"")</x:f>
      </x:c>
      <x:c r="G192" t="n">
        <x:f>IPO_Data_Collection!J192</x:f>
        <x:v>0</x:v>
      </x:c>
      <x:c r="H192" t="n">
        <x:f>IPO_Data_Collection!K192</x:f>
        <x:v>0</x:v>
      </x:c>
      <x:c r="I192" t="n">
        <x:f>IPO_Data_Collection!Q192</x:f>
        <x:v>0</x:v>
      </x:c>
      <x:c r="J192" t="n">
        <x:f>IPO_Data_Collection!S192</x:f>
        <x:v>0</x:v>
      </x:c>
      <x:c r="K192" t="n">
        <x:f>IPO_Data_Collection!T192</x:f>
        <x:v>0</x:v>
      </x:c>
      <x:c r="L192" t="n">
        <x:f>IPO_Data_Collection!U192</x:f>
        <x:v>0</x:v>
      </x:c>
      <x:c r="M192" t="str">
        <x:f>IF(COUNTA(B192:I192)&gt;=7,"Ready","Missing")</x:f>
        <x:v>Ready</x:v>
      </x:c>
    </x:row>
    <x:row r="193">
      <x:c r="A193" t="str">
        <x:f>IPO_Data_Collection!B193</x:f>
        <x:v>Om Freight Forwarders Ltd</x:v>
      </x:c>
      <x:c r="B193" t="n">
        <x:f>IPO_Data_Collection!D193</x:f>
        <x:v>0</x:v>
      </x:c>
      <x:c r="C193" t="n">
        <x:f>IPO_Data_Collection!E193</x:f>
        <x:v>0</x:v>
      </x:c>
      <x:c r="D193" t="n">
        <x:f>IPO_Data_Collection!F193</x:f>
        <x:v>0</x:v>
      </x:c>
      <x:c r="E193" t="n">
        <x:f>IPO_Data_Collection!G193</x:f>
        <x:v>0</x:v>
      </x:c>
      <x:c r="F193" t="str">
        <x:f>IFERROR(B193/D193,"")</x:f>
      </x:c>
      <x:c r="G193" t="n">
        <x:f>IPO_Data_Collection!J193</x:f>
        <x:v>0</x:v>
      </x:c>
      <x:c r="H193" t="n">
        <x:f>IPO_Data_Collection!K193</x:f>
        <x:v>0</x:v>
      </x:c>
      <x:c r="I193" t="n">
        <x:f>IPO_Data_Collection!Q193</x:f>
        <x:v>0</x:v>
      </x:c>
      <x:c r="J193" t="n">
        <x:f>IPO_Data_Collection!S193</x:f>
        <x:v>0</x:v>
      </x:c>
      <x:c r="K193" t="n">
        <x:f>IPO_Data_Collection!T193</x:f>
        <x:v>0</x:v>
      </x:c>
      <x:c r="L193" t="n">
        <x:f>IPO_Data_Collection!U193</x:f>
        <x:v>0</x:v>
      </x:c>
      <x:c r="M193" t="str">
        <x:f>IF(COUNTA(B193:I193)&gt;=7,"Ready","Missing")</x:f>
        <x:v>Ready</x:v>
      </x:c>
    </x:row>
    <x:row r="194">
      <x:c r="A194" t="str">
        <x:f>IPO_Data_Collection!B194</x:f>
        <x:v>Om Power Transmission Ltd</x:v>
      </x:c>
      <x:c r="B194" t="n">
        <x:f>IPO_Data_Collection!D194</x:f>
        <x:v>0</x:v>
      </x:c>
      <x:c r="C194" t="n">
        <x:f>IPO_Data_Collection!E194</x:f>
        <x:v>0</x:v>
      </x:c>
      <x:c r="D194" t="n">
        <x:f>IPO_Data_Collection!F194</x:f>
        <x:v>0</x:v>
      </x:c>
      <x:c r="E194" t="n">
        <x:f>IPO_Data_Collection!G194</x:f>
        <x:v>0</x:v>
      </x:c>
      <x:c r="F194" t="str">
        <x:f>IFERROR(B194/D194,"")</x:f>
      </x:c>
      <x:c r="G194" t="n">
        <x:f>IPO_Data_Collection!J194</x:f>
        <x:v>0</x:v>
      </x:c>
      <x:c r="H194" t="n">
        <x:f>IPO_Data_Collection!K194</x:f>
        <x:v>0</x:v>
      </x:c>
      <x:c r="I194" t="n">
        <x:f>IPO_Data_Collection!Q194</x:f>
        <x:v>0</x:v>
      </x:c>
      <x:c r="J194" t="n">
        <x:f>IPO_Data_Collection!S194</x:f>
        <x:v>0</x:v>
      </x:c>
      <x:c r="K194" t="n">
        <x:f>IPO_Data_Collection!T194</x:f>
        <x:v>0</x:v>
      </x:c>
      <x:c r="L194" t="n">
        <x:f>IPO_Data_Collection!U194</x:f>
        <x:v>0</x:v>
      </x:c>
      <x:c r="M194" t="str">
        <x:f>IF(COUNTA(B194:I194)&gt;=7,"Ready","Missing")</x:f>
        <x:v>Ready</x:v>
      </x:c>
    </x:row>
    <x:row r="195">
      <x:c r="A195" t="str">
        <x:f>IPO_Data_Collection!B195</x:f>
        <x:v>Omnitech Engineering Ltd</x:v>
      </x:c>
      <x:c r="B195" t="n">
        <x:f>IPO_Data_Collection!D195</x:f>
        <x:v>0</x:v>
      </x:c>
      <x:c r="C195" t="n">
        <x:f>IPO_Data_Collection!E195</x:f>
        <x:v>0</x:v>
      </x:c>
      <x:c r="D195" t="n">
        <x:f>IPO_Data_Collection!F195</x:f>
        <x:v>0</x:v>
      </x:c>
      <x:c r="E195" t="n">
        <x:f>IPO_Data_Collection!G195</x:f>
        <x:v>0</x:v>
      </x:c>
      <x:c r="F195" t="str">
        <x:f>IFERROR(B195/D195,"")</x:f>
      </x:c>
      <x:c r="G195" t="n">
        <x:f>IPO_Data_Collection!J195</x:f>
        <x:v>0</x:v>
      </x:c>
      <x:c r="H195" t="n">
        <x:f>IPO_Data_Collection!K195</x:f>
        <x:v>0</x:v>
      </x:c>
      <x:c r="I195" t="n">
        <x:f>IPO_Data_Collection!Q195</x:f>
        <x:v>0</x:v>
      </x:c>
      <x:c r="J195" t="n">
        <x:f>IPO_Data_Collection!S195</x:f>
        <x:v>0</x:v>
      </x:c>
      <x:c r="K195" t="n">
        <x:f>IPO_Data_Collection!T195</x:f>
        <x:v>0</x:v>
      </x:c>
      <x:c r="L195" t="n">
        <x:f>IPO_Data_Collection!U195</x:f>
        <x:v>0</x:v>
      </x:c>
      <x:c r="M195" t="str">
        <x:f>IF(COUNTA(B195:I195)&gt;=7,"Ready","Missing")</x:f>
        <x:v>Ready</x:v>
      </x:c>
    </x:row>
    <x:row r="196">
      <x:c r="A196" t="str">
        <x:f>IPO_Data_Collection!B196</x:f>
        <x:v>OnEMI Technology Solutions Ltd</x:v>
      </x:c>
      <x:c r="B196" t="n">
        <x:f>IPO_Data_Collection!D196</x:f>
        <x:v>0</x:v>
      </x:c>
      <x:c r="C196" t="n">
        <x:f>IPO_Data_Collection!E196</x:f>
        <x:v>0</x:v>
      </x:c>
      <x:c r="D196" t="n">
        <x:f>IPO_Data_Collection!F196</x:f>
        <x:v>0</x:v>
      </x:c>
      <x:c r="E196" t="n">
        <x:f>IPO_Data_Collection!G196</x:f>
        <x:v>0</x:v>
      </x:c>
      <x:c r="F196" t="str">
        <x:f>IFERROR(B196/D196,"")</x:f>
      </x:c>
      <x:c r="G196" t="n">
        <x:f>IPO_Data_Collection!J196</x:f>
        <x:v>0</x:v>
      </x:c>
      <x:c r="H196" t="n">
        <x:f>IPO_Data_Collection!K196</x:f>
        <x:v>0</x:v>
      </x:c>
      <x:c r="I196" t="n">
        <x:f>IPO_Data_Collection!Q196</x:f>
        <x:v>0</x:v>
      </x:c>
      <x:c r="J196" t="n">
        <x:f>IPO_Data_Collection!S196</x:f>
        <x:v>0</x:v>
      </x:c>
      <x:c r="K196" t="n">
        <x:f>IPO_Data_Collection!T196</x:f>
        <x:v>0</x:v>
      </x:c>
      <x:c r="L196" t="n">
        <x:f>IPO_Data_Collection!U196</x:f>
        <x:v>0</x:v>
      </x:c>
      <x:c r="M196" t="str">
        <x:f>IF(COUNTA(B196:I196)&gt;=7,"Ready","Missing")</x:f>
        <x:v>Ready</x:v>
      </x:c>
    </x:row>
    <x:row r="197">
      <x:c r="A197" t="str">
        <x:f>IPO_Data_Collection!B197</x:f>
        <x:v>Orkla India Ltd</x:v>
      </x:c>
      <x:c r="B197" t="n">
        <x:f>IPO_Data_Collection!D197</x:f>
        <x:v>0</x:v>
      </x:c>
      <x:c r="C197" t="n">
        <x:f>IPO_Data_Collection!E197</x:f>
        <x:v>0</x:v>
      </x:c>
      <x:c r="D197" t="n">
        <x:f>IPO_Data_Collection!F197</x:f>
        <x:v>0</x:v>
      </x:c>
      <x:c r="E197" t="n">
        <x:f>IPO_Data_Collection!G197</x:f>
        <x:v>0</x:v>
      </x:c>
      <x:c r="F197" t="str">
        <x:f>IFERROR(B197/D197,"")</x:f>
      </x:c>
      <x:c r="G197" t="n">
        <x:f>IPO_Data_Collection!J197</x:f>
        <x:v>0</x:v>
      </x:c>
      <x:c r="H197" t="n">
        <x:f>IPO_Data_Collection!K197</x:f>
        <x:v>0</x:v>
      </x:c>
      <x:c r="I197" t="n">
        <x:f>IPO_Data_Collection!Q197</x:f>
        <x:v>0</x:v>
      </x:c>
      <x:c r="J197" t="n">
        <x:f>IPO_Data_Collection!S197</x:f>
        <x:v>0</x:v>
      </x:c>
      <x:c r="K197" t="n">
        <x:f>IPO_Data_Collection!T197</x:f>
        <x:v>0</x:v>
      </x:c>
      <x:c r="L197" t="n">
        <x:f>IPO_Data_Collection!U197</x:f>
        <x:v>0</x:v>
      </x:c>
      <x:c r="M197" t="str">
        <x:f>IF(COUNTA(B197:I197)&gt;=7,"Ready","Missing")</x:f>
        <x:v>Ready</x:v>
      </x:c>
    </x:row>
    <x:row r="198">
      <x:c r="A198" t="str">
        <x:f>IPO_Data_Collection!B198</x:f>
        <x:v>Oswal Pumps Limited</x:v>
      </x:c>
      <x:c r="B198" t="n">
        <x:f>IPO_Data_Collection!D198</x:f>
        <x:v>0</x:v>
      </x:c>
      <x:c r="C198" t="n">
        <x:f>IPO_Data_Collection!E198</x:f>
        <x:v>0</x:v>
      </x:c>
      <x:c r="D198" t="n">
        <x:f>IPO_Data_Collection!F198</x:f>
        <x:v>0</x:v>
      </x:c>
      <x:c r="E198" t="n">
        <x:f>IPO_Data_Collection!G198</x:f>
        <x:v>0</x:v>
      </x:c>
      <x:c r="F198" t="str">
        <x:f>IFERROR(B198/D198,"")</x:f>
      </x:c>
      <x:c r="G198" t="n">
        <x:f>IPO_Data_Collection!J198</x:f>
        <x:v>0</x:v>
      </x:c>
      <x:c r="H198" t="n">
        <x:f>IPO_Data_Collection!K198</x:f>
        <x:v>0</x:v>
      </x:c>
      <x:c r="I198" t="n">
        <x:f>IPO_Data_Collection!Q198</x:f>
        <x:v>0</x:v>
      </x:c>
      <x:c r="J198" t="n">
        <x:f>IPO_Data_Collection!S198</x:f>
        <x:v>0</x:v>
      </x:c>
      <x:c r="K198" t="n">
        <x:f>IPO_Data_Collection!T198</x:f>
        <x:v>0</x:v>
      </x:c>
      <x:c r="L198" t="n">
        <x:f>IPO_Data_Collection!U198</x:f>
        <x:v>0</x:v>
      </x:c>
      <x:c r="M198" t="str">
        <x:f>IF(COUNTA(B198:I198)&gt;=7,"Ready","Missing")</x:f>
        <x:v>Ready</x:v>
      </x:c>
    </x:row>
    <x:row r="199">
      <x:c r="A199" t="str">
        <x:f>IPO_Data_Collection!B199</x:f>
        <x:v>PNGS Reva Diamond Jewellery Ltd</x:v>
      </x:c>
      <x:c r="B199" t="n">
        <x:f>IPO_Data_Collection!D199</x:f>
        <x:v>0</x:v>
      </x:c>
      <x:c r="C199" t="n">
        <x:f>IPO_Data_Collection!E199</x:f>
        <x:v>0</x:v>
      </x:c>
      <x:c r="D199" t="n">
        <x:f>IPO_Data_Collection!F199</x:f>
        <x:v>0</x:v>
      </x:c>
      <x:c r="E199" t="n">
        <x:f>IPO_Data_Collection!G199</x:f>
        <x:v>0</x:v>
      </x:c>
      <x:c r="F199" t="str">
        <x:f>IFERROR(B199/D199,"")</x:f>
      </x:c>
      <x:c r="G199" t="n">
        <x:f>IPO_Data_Collection!J199</x:f>
        <x:v>0</x:v>
      </x:c>
      <x:c r="H199" t="n">
        <x:f>IPO_Data_Collection!K199</x:f>
        <x:v>0</x:v>
      </x:c>
      <x:c r="I199" t="n">
        <x:f>IPO_Data_Collection!Q199</x:f>
        <x:v>0</x:v>
      </x:c>
      <x:c r="J199" t="n">
        <x:f>IPO_Data_Collection!S199</x:f>
        <x:v>0</x:v>
      </x:c>
      <x:c r="K199" t="n">
        <x:f>IPO_Data_Collection!T199</x:f>
        <x:v>0</x:v>
      </x:c>
      <x:c r="L199" t="n">
        <x:f>IPO_Data_Collection!U199</x:f>
        <x:v>0</x:v>
      </x:c>
      <x:c r="M199" t="str">
        <x:f>IF(COUNTA(B199:I199)&gt;=7,"Ready","Missing")</x:f>
        <x:v>Ready</x:v>
      </x:c>
    </x:row>
    <x:row r="200">
      <x:c r="A200" t="str">
        <x:f>IPO_Data_Collection!B200</x:f>
        <x:v>Pace Digitek Ltd</x:v>
      </x:c>
      <x:c r="B200" t="n">
        <x:f>IPO_Data_Collection!D200</x:f>
        <x:v>0</x:v>
      </x:c>
      <x:c r="C200" t="n">
        <x:f>IPO_Data_Collection!E200</x:f>
        <x:v>0</x:v>
      </x:c>
      <x:c r="D200" t="n">
        <x:f>IPO_Data_Collection!F200</x:f>
        <x:v>0</x:v>
      </x:c>
      <x:c r="E200" t="n">
        <x:f>IPO_Data_Collection!G200</x:f>
        <x:v>0</x:v>
      </x:c>
      <x:c r="F200" t="str">
        <x:f>IFERROR(B200/D200,"")</x:f>
      </x:c>
      <x:c r="G200" t="n">
        <x:f>IPO_Data_Collection!J200</x:f>
        <x:v>0</x:v>
      </x:c>
      <x:c r="H200" t="n">
        <x:f>IPO_Data_Collection!K200</x:f>
        <x:v>0</x:v>
      </x:c>
      <x:c r="I200" t="n">
        <x:f>IPO_Data_Collection!Q200</x:f>
        <x:v>0</x:v>
      </x:c>
      <x:c r="J200" t="n">
        <x:f>IPO_Data_Collection!S200</x:f>
        <x:v>0</x:v>
      </x:c>
      <x:c r="K200" t="n">
        <x:f>IPO_Data_Collection!T200</x:f>
        <x:v>0</x:v>
      </x:c>
      <x:c r="L200" t="n">
        <x:f>IPO_Data_Collection!U200</x:f>
        <x:v>0</x:v>
      </x:c>
      <x:c r="M200" t="str">
        <x:f>IF(COUNTA(B200:I200)&gt;=7,"Ready","Missing")</x:f>
        <x:v>Ready</x:v>
      </x:c>
    </x:row>
    <x:row r="201">
      <x:c r="A201" t="str">
        <x:f>IPO_Data_Collection!B201</x:f>
        <x:v>Paradeep Phosphates</x:v>
      </x:c>
      <x:c r="B201" t="n">
        <x:f>IPO_Data_Collection!D201</x:f>
        <x:v>0</x:v>
      </x:c>
      <x:c r="C201" t="n">
        <x:f>IPO_Data_Collection!E201</x:f>
        <x:v>0</x:v>
      </x:c>
      <x:c r="D201" t="n">
        <x:f>IPO_Data_Collection!F201</x:f>
        <x:v>0</x:v>
      </x:c>
      <x:c r="E201" t="n">
        <x:f>IPO_Data_Collection!G201</x:f>
        <x:v>0</x:v>
      </x:c>
      <x:c r="F201" t="str">
        <x:f>IFERROR(B201/D201,"")</x:f>
      </x:c>
      <x:c r="G201" t="n">
        <x:f>IPO_Data_Collection!J201</x:f>
        <x:v>0</x:v>
      </x:c>
      <x:c r="H201" t="n">
        <x:f>IPO_Data_Collection!K201</x:f>
        <x:v>0</x:v>
      </x:c>
      <x:c r="I201" t="n">
        <x:f>IPO_Data_Collection!Q201</x:f>
        <x:v>0</x:v>
      </x:c>
      <x:c r="J201" t="n">
        <x:f>IPO_Data_Collection!S201</x:f>
        <x:v>0</x:v>
      </x:c>
      <x:c r="K201" t="n">
        <x:f>IPO_Data_Collection!T201</x:f>
        <x:v>0</x:v>
      </x:c>
      <x:c r="L201" t="n">
        <x:f>IPO_Data_Collection!U201</x:f>
        <x:v>0</x:v>
      </x:c>
      <x:c r="M201" t="str">
        <x:f>IF(COUNTA(B201:I201)&gt;=7,"Ready","Missing")</x:f>
        <x:v>Ready</x:v>
      </x:c>
    </x:row>
    <x:row r="202">
      <x:c r="A202" t="str">
        <x:f>IPO_Data_Collection!B202</x:f>
        <x:v>Paras Defence and Space Technologies</x:v>
      </x:c>
      <x:c r="B202" t="n">
        <x:f>IPO_Data_Collection!D202</x:f>
        <x:v>0</x:v>
      </x:c>
      <x:c r="C202" t="n">
        <x:f>IPO_Data_Collection!E202</x:f>
        <x:v>0</x:v>
      </x:c>
      <x:c r="D202" t="n">
        <x:f>IPO_Data_Collection!F202</x:f>
        <x:v>0</x:v>
      </x:c>
      <x:c r="E202" t="n">
        <x:f>IPO_Data_Collection!G202</x:f>
        <x:v>0</x:v>
      </x:c>
      <x:c r="F202" t="str">
        <x:f>IFERROR(B202/D202,"")</x:f>
      </x:c>
      <x:c r="G202" t="n">
        <x:f>IPO_Data_Collection!J202</x:f>
        <x:v>0</x:v>
      </x:c>
      <x:c r="H202" t="n">
        <x:f>IPO_Data_Collection!K202</x:f>
        <x:v>0</x:v>
      </x:c>
      <x:c r="I202" t="n">
        <x:f>IPO_Data_Collection!Q202</x:f>
        <x:v>0</x:v>
      </x:c>
      <x:c r="J202" t="n">
        <x:f>IPO_Data_Collection!S202</x:f>
        <x:v>0</x:v>
      </x:c>
      <x:c r="K202" t="n">
        <x:f>IPO_Data_Collection!T202</x:f>
        <x:v>0</x:v>
      </x:c>
      <x:c r="L202" t="n">
        <x:f>IPO_Data_Collection!U202</x:f>
        <x:v>0</x:v>
      </x:c>
      <x:c r="M202" t="str">
        <x:f>IF(COUNTA(B202:I202)&gt;=7,"Ready","Missing")</x:f>
        <x:v>Ready</x:v>
      </x:c>
    </x:row>
    <x:row r="203">
      <x:c r="A203" t="str">
        <x:f>IPO_Data_Collection!B203</x:f>
        <x:v>Park Medi World Ltd</x:v>
      </x:c>
      <x:c r="B203" t="n">
        <x:f>IPO_Data_Collection!D203</x:f>
        <x:v>0</x:v>
      </x:c>
      <x:c r="C203" t="n">
        <x:f>IPO_Data_Collection!E203</x:f>
        <x:v>0</x:v>
      </x:c>
      <x:c r="D203" t="n">
        <x:f>IPO_Data_Collection!F203</x:f>
        <x:v>0</x:v>
      </x:c>
      <x:c r="E203" t="n">
        <x:f>IPO_Data_Collection!G203</x:f>
        <x:v>0</x:v>
      </x:c>
      <x:c r="F203" t="str">
        <x:f>IFERROR(B203/D203,"")</x:f>
      </x:c>
      <x:c r="G203" t="n">
        <x:f>IPO_Data_Collection!J203</x:f>
        <x:v>0</x:v>
      </x:c>
      <x:c r="H203" t="n">
        <x:f>IPO_Data_Collection!K203</x:f>
        <x:v>0</x:v>
      </x:c>
      <x:c r="I203" t="n">
        <x:f>IPO_Data_Collection!Q203</x:f>
        <x:v>0</x:v>
      </x:c>
      <x:c r="J203" t="n">
        <x:f>IPO_Data_Collection!S203</x:f>
        <x:v>0</x:v>
      </x:c>
      <x:c r="K203" t="n">
        <x:f>IPO_Data_Collection!T203</x:f>
        <x:v>0</x:v>
      </x:c>
      <x:c r="L203" t="n">
        <x:f>IPO_Data_Collection!U203</x:f>
        <x:v>0</x:v>
      </x:c>
      <x:c r="M203" t="str">
        <x:f>IF(COUNTA(B203:I203)&gt;=7,"Ready","Missing")</x:f>
        <x:v>Ready</x:v>
      </x:c>
    </x:row>
    <x:row r="204">
      <x:c r="A204" t="str">
        <x:f>IPO_Data_Collection!B204</x:f>
        <x:v>Patanjali Foods</x:v>
      </x:c>
      <x:c r="B204" t="n">
        <x:f>IPO_Data_Collection!D204</x:f>
        <x:v>0</x:v>
      </x:c>
      <x:c r="C204" t="n">
        <x:f>IPO_Data_Collection!E204</x:f>
        <x:v>0</x:v>
      </x:c>
      <x:c r="D204" t="n">
        <x:f>IPO_Data_Collection!F204</x:f>
        <x:v>0</x:v>
      </x:c>
      <x:c r="E204" t="n">
        <x:f>IPO_Data_Collection!G204</x:f>
        <x:v>0</x:v>
      </x:c>
      <x:c r="F204" t="str">
        <x:f>IFERROR(B204/D204,"")</x:f>
      </x:c>
      <x:c r="G204" t="n">
        <x:f>IPO_Data_Collection!J204</x:f>
        <x:v>0</x:v>
      </x:c>
      <x:c r="H204" t="n">
        <x:f>IPO_Data_Collection!K204</x:f>
        <x:v>0</x:v>
      </x:c>
      <x:c r="I204" t="n">
        <x:f>IPO_Data_Collection!Q204</x:f>
        <x:v>0</x:v>
      </x:c>
      <x:c r="J204" t="n">
        <x:f>IPO_Data_Collection!S204</x:f>
        <x:v>0</x:v>
      </x:c>
      <x:c r="K204" t="n">
        <x:f>IPO_Data_Collection!T204</x:f>
        <x:v>0</x:v>
      </x:c>
      <x:c r="L204" t="n">
        <x:f>IPO_Data_Collection!U204</x:f>
        <x:v>0</x:v>
      </x:c>
      <x:c r="M204" t="str">
        <x:f>IF(COUNTA(B204:I204)&gt;=7,"Ready","Missing")</x:f>
        <x:v>Ready</x:v>
      </x:c>
    </x:row>
    <x:row r="205">
      <x:c r="A205" t="str">
        <x:f>IPO_Data_Collection!B205</x:f>
        <x:v>Patel Retail Ltd</x:v>
      </x:c>
      <x:c r="B205" t="n">
        <x:f>IPO_Data_Collection!D205</x:f>
        <x:v>0</x:v>
      </x:c>
      <x:c r="C205" t="n">
        <x:f>IPO_Data_Collection!E205</x:f>
        <x:v>0</x:v>
      </x:c>
      <x:c r="D205" t="n">
        <x:f>IPO_Data_Collection!F205</x:f>
        <x:v>0</x:v>
      </x:c>
      <x:c r="E205" t="n">
        <x:f>IPO_Data_Collection!G205</x:f>
        <x:v>0</x:v>
      </x:c>
      <x:c r="F205" t="str">
        <x:f>IFERROR(B205/D205,"")</x:f>
      </x:c>
      <x:c r="G205" t="n">
        <x:f>IPO_Data_Collection!J205</x:f>
        <x:v>0</x:v>
      </x:c>
      <x:c r="H205" t="n">
        <x:f>IPO_Data_Collection!K205</x:f>
        <x:v>0</x:v>
      </x:c>
      <x:c r="I205" t="n">
        <x:f>IPO_Data_Collection!Q205</x:f>
        <x:v>0</x:v>
      </x:c>
      <x:c r="J205" t="n">
        <x:f>IPO_Data_Collection!S205</x:f>
        <x:v>0</x:v>
      </x:c>
      <x:c r="K205" t="n">
        <x:f>IPO_Data_Collection!T205</x:f>
        <x:v>0</x:v>
      </x:c>
      <x:c r="L205" t="n">
        <x:f>IPO_Data_Collection!U205</x:f>
        <x:v>0</x:v>
      </x:c>
      <x:c r="M205" t="str">
        <x:f>IF(COUNTA(B205:I205)&gt;=7,"Ready","Missing")</x:f>
        <x:v>Ready</x:v>
      </x:c>
    </x:row>
    <x:row r="206">
      <x:c r="A206" t="str">
        <x:f>IPO_Data_Collection!B206</x:f>
        <x:v>Paytm</x:v>
      </x:c>
      <x:c r="B206" t="n">
        <x:f>IPO_Data_Collection!D206</x:f>
        <x:v>0</x:v>
      </x:c>
      <x:c r="C206" t="n">
        <x:f>IPO_Data_Collection!E206</x:f>
        <x:v>0</x:v>
      </x:c>
      <x:c r="D206" t="n">
        <x:f>IPO_Data_Collection!F206</x:f>
        <x:v>0</x:v>
      </x:c>
      <x:c r="E206" t="n">
        <x:f>IPO_Data_Collection!G206</x:f>
        <x:v>0</x:v>
      </x:c>
      <x:c r="F206" t="str">
        <x:f>IFERROR(B206/D206,"")</x:f>
      </x:c>
      <x:c r="G206" t="n">
        <x:f>IPO_Data_Collection!J206</x:f>
        <x:v>0</x:v>
      </x:c>
      <x:c r="H206" t="n">
        <x:f>IPO_Data_Collection!K206</x:f>
        <x:v>0</x:v>
      </x:c>
      <x:c r="I206" t="n">
        <x:f>IPO_Data_Collection!Q206</x:f>
        <x:v>0</x:v>
      </x:c>
      <x:c r="J206" t="n">
        <x:f>IPO_Data_Collection!S206</x:f>
        <x:v>0</x:v>
      </x:c>
      <x:c r="K206" t="n">
        <x:f>IPO_Data_Collection!T206</x:f>
        <x:v>0</x:v>
      </x:c>
      <x:c r="L206" t="n">
        <x:f>IPO_Data_Collection!U206</x:f>
        <x:v>0</x:v>
      </x:c>
      <x:c r="M206" t="str">
        <x:f>IF(COUNTA(B206:I206)&gt;=7,"Ready","Missing")</x:f>
        <x:v>Ready</x:v>
      </x:c>
    </x:row>
    <x:row r="207">
      <x:c r="A207" t="str">
        <x:f>IPO_Data_Collection!B207</x:f>
        <x:v>PhysicsWallah Ltd</x:v>
      </x:c>
      <x:c r="B207" t="n">
        <x:f>IPO_Data_Collection!D207</x:f>
        <x:v>0</x:v>
      </x:c>
      <x:c r="C207" t="n">
        <x:f>IPO_Data_Collection!E207</x:f>
        <x:v>0</x:v>
      </x:c>
      <x:c r="D207" t="n">
        <x:f>IPO_Data_Collection!F207</x:f>
        <x:v>0</x:v>
      </x:c>
      <x:c r="E207" t="n">
        <x:f>IPO_Data_Collection!G207</x:f>
        <x:v>0</x:v>
      </x:c>
      <x:c r="F207" t="str">
        <x:f>IFERROR(B207/D207,"")</x:f>
      </x:c>
      <x:c r="G207" t="n">
        <x:f>IPO_Data_Collection!J207</x:f>
        <x:v>0</x:v>
      </x:c>
      <x:c r="H207" t="n">
        <x:f>IPO_Data_Collection!K207</x:f>
        <x:v>0</x:v>
      </x:c>
      <x:c r="I207" t="n">
        <x:f>IPO_Data_Collection!Q207</x:f>
        <x:v>0</x:v>
      </x:c>
      <x:c r="J207" t="n">
        <x:f>IPO_Data_Collection!S207</x:f>
        <x:v>0</x:v>
      </x:c>
      <x:c r="K207" t="n">
        <x:f>IPO_Data_Collection!T207</x:f>
        <x:v>0</x:v>
      </x:c>
      <x:c r="L207" t="n">
        <x:f>IPO_Data_Collection!U207</x:f>
        <x:v>0</x:v>
      </x:c>
      <x:c r="M207" t="str">
        <x:f>IF(COUNTA(B207:I207)&gt;=7,"Ready","Missing")</x:f>
        <x:v>Ready</x:v>
      </x:c>
    </x:row>
    <x:row r="208">
      <x:c r="A208" t="str">
        <x:f>IPO_Data_Collection!B208</x:f>
        <x:v>Pine Labs Ltd</x:v>
      </x:c>
      <x:c r="B208" t="n">
        <x:f>IPO_Data_Collection!D208</x:f>
        <x:v>0</x:v>
      </x:c>
      <x:c r="C208" t="n">
        <x:f>IPO_Data_Collection!E208</x:f>
        <x:v>0</x:v>
      </x:c>
      <x:c r="D208" t="n">
        <x:f>IPO_Data_Collection!F208</x:f>
        <x:v>0</x:v>
      </x:c>
      <x:c r="E208" t="n">
        <x:f>IPO_Data_Collection!G208</x:f>
        <x:v>0</x:v>
      </x:c>
      <x:c r="F208" t="str">
        <x:f>IFERROR(B208/D208,"")</x:f>
      </x:c>
      <x:c r="G208" t="n">
        <x:f>IPO_Data_Collection!J208</x:f>
        <x:v>0</x:v>
      </x:c>
      <x:c r="H208" t="n">
        <x:f>IPO_Data_Collection!K208</x:f>
        <x:v>0</x:v>
      </x:c>
      <x:c r="I208" t="n">
        <x:f>IPO_Data_Collection!Q208</x:f>
        <x:v>0</x:v>
      </x:c>
      <x:c r="J208" t="n">
        <x:f>IPO_Data_Collection!S208</x:f>
        <x:v>0</x:v>
      </x:c>
      <x:c r="K208" t="n">
        <x:f>IPO_Data_Collection!T208</x:f>
        <x:v>0</x:v>
      </x:c>
      <x:c r="L208" t="n">
        <x:f>IPO_Data_Collection!U208</x:f>
        <x:v>0</x:v>
      </x:c>
      <x:c r="M208" t="str">
        <x:f>IF(COUNTA(B208:I208)&gt;=7,"Ready","Missing")</x:f>
        <x:v>Ready</x:v>
      </x:c>
    </x:row>
    <x:row r="209">
      <x:c r="A209" t="str">
        <x:f>IPO_Data_Collection!B209</x:f>
        <x:v>Plaza Wires</x:v>
      </x:c>
      <x:c r="B209" t="n">
        <x:f>IPO_Data_Collection!D209</x:f>
        <x:v>0</x:v>
      </x:c>
      <x:c r="C209" t="n">
        <x:f>IPO_Data_Collection!E209</x:f>
        <x:v>0</x:v>
      </x:c>
      <x:c r="D209" t="n">
        <x:f>IPO_Data_Collection!F209</x:f>
        <x:v>0</x:v>
      </x:c>
      <x:c r="E209" t="n">
        <x:f>IPO_Data_Collection!G209</x:f>
        <x:v>0</x:v>
      </x:c>
      <x:c r="F209" t="str">
        <x:f>IFERROR(B209/D209,"")</x:f>
      </x:c>
      <x:c r="G209" t="n">
        <x:f>IPO_Data_Collection!J209</x:f>
        <x:v>0</x:v>
      </x:c>
      <x:c r="H209" t="n">
        <x:f>IPO_Data_Collection!K209</x:f>
        <x:v>0</x:v>
      </x:c>
      <x:c r="I209" t="n">
        <x:f>IPO_Data_Collection!Q209</x:f>
        <x:v>0</x:v>
      </x:c>
      <x:c r="J209" t="n">
        <x:f>IPO_Data_Collection!S209</x:f>
        <x:v>0</x:v>
      </x:c>
      <x:c r="K209" t="n">
        <x:f>IPO_Data_Collection!T209</x:f>
        <x:v>0</x:v>
      </x:c>
      <x:c r="L209" t="n">
        <x:f>IPO_Data_Collection!U209</x:f>
        <x:v>0</x:v>
      </x:c>
      <x:c r="M209" t="str">
        <x:f>IF(COUNTA(B209:I209)&gt;=7,"Ready","Missing")</x:f>
        <x:v>Ready</x:v>
      </x:c>
    </x:row>
    <x:row r="210">
      <x:c r="A210" t="str">
        <x:f>IPO_Data_Collection!B210</x:f>
        <x:v>PolicyBazaar</x:v>
      </x:c>
      <x:c r="B210" t="n">
        <x:f>IPO_Data_Collection!D210</x:f>
        <x:v>0</x:v>
      </x:c>
      <x:c r="C210" t="n">
        <x:f>IPO_Data_Collection!E210</x:f>
        <x:v>0</x:v>
      </x:c>
      <x:c r="D210" t="n">
        <x:f>IPO_Data_Collection!F210</x:f>
        <x:v>0</x:v>
      </x:c>
      <x:c r="E210" t="n">
        <x:f>IPO_Data_Collection!G210</x:f>
        <x:v>0</x:v>
      </x:c>
      <x:c r="F210" t="str">
        <x:f>IFERROR(B210/D210,"")</x:f>
      </x:c>
      <x:c r="G210" t="n">
        <x:f>IPO_Data_Collection!J210</x:f>
        <x:v>0</x:v>
      </x:c>
      <x:c r="H210" t="n">
        <x:f>IPO_Data_Collection!K210</x:f>
        <x:v>0</x:v>
      </x:c>
      <x:c r="I210" t="n">
        <x:f>IPO_Data_Collection!Q210</x:f>
        <x:v>0</x:v>
      </x:c>
      <x:c r="J210" t="n">
        <x:f>IPO_Data_Collection!S210</x:f>
        <x:v>0</x:v>
      </x:c>
      <x:c r="K210" t="n">
        <x:f>IPO_Data_Collection!T210</x:f>
        <x:v>0</x:v>
      </x:c>
      <x:c r="L210" t="n">
        <x:f>IPO_Data_Collection!U210</x:f>
        <x:v>0</x:v>
      </x:c>
      <x:c r="M210" t="str">
        <x:f>IF(COUNTA(B210:I210)&gt;=7,"Ready","Missing")</x:f>
        <x:v>Ready</x:v>
      </x:c>
    </x:row>
    <x:row r="211">
      <x:c r="A211" t="str">
        <x:f>IPO_Data_Collection!B211</x:f>
        <x:v>Powerica Ltd</x:v>
      </x:c>
      <x:c r="B211" t="n">
        <x:f>IPO_Data_Collection!D211</x:f>
        <x:v>0</x:v>
      </x:c>
      <x:c r="C211" t="n">
        <x:f>IPO_Data_Collection!E211</x:f>
        <x:v>0</x:v>
      </x:c>
      <x:c r="D211" t="n">
        <x:f>IPO_Data_Collection!F211</x:f>
        <x:v>0</x:v>
      </x:c>
      <x:c r="E211" t="n">
        <x:f>IPO_Data_Collection!G211</x:f>
        <x:v>0</x:v>
      </x:c>
      <x:c r="F211" t="str">
        <x:f>IFERROR(B211/D211,"")</x:f>
      </x:c>
      <x:c r="G211" t="n">
        <x:f>IPO_Data_Collection!J211</x:f>
        <x:v>0</x:v>
      </x:c>
      <x:c r="H211" t="n">
        <x:f>IPO_Data_Collection!K211</x:f>
        <x:v>0</x:v>
      </x:c>
      <x:c r="I211" t="n">
        <x:f>IPO_Data_Collection!Q211</x:f>
        <x:v>0</x:v>
      </x:c>
      <x:c r="J211" t="n">
        <x:f>IPO_Data_Collection!S211</x:f>
        <x:v>0</x:v>
      </x:c>
      <x:c r="K211" t="n">
        <x:f>IPO_Data_Collection!T211</x:f>
        <x:v>0</x:v>
      </x:c>
      <x:c r="L211" t="n">
        <x:f>IPO_Data_Collection!U211</x:f>
        <x:v>0</x:v>
      </x:c>
      <x:c r="M211" t="str">
        <x:f>IF(COUNTA(B211:I211)&gt;=7,"Ready","Missing")</x:f>
        <x:v>Ready</x:v>
      </x:c>
    </x:row>
    <x:row r="212">
      <x:c r="A212" t="str">
        <x:f>IPO_Data_Collection!B212</x:f>
        <x:v>Premier Energies</x:v>
      </x:c>
      <x:c r="B212" t="n">
        <x:f>IPO_Data_Collection!D212</x:f>
        <x:v>0</x:v>
      </x:c>
      <x:c r="C212" t="n">
        <x:f>IPO_Data_Collection!E212</x:f>
        <x:v>0</x:v>
      </x:c>
      <x:c r="D212" t="n">
        <x:f>IPO_Data_Collection!F212</x:f>
        <x:v>0</x:v>
      </x:c>
      <x:c r="E212" t="n">
        <x:f>IPO_Data_Collection!G212</x:f>
        <x:v>0</x:v>
      </x:c>
      <x:c r="F212" t="str">
        <x:f>IFERROR(B212/D212,"")</x:f>
      </x:c>
      <x:c r="G212" t="n">
        <x:f>IPO_Data_Collection!J212</x:f>
        <x:v>0</x:v>
      </x:c>
      <x:c r="H212" t="n">
        <x:f>IPO_Data_Collection!K212</x:f>
        <x:v>0</x:v>
      </x:c>
      <x:c r="I212" t="n">
        <x:f>IPO_Data_Collection!Q212</x:f>
        <x:v>0</x:v>
      </x:c>
      <x:c r="J212" t="n">
        <x:f>IPO_Data_Collection!S212</x:f>
        <x:v>0</x:v>
      </x:c>
      <x:c r="K212" t="n">
        <x:f>IPO_Data_Collection!T212</x:f>
        <x:v>0</x:v>
      </x:c>
      <x:c r="L212" t="n">
        <x:f>IPO_Data_Collection!U212</x:f>
        <x:v>0</x:v>
      </x:c>
      <x:c r="M212" t="str">
        <x:f>IF(COUNTA(B212:I212)&gt;=7,"Ready","Missing")</x:f>
        <x:v>Ready</x:v>
      </x:c>
    </x:row>
    <x:row r="213">
      <x:c r="A213" t="str">
        <x:f>IPO_Data_Collection!B213</x:f>
        <x:v>Prostarm Info Systems Limited</x:v>
      </x:c>
      <x:c r="B213" t="n">
        <x:f>IPO_Data_Collection!D213</x:f>
        <x:v>0</x:v>
      </x:c>
      <x:c r="C213" t="n">
        <x:f>IPO_Data_Collection!E213</x:f>
        <x:v>0</x:v>
      </x:c>
      <x:c r="D213" t="n">
        <x:f>IPO_Data_Collection!F213</x:f>
        <x:v>0</x:v>
      </x:c>
      <x:c r="E213" t="n">
        <x:f>IPO_Data_Collection!G213</x:f>
        <x:v>0</x:v>
      </x:c>
      <x:c r="F213" t="str">
        <x:f>IFERROR(B213/D213,"")</x:f>
      </x:c>
      <x:c r="G213" t="n">
        <x:f>IPO_Data_Collection!J213</x:f>
        <x:v>0</x:v>
      </x:c>
      <x:c r="H213" t="n">
        <x:f>IPO_Data_Collection!K213</x:f>
        <x:v>0</x:v>
      </x:c>
      <x:c r="I213" t="n">
        <x:f>IPO_Data_Collection!Q213</x:f>
        <x:v>0</x:v>
      </x:c>
      <x:c r="J213" t="n">
        <x:f>IPO_Data_Collection!S213</x:f>
        <x:v>0</x:v>
      </x:c>
      <x:c r="K213" t="n">
        <x:f>IPO_Data_Collection!T213</x:f>
        <x:v>0</x:v>
      </x:c>
      <x:c r="L213" t="n">
        <x:f>IPO_Data_Collection!U213</x:f>
        <x:v>0</x:v>
      </x:c>
      <x:c r="M213" t="str">
        <x:f>IF(COUNTA(B213:I213)&gt;=7,"Ready","Missing")</x:f>
        <x:v>Ready</x:v>
      </x:c>
    </x:row>
    <x:row r="214">
      <x:c r="A214" t="str">
        <x:f>IPO_Data_Collection!B214</x:f>
        <x:v>Protean eGov</x:v>
      </x:c>
      <x:c r="B214" t="n">
        <x:f>IPO_Data_Collection!D214</x:f>
        <x:v>0</x:v>
      </x:c>
      <x:c r="C214" t="n">
        <x:f>IPO_Data_Collection!E214</x:f>
        <x:v>0</x:v>
      </x:c>
      <x:c r="D214" t="n">
        <x:f>IPO_Data_Collection!F214</x:f>
        <x:v>0</x:v>
      </x:c>
      <x:c r="E214" t="n">
        <x:f>IPO_Data_Collection!G214</x:f>
        <x:v>0</x:v>
      </x:c>
      <x:c r="F214" t="str">
        <x:f>IFERROR(B214/D214,"")</x:f>
      </x:c>
      <x:c r="G214" t="n">
        <x:f>IPO_Data_Collection!J214</x:f>
        <x:v>0</x:v>
      </x:c>
      <x:c r="H214" t="n">
        <x:f>IPO_Data_Collection!K214</x:f>
        <x:v>0</x:v>
      </x:c>
      <x:c r="I214" t="n">
        <x:f>IPO_Data_Collection!Q214</x:f>
        <x:v>0</x:v>
      </x:c>
      <x:c r="J214" t="n">
        <x:f>IPO_Data_Collection!S214</x:f>
        <x:v>0</x:v>
      </x:c>
      <x:c r="K214" t="n">
        <x:f>IPO_Data_Collection!T214</x:f>
        <x:v>0</x:v>
      </x:c>
      <x:c r="L214" t="n">
        <x:f>IPO_Data_Collection!U214</x:f>
        <x:v>0</x:v>
      </x:c>
      <x:c r="M214" t="str">
        <x:f>IF(COUNTA(B214:I214)&gt;=7,"Ready","Missing")</x:f>
        <x:v>Ready</x:v>
      </x:c>
    </x:row>
    <x:row r="215">
      <x:c r="A215" t="str">
        <x:f>IPO_Data_Collection!B215</x:f>
        <x:v>Prudent Corporate Advisory</x:v>
      </x:c>
      <x:c r="B215" t="n">
        <x:f>IPO_Data_Collection!D215</x:f>
        <x:v>0</x:v>
      </x:c>
      <x:c r="C215" t="n">
        <x:f>IPO_Data_Collection!E215</x:f>
        <x:v>0</x:v>
      </x:c>
      <x:c r="D215" t="n">
        <x:f>IPO_Data_Collection!F215</x:f>
        <x:v>0</x:v>
      </x:c>
      <x:c r="E215" t="n">
        <x:f>IPO_Data_Collection!G215</x:f>
        <x:v>0</x:v>
      </x:c>
      <x:c r="F215" t="str">
        <x:f>IFERROR(B215/D215,"")</x:f>
      </x:c>
      <x:c r="G215" t="n">
        <x:f>IPO_Data_Collection!J215</x:f>
        <x:v>0</x:v>
      </x:c>
      <x:c r="H215" t="n">
        <x:f>IPO_Data_Collection!K215</x:f>
        <x:v>0</x:v>
      </x:c>
      <x:c r="I215" t="n">
        <x:f>IPO_Data_Collection!Q215</x:f>
        <x:v>0</x:v>
      </x:c>
      <x:c r="J215" t="n">
        <x:f>IPO_Data_Collection!S215</x:f>
        <x:v>0</x:v>
      </x:c>
      <x:c r="K215" t="n">
        <x:f>IPO_Data_Collection!T215</x:f>
        <x:v>0</x:v>
      </x:c>
      <x:c r="L215" t="n">
        <x:f>IPO_Data_Collection!U215</x:f>
        <x:v>0</x:v>
      </x:c>
      <x:c r="M215" t="str">
        <x:f>IF(COUNTA(B215:I215)&gt;=7,"Ready","Missing")</x:f>
        <x:v>Ready</x:v>
      </x:c>
    </x:row>
    <x:row r="216">
      <x:c r="A216" t="str">
        <x:f>IPO_Data_Collection!B216</x:f>
        <x:v>Pyramid Technoplast</x:v>
      </x:c>
      <x:c r="B216" t="n">
        <x:f>IPO_Data_Collection!D216</x:f>
        <x:v>0</x:v>
      </x:c>
      <x:c r="C216" t="n">
        <x:f>IPO_Data_Collection!E216</x:f>
        <x:v>0</x:v>
      </x:c>
      <x:c r="D216" t="n">
        <x:f>IPO_Data_Collection!F216</x:f>
        <x:v>0</x:v>
      </x:c>
      <x:c r="E216" t="n">
        <x:f>IPO_Data_Collection!G216</x:f>
        <x:v>0</x:v>
      </x:c>
      <x:c r="F216" t="str">
        <x:f>IFERROR(B216/D216,"")</x:f>
      </x:c>
      <x:c r="G216" t="n">
        <x:f>IPO_Data_Collection!J216</x:f>
        <x:v>0</x:v>
      </x:c>
      <x:c r="H216" t="n">
        <x:f>IPO_Data_Collection!K216</x:f>
        <x:v>0</x:v>
      </x:c>
      <x:c r="I216" t="n">
        <x:f>IPO_Data_Collection!Q216</x:f>
        <x:v>0</x:v>
      </x:c>
      <x:c r="J216" t="n">
        <x:f>IPO_Data_Collection!S216</x:f>
        <x:v>0</x:v>
      </x:c>
      <x:c r="K216" t="n">
        <x:f>IPO_Data_Collection!T216</x:f>
        <x:v>0</x:v>
      </x:c>
      <x:c r="L216" t="n">
        <x:f>IPO_Data_Collection!U216</x:f>
        <x:v>0</x:v>
      </x:c>
      <x:c r="M216" t="str">
        <x:f>IF(COUNTA(B216:I216)&gt;=7,"Ready","Missing")</x:f>
        <x:v>Ready</x:v>
      </x:c>
    </x:row>
    <x:row r="217">
      <x:c r="A217" t="str">
        <x:f>IPO_Data_Collection!B217</x:f>
        <x:v>RBZ Jewellers</x:v>
      </x:c>
      <x:c r="B217" t="n">
        <x:f>IPO_Data_Collection!D217</x:f>
        <x:v>0</x:v>
      </x:c>
      <x:c r="C217" t="n">
        <x:f>IPO_Data_Collection!E217</x:f>
        <x:v>0</x:v>
      </x:c>
      <x:c r="D217" t="n">
        <x:f>IPO_Data_Collection!F217</x:f>
        <x:v>0</x:v>
      </x:c>
      <x:c r="E217" t="n">
        <x:f>IPO_Data_Collection!G217</x:f>
        <x:v>0</x:v>
      </x:c>
      <x:c r="F217" t="str">
        <x:f>IFERROR(B217/D217,"")</x:f>
      </x:c>
      <x:c r="G217" t="n">
        <x:f>IPO_Data_Collection!J217</x:f>
        <x:v>0</x:v>
      </x:c>
      <x:c r="H217" t="n">
        <x:f>IPO_Data_Collection!K217</x:f>
        <x:v>0</x:v>
      </x:c>
      <x:c r="I217" t="n">
        <x:f>IPO_Data_Collection!Q217</x:f>
        <x:v>0</x:v>
      </x:c>
      <x:c r="J217" t="n">
        <x:f>IPO_Data_Collection!S217</x:f>
        <x:v>0</x:v>
      </x:c>
      <x:c r="K217" t="n">
        <x:f>IPO_Data_Collection!T217</x:f>
        <x:v>0</x:v>
      </x:c>
      <x:c r="L217" t="n">
        <x:f>IPO_Data_Collection!U217</x:f>
        <x:v>0</x:v>
      </x:c>
      <x:c r="M217" t="str">
        <x:f>IF(COUNTA(B217:I217)&gt;=7,"Ready","Missing")</x:f>
        <x:v>Ready</x:v>
      </x:c>
    </x:row>
    <x:row r="218">
      <x:c r="A218" t="str">
        <x:f>IPO_Data_Collection!B218</x:f>
        <x:v>RR Kabel</x:v>
      </x:c>
      <x:c r="B218" t="n">
        <x:f>IPO_Data_Collection!D218</x:f>
        <x:v>0</x:v>
      </x:c>
      <x:c r="C218" t="n">
        <x:f>IPO_Data_Collection!E218</x:f>
        <x:v>0</x:v>
      </x:c>
      <x:c r="D218" t="n">
        <x:f>IPO_Data_Collection!F218</x:f>
        <x:v>0</x:v>
      </x:c>
      <x:c r="E218" t="n">
        <x:f>IPO_Data_Collection!G218</x:f>
        <x:v>0</x:v>
      </x:c>
      <x:c r="F218" t="str">
        <x:f>IFERROR(B218/D218,"")</x:f>
      </x:c>
      <x:c r="G218" t="n">
        <x:f>IPO_Data_Collection!J218</x:f>
        <x:v>0</x:v>
      </x:c>
      <x:c r="H218" t="n">
        <x:f>IPO_Data_Collection!K218</x:f>
        <x:v>0</x:v>
      </x:c>
      <x:c r="I218" t="n">
        <x:f>IPO_Data_Collection!Q218</x:f>
        <x:v>0</x:v>
      </x:c>
      <x:c r="J218" t="n">
        <x:f>IPO_Data_Collection!S218</x:f>
        <x:v>0</x:v>
      </x:c>
      <x:c r="K218" t="n">
        <x:f>IPO_Data_Collection!T218</x:f>
        <x:v>0</x:v>
      </x:c>
      <x:c r="L218" t="n">
        <x:f>IPO_Data_Collection!U218</x:f>
        <x:v>0</x:v>
      </x:c>
      <x:c r="M218" t="str">
        <x:f>IF(COUNTA(B218:I218)&gt;=7,"Ready","Missing")</x:f>
        <x:v>Ready</x:v>
      </x:c>
    </x:row>
    <x:row r="219">
      <x:c r="A219" t="str">
        <x:f>IPO_Data_Collection!B219</x:f>
        <x:v>Radiant Cash Management</x:v>
      </x:c>
      <x:c r="B219" t="n">
        <x:f>IPO_Data_Collection!D219</x:f>
        <x:v>0</x:v>
      </x:c>
      <x:c r="C219" t="n">
        <x:f>IPO_Data_Collection!E219</x:f>
        <x:v>0</x:v>
      </x:c>
      <x:c r="D219" t="n">
        <x:f>IPO_Data_Collection!F219</x:f>
        <x:v>0</x:v>
      </x:c>
      <x:c r="E219" t="n">
        <x:f>IPO_Data_Collection!G219</x:f>
        <x:v>0</x:v>
      </x:c>
      <x:c r="F219" t="str">
        <x:f>IFERROR(B219/D219,"")</x:f>
      </x:c>
      <x:c r="G219" t="n">
        <x:f>IPO_Data_Collection!J219</x:f>
        <x:v>0</x:v>
      </x:c>
      <x:c r="H219" t="n">
        <x:f>IPO_Data_Collection!K219</x:f>
        <x:v>0</x:v>
      </x:c>
      <x:c r="I219" t="n">
        <x:f>IPO_Data_Collection!Q219</x:f>
        <x:v>0</x:v>
      </x:c>
      <x:c r="J219" t="n">
        <x:f>IPO_Data_Collection!S219</x:f>
        <x:v>0</x:v>
      </x:c>
      <x:c r="K219" t="n">
        <x:f>IPO_Data_Collection!T219</x:f>
        <x:v>0</x:v>
      </x:c>
      <x:c r="L219" t="n">
        <x:f>IPO_Data_Collection!U219</x:f>
        <x:v>0</x:v>
      </x:c>
      <x:c r="M219" t="str">
        <x:f>IF(COUNTA(B219:I219)&gt;=7,"Ready","Missing")</x:f>
        <x:v>Ready</x:v>
      </x:c>
    </x:row>
    <x:row r="220">
      <x:c r="A220" t="str">
        <x:f>IPO_Data_Collection!B220</x:f>
        <x:v>RailTel</x:v>
      </x:c>
      <x:c r="B220" t="n">
        <x:f>IPO_Data_Collection!D220</x:f>
        <x:v>0</x:v>
      </x:c>
      <x:c r="C220" t="n">
        <x:f>IPO_Data_Collection!E220</x:f>
        <x:v>0</x:v>
      </x:c>
      <x:c r="D220" t="n">
        <x:f>IPO_Data_Collection!F220</x:f>
        <x:v>0</x:v>
      </x:c>
      <x:c r="E220" t="n">
        <x:f>IPO_Data_Collection!G220</x:f>
        <x:v>0</x:v>
      </x:c>
      <x:c r="F220" t="str">
        <x:f>IFERROR(B220/D220,"")</x:f>
      </x:c>
      <x:c r="G220" t="n">
        <x:f>IPO_Data_Collection!J220</x:f>
        <x:v>0</x:v>
      </x:c>
      <x:c r="H220" t="n">
        <x:f>IPO_Data_Collection!K220</x:f>
        <x:v>0</x:v>
      </x:c>
      <x:c r="I220" t="n">
        <x:f>IPO_Data_Collection!Q220</x:f>
        <x:v>0</x:v>
      </x:c>
      <x:c r="J220" t="n">
        <x:f>IPO_Data_Collection!S220</x:f>
        <x:v>0</x:v>
      </x:c>
      <x:c r="K220" t="n">
        <x:f>IPO_Data_Collection!T220</x:f>
        <x:v>0</x:v>
      </x:c>
      <x:c r="L220" t="n">
        <x:f>IPO_Data_Collection!U220</x:f>
        <x:v>0</x:v>
      </x:c>
      <x:c r="M220" t="str">
        <x:f>IF(COUNTA(B220:I220)&gt;=7,"Ready","Missing")</x:f>
        <x:v>Ready</x:v>
      </x:c>
    </x:row>
    <x:row r="221">
      <x:c r="A221" t="str">
        <x:f>IPO_Data_Collection!B221</x:f>
        <x:v>Rainbow Hospital</x:v>
      </x:c>
      <x:c r="B221" t="n">
        <x:f>IPO_Data_Collection!D221</x:f>
        <x:v>0</x:v>
      </x:c>
      <x:c r="C221" t="n">
        <x:f>IPO_Data_Collection!E221</x:f>
        <x:v>0</x:v>
      </x:c>
      <x:c r="D221" t="n">
        <x:f>IPO_Data_Collection!F221</x:f>
        <x:v>0</x:v>
      </x:c>
      <x:c r="E221" t="n">
        <x:f>IPO_Data_Collection!G221</x:f>
        <x:v>0</x:v>
      </x:c>
      <x:c r="F221" t="str">
        <x:f>IFERROR(B221/D221,"")</x:f>
      </x:c>
      <x:c r="G221" t="n">
        <x:f>IPO_Data_Collection!J221</x:f>
        <x:v>0</x:v>
      </x:c>
      <x:c r="H221" t="n">
        <x:f>IPO_Data_Collection!K221</x:f>
        <x:v>0</x:v>
      </x:c>
      <x:c r="I221" t="n">
        <x:f>IPO_Data_Collection!Q221</x:f>
        <x:v>0</x:v>
      </x:c>
      <x:c r="J221" t="n">
        <x:f>IPO_Data_Collection!S221</x:f>
        <x:v>0</x:v>
      </x:c>
      <x:c r="K221" t="n">
        <x:f>IPO_Data_Collection!T221</x:f>
        <x:v>0</x:v>
      </x:c>
      <x:c r="L221" t="n">
        <x:f>IPO_Data_Collection!U221</x:f>
        <x:v>0</x:v>
      </x:c>
      <x:c r="M221" t="str">
        <x:f>IF(COUNTA(B221:I221)&gt;=7,"Ready","Missing")</x:f>
        <x:v>Ready</x:v>
      </x:c>
    </x:row>
    <x:row r="222">
      <x:c r="A222" t="str">
        <x:f>IPO_Data_Collection!B222</x:f>
        <x:v>Rajputana Stainless Ltd</x:v>
      </x:c>
      <x:c r="B222" t="n">
        <x:f>IPO_Data_Collection!D222</x:f>
        <x:v>0</x:v>
      </x:c>
      <x:c r="C222" t="n">
        <x:f>IPO_Data_Collection!E222</x:f>
        <x:v>0</x:v>
      </x:c>
      <x:c r="D222" t="n">
        <x:f>IPO_Data_Collection!F222</x:f>
        <x:v>0</x:v>
      </x:c>
      <x:c r="E222" t="n">
        <x:f>IPO_Data_Collection!G222</x:f>
        <x:v>0</x:v>
      </x:c>
      <x:c r="F222" t="str">
        <x:f>IFERROR(B222/D222,"")</x:f>
      </x:c>
      <x:c r="G222" t="n">
        <x:f>IPO_Data_Collection!J222</x:f>
        <x:v>0</x:v>
      </x:c>
      <x:c r="H222" t="n">
        <x:f>IPO_Data_Collection!K222</x:f>
        <x:v>0</x:v>
      </x:c>
      <x:c r="I222" t="n">
        <x:f>IPO_Data_Collection!Q222</x:f>
        <x:v>0</x:v>
      </x:c>
      <x:c r="J222" t="n">
        <x:f>IPO_Data_Collection!S222</x:f>
        <x:v>0</x:v>
      </x:c>
      <x:c r="K222" t="n">
        <x:f>IPO_Data_Collection!T222</x:f>
        <x:v>0</x:v>
      </x:c>
      <x:c r="L222" t="n">
        <x:f>IPO_Data_Collection!U222</x:f>
        <x:v>0</x:v>
      </x:c>
      <x:c r="M222" t="str">
        <x:f>IF(COUNTA(B222:I222)&gt;=7,"Ready","Missing")</x:f>
        <x:v>Ready</x:v>
      </x:c>
    </x:row>
    <x:row r="223">
      <x:c r="A223" t="str">
        <x:f>IPO_Data_Collection!B223</x:f>
        <x:v>Rategain Travel</x:v>
      </x:c>
      <x:c r="B223" t="n">
        <x:f>IPO_Data_Collection!D223</x:f>
        <x:v>0</x:v>
      </x:c>
      <x:c r="C223" t="n">
        <x:f>IPO_Data_Collection!E223</x:f>
        <x:v>0</x:v>
      </x:c>
      <x:c r="D223" t="n">
        <x:f>IPO_Data_Collection!F223</x:f>
        <x:v>0</x:v>
      </x:c>
      <x:c r="E223" t="n">
        <x:f>IPO_Data_Collection!G223</x:f>
        <x:v>0</x:v>
      </x:c>
      <x:c r="F223" t="str">
        <x:f>IFERROR(B223/D223,"")</x:f>
      </x:c>
      <x:c r="G223" t="n">
        <x:f>IPO_Data_Collection!J223</x:f>
        <x:v>0</x:v>
      </x:c>
      <x:c r="H223" t="n">
        <x:f>IPO_Data_Collection!K223</x:f>
        <x:v>0</x:v>
      </x:c>
      <x:c r="I223" t="n">
        <x:f>IPO_Data_Collection!Q223</x:f>
        <x:v>0</x:v>
      </x:c>
      <x:c r="J223" t="n">
        <x:f>IPO_Data_Collection!S223</x:f>
        <x:v>0</x:v>
      </x:c>
      <x:c r="K223" t="n">
        <x:f>IPO_Data_Collection!T223</x:f>
        <x:v>0</x:v>
      </x:c>
      <x:c r="L223" t="n">
        <x:f>IPO_Data_Collection!U223</x:f>
        <x:v>0</x:v>
      </x:c>
      <x:c r="M223" t="str">
        <x:f>IF(COUNTA(B223:I223)&gt;=7,"Ready","Missing")</x:f>
        <x:v>Ready</x:v>
      </x:c>
    </x:row>
    <x:row r="224">
      <x:c r="A224" t="str">
        <x:f>IPO_Data_Collection!B224</x:f>
        <x:v>Ratnaveer Precision Engineering</x:v>
      </x:c>
      <x:c r="B224" t="n">
        <x:f>IPO_Data_Collection!D224</x:f>
        <x:v>0</x:v>
      </x:c>
      <x:c r="C224" t="n">
        <x:f>IPO_Data_Collection!E224</x:f>
        <x:v>0</x:v>
      </x:c>
      <x:c r="D224" t="n">
        <x:f>IPO_Data_Collection!F224</x:f>
        <x:v>0</x:v>
      </x:c>
      <x:c r="E224" t="n">
        <x:f>IPO_Data_Collection!G224</x:f>
        <x:v>0</x:v>
      </x:c>
      <x:c r="F224" t="str">
        <x:f>IFERROR(B224/D224,"")</x:f>
      </x:c>
      <x:c r="G224" t="n">
        <x:f>IPO_Data_Collection!J224</x:f>
        <x:v>0</x:v>
      </x:c>
      <x:c r="H224" t="n">
        <x:f>IPO_Data_Collection!K224</x:f>
        <x:v>0</x:v>
      </x:c>
      <x:c r="I224" t="n">
        <x:f>IPO_Data_Collection!Q224</x:f>
        <x:v>0</x:v>
      </x:c>
      <x:c r="J224" t="n">
        <x:f>IPO_Data_Collection!S224</x:f>
        <x:v>0</x:v>
      </x:c>
      <x:c r="K224" t="n">
        <x:f>IPO_Data_Collection!T224</x:f>
        <x:v>0</x:v>
      </x:c>
      <x:c r="L224" t="n">
        <x:f>IPO_Data_Collection!U224</x:f>
        <x:v>0</x:v>
      </x:c>
      <x:c r="M224" t="str">
        <x:f>IF(COUNTA(B224:I224)&gt;=7,"Ready","Missing")</x:f>
        <x:v>Ready</x:v>
      </x:c>
    </x:row>
    <x:row r="225">
      <x:c r="A225" t="str">
        <x:f>IPO_Data_Collection!B225</x:f>
        <x:v>Regaal Resources Ltd</x:v>
      </x:c>
      <x:c r="B225" t="n">
        <x:f>IPO_Data_Collection!D225</x:f>
        <x:v>0</x:v>
      </x:c>
      <x:c r="C225" t="n">
        <x:f>IPO_Data_Collection!E225</x:f>
        <x:v>0</x:v>
      </x:c>
      <x:c r="D225" t="n">
        <x:f>IPO_Data_Collection!F225</x:f>
        <x:v>0</x:v>
      </x:c>
      <x:c r="E225" t="n">
        <x:f>IPO_Data_Collection!G225</x:f>
        <x:v>0</x:v>
      </x:c>
      <x:c r="F225" t="str">
        <x:f>IFERROR(B225/D225,"")</x:f>
      </x:c>
      <x:c r="G225" t="n">
        <x:f>IPO_Data_Collection!J225</x:f>
        <x:v>0</x:v>
      </x:c>
      <x:c r="H225" t="n">
        <x:f>IPO_Data_Collection!K225</x:f>
        <x:v>0</x:v>
      </x:c>
      <x:c r="I225" t="n">
        <x:f>IPO_Data_Collection!Q225</x:f>
        <x:v>0</x:v>
      </x:c>
      <x:c r="J225" t="n">
        <x:f>IPO_Data_Collection!S225</x:f>
        <x:v>0</x:v>
      </x:c>
      <x:c r="K225" t="n">
        <x:f>IPO_Data_Collection!T225</x:f>
        <x:v>0</x:v>
      </x:c>
      <x:c r="L225" t="n">
        <x:f>IPO_Data_Collection!U225</x:f>
        <x:v>0</x:v>
      </x:c>
      <x:c r="M225" t="str">
        <x:f>IF(COUNTA(B225:I225)&gt;=7,"Ready","Missing")</x:f>
        <x:v>Ready</x:v>
      </x:c>
    </x:row>
    <x:row r="226">
      <x:c r="A226" t="str">
        <x:f>IPO_Data_Collection!B226</x:f>
        <x:v>Rishabh Instruments</x:v>
      </x:c>
      <x:c r="B226" t="n">
        <x:f>IPO_Data_Collection!D226</x:f>
        <x:v>0</x:v>
      </x:c>
      <x:c r="C226" t="n">
        <x:f>IPO_Data_Collection!E226</x:f>
        <x:v>0</x:v>
      </x:c>
      <x:c r="D226" t="n">
        <x:f>IPO_Data_Collection!F226</x:f>
        <x:v>0</x:v>
      </x:c>
      <x:c r="E226" t="n">
        <x:f>IPO_Data_Collection!G226</x:f>
        <x:v>0</x:v>
      </x:c>
      <x:c r="F226" t="str">
        <x:f>IFERROR(B226/D226,"")</x:f>
      </x:c>
      <x:c r="G226" t="n">
        <x:f>IPO_Data_Collection!J226</x:f>
        <x:v>0</x:v>
      </x:c>
      <x:c r="H226" t="n">
        <x:f>IPO_Data_Collection!K226</x:f>
        <x:v>0</x:v>
      </x:c>
      <x:c r="I226" t="n">
        <x:f>IPO_Data_Collection!Q226</x:f>
        <x:v>0</x:v>
      </x:c>
      <x:c r="J226" t="n">
        <x:f>IPO_Data_Collection!S226</x:f>
        <x:v>0</x:v>
      </x:c>
      <x:c r="K226" t="n">
        <x:f>IPO_Data_Collection!T226</x:f>
        <x:v>0</x:v>
      </x:c>
      <x:c r="L226" t="n">
        <x:f>IPO_Data_Collection!U226</x:f>
        <x:v>0</x:v>
      </x:c>
      <x:c r="M226" t="str">
        <x:f>IF(COUNTA(B226:I226)&gt;=7,"Ready","Missing")</x:f>
        <x:v>Ready</x:v>
      </x:c>
    </x:row>
    <x:row r="227">
      <x:c r="A227" t="str">
        <x:f>IPO_Data_Collection!B227</x:f>
        <x:v>Rolex Rings</x:v>
      </x:c>
      <x:c r="B227" t="n">
        <x:f>IPO_Data_Collection!D227</x:f>
        <x:v>0</x:v>
      </x:c>
      <x:c r="C227" t="n">
        <x:f>IPO_Data_Collection!E227</x:f>
        <x:v>0</x:v>
      </x:c>
      <x:c r="D227" t="n">
        <x:f>IPO_Data_Collection!F227</x:f>
        <x:v>0</x:v>
      </x:c>
      <x:c r="E227" t="n">
        <x:f>IPO_Data_Collection!G227</x:f>
        <x:v>0</x:v>
      </x:c>
      <x:c r="F227" t="str">
        <x:f>IFERROR(B227/D227,"")</x:f>
      </x:c>
      <x:c r="G227" t="n">
        <x:f>IPO_Data_Collection!J227</x:f>
        <x:v>0</x:v>
      </x:c>
      <x:c r="H227" t="n">
        <x:f>IPO_Data_Collection!K227</x:f>
        <x:v>0</x:v>
      </x:c>
      <x:c r="I227" t="n">
        <x:f>IPO_Data_Collection!Q227</x:f>
        <x:v>0</x:v>
      </x:c>
      <x:c r="J227" t="n">
        <x:f>IPO_Data_Collection!S227</x:f>
        <x:v>0</x:v>
      </x:c>
      <x:c r="K227" t="n">
        <x:f>IPO_Data_Collection!T227</x:f>
        <x:v>0</x:v>
      </x:c>
      <x:c r="L227" t="n">
        <x:f>IPO_Data_Collection!U227</x:f>
        <x:v>0</x:v>
      </x:c>
      <x:c r="M227" t="str">
        <x:f>IF(COUNTA(B227:I227)&gt;=7,"Ready","Missing")</x:f>
        <x:v>Ready</x:v>
      </x:c>
    </x:row>
    <x:row r="228">
      <x:c r="A228" t="str">
        <x:f>IPO_Data_Collection!B228</x:f>
        <x:v>Rossari Biotech</x:v>
      </x:c>
      <x:c r="B228" t="n">
        <x:f>IPO_Data_Collection!D228</x:f>
        <x:v>0</x:v>
      </x:c>
      <x:c r="C228" t="n">
        <x:f>IPO_Data_Collection!E228</x:f>
        <x:v>0</x:v>
      </x:c>
      <x:c r="D228" t="n">
        <x:f>IPO_Data_Collection!F228</x:f>
        <x:v>0</x:v>
      </x:c>
      <x:c r="E228" t="n">
        <x:f>IPO_Data_Collection!G228</x:f>
        <x:v>0</x:v>
      </x:c>
      <x:c r="F228" t="str">
        <x:f>IFERROR(B228/D228,"")</x:f>
      </x:c>
      <x:c r="G228" t="n">
        <x:f>IPO_Data_Collection!J228</x:f>
        <x:v>0</x:v>
      </x:c>
      <x:c r="H228" t="n">
        <x:f>IPO_Data_Collection!K228</x:f>
        <x:v>0</x:v>
      </x:c>
      <x:c r="I228" t="n">
        <x:f>IPO_Data_Collection!Q228</x:f>
        <x:v>0</x:v>
      </x:c>
      <x:c r="J228" t="n">
        <x:f>IPO_Data_Collection!S228</x:f>
        <x:v>0</x:v>
      </x:c>
      <x:c r="K228" t="n">
        <x:f>IPO_Data_Collection!T228</x:f>
        <x:v>0</x:v>
      </x:c>
      <x:c r="L228" t="n">
        <x:f>IPO_Data_Collection!U228</x:f>
        <x:v>0</x:v>
      </x:c>
      <x:c r="M228" t="str">
        <x:f>IF(COUNTA(B228:I228)&gt;=7,"Ready","Missing")</x:f>
        <x:v>Ready</x:v>
      </x:c>
    </x:row>
    <x:row r="229">
      <x:c r="A229" t="str">
        <x:f>IPO_Data_Collection!B229</x:f>
        <x:v>Route Mobile</x:v>
      </x:c>
      <x:c r="B229" t="n">
        <x:f>IPO_Data_Collection!D229</x:f>
        <x:v>0</x:v>
      </x:c>
      <x:c r="C229" t="n">
        <x:f>IPO_Data_Collection!E229</x:f>
        <x:v>0</x:v>
      </x:c>
      <x:c r="D229" t="n">
        <x:f>IPO_Data_Collection!F229</x:f>
        <x:v>0</x:v>
      </x:c>
      <x:c r="E229" t="n">
        <x:f>IPO_Data_Collection!G229</x:f>
        <x:v>0</x:v>
      </x:c>
      <x:c r="F229" t="str">
        <x:f>IFERROR(B229/D229,"")</x:f>
      </x:c>
      <x:c r="G229" t="n">
        <x:f>IPO_Data_Collection!J229</x:f>
        <x:v>0</x:v>
      </x:c>
      <x:c r="H229" t="n">
        <x:f>IPO_Data_Collection!K229</x:f>
        <x:v>0</x:v>
      </x:c>
      <x:c r="I229" t="n">
        <x:f>IPO_Data_Collection!Q229</x:f>
        <x:v>0</x:v>
      </x:c>
      <x:c r="J229" t="n">
        <x:f>IPO_Data_Collection!S229</x:f>
        <x:v>0</x:v>
      </x:c>
      <x:c r="K229" t="n">
        <x:f>IPO_Data_Collection!T229</x:f>
        <x:v>0</x:v>
      </x:c>
      <x:c r="L229" t="n">
        <x:f>IPO_Data_Collection!U229</x:f>
        <x:v>0</x:v>
      </x:c>
      <x:c r="M229" t="str">
        <x:f>IF(COUNTA(B229:I229)&gt;=7,"Ready","Missing")</x:f>
        <x:v>Ready</x:v>
      </x:c>
    </x:row>
    <x:row r="230">
      <x:c r="A230" t="str">
        <x:f>IPO_Data_Collection!B230</x:f>
        <x:v>Rubicon Research Ltd</x:v>
      </x:c>
      <x:c r="B230" t="n">
        <x:f>IPO_Data_Collection!D230</x:f>
        <x:v>0</x:v>
      </x:c>
      <x:c r="C230" t="n">
        <x:f>IPO_Data_Collection!E230</x:f>
        <x:v>0</x:v>
      </x:c>
      <x:c r="D230" t="n">
        <x:f>IPO_Data_Collection!F230</x:f>
        <x:v>0</x:v>
      </x:c>
      <x:c r="E230" t="n">
        <x:f>IPO_Data_Collection!G230</x:f>
        <x:v>0</x:v>
      </x:c>
      <x:c r="F230" t="str">
        <x:f>IFERROR(B230/D230,"")</x:f>
      </x:c>
      <x:c r="G230" t="n">
        <x:f>IPO_Data_Collection!J230</x:f>
        <x:v>0</x:v>
      </x:c>
      <x:c r="H230" t="n">
        <x:f>IPO_Data_Collection!K230</x:f>
        <x:v>0</x:v>
      </x:c>
      <x:c r="I230" t="n">
        <x:f>IPO_Data_Collection!Q230</x:f>
        <x:v>0</x:v>
      </x:c>
      <x:c r="J230" t="n">
        <x:f>IPO_Data_Collection!S230</x:f>
        <x:v>0</x:v>
      </x:c>
      <x:c r="K230" t="n">
        <x:f>IPO_Data_Collection!T230</x:f>
        <x:v>0</x:v>
      </x:c>
      <x:c r="L230" t="n">
        <x:f>IPO_Data_Collection!U230</x:f>
        <x:v>0</x:v>
      </x:c>
      <x:c r="M230" t="str">
        <x:f>IF(COUNTA(B230:I230)&gt;=7,"Ready","Missing")</x:f>
        <x:v>Ready</x:v>
      </x:c>
    </x:row>
    <x:row r="231">
      <x:c r="A231" t="str">
        <x:f>IPO_Data_Collection!B231</x:f>
        <x:v>SBFC Finance</x:v>
      </x:c>
      <x:c r="B231" t="n">
        <x:f>IPO_Data_Collection!D231</x:f>
        <x:v>0</x:v>
      </x:c>
      <x:c r="C231" t="n">
        <x:f>IPO_Data_Collection!E231</x:f>
        <x:v>0</x:v>
      </x:c>
      <x:c r="D231" t="n">
        <x:f>IPO_Data_Collection!F231</x:f>
        <x:v>0</x:v>
      </x:c>
      <x:c r="E231" t="n">
        <x:f>IPO_Data_Collection!G231</x:f>
        <x:v>0</x:v>
      </x:c>
      <x:c r="F231" t="str">
        <x:f>IFERROR(B231/D231,"")</x:f>
      </x:c>
      <x:c r="G231" t="n">
        <x:f>IPO_Data_Collection!J231</x:f>
        <x:v>0</x:v>
      </x:c>
      <x:c r="H231" t="n">
        <x:f>IPO_Data_Collection!K231</x:f>
        <x:v>0</x:v>
      </x:c>
      <x:c r="I231" t="n">
        <x:f>IPO_Data_Collection!Q231</x:f>
        <x:v>0</x:v>
      </x:c>
      <x:c r="J231" t="n">
        <x:f>IPO_Data_Collection!S231</x:f>
        <x:v>0</x:v>
      </x:c>
      <x:c r="K231" t="n">
        <x:f>IPO_Data_Collection!T231</x:f>
        <x:v>0</x:v>
      </x:c>
      <x:c r="L231" t="n">
        <x:f>IPO_Data_Collection!U231</x:f>
        <x:v>0</x:v>
      </x:c>
      <x:c r="M231" t="str">
        <x:f>IF(COUNTA(B231:I231)&gt;=7,"Ready","Missing")</x:f>
        <x:v>Ready</x:v>
      </x:c>
    </x:row>
    <x:row r="232">
      <x:c r="A232" t="str">
        <x:f>IPO_Data_Collection!B232</x:f>
        <x:v>SEDEMAC Mechatronics Ltd</x:v>
      </x:c>
      <x:c r="B232" t="n">
        <x:f>IPO_Data_Collection!D232</x:f>
        <x:v>0</x:v>
      </x:c>
      <x:c r="C232" t="n">
        <x:f>IPO_Data_Collection!E232</x:f>
        <x:v>0</x:v>
      </x:c>
      <x:c r="D232" t="n">
        <x:f>IPO_Data_Collection!F232</x:f>
        <x:v>0</x:v>
      </x:c>
      <x:c r="E232" t="n">
        <x:f>IPO_Data_Collection!G232</x:f>
        <x:v>0</x:v>
      </x:c>
      <x:c r="F232" t="str">
        <x:f>IFERROR(B232/D232,"")</x:f>
      </x:c>
      <x:c r="G232" t="n">
        <x:f>IPO_Data_Collection!J232</x:f>
        <x:v>0</x:v>
      </x:c>
      <x:c r="H232" t="n">
        <x:f>IPO_Data_Collection!K232</x:f>
        <x:v>0</x:v>
      </x:c>
      <x:c r="I232" t="n">
        <x:f>IPO_Data_Collection!Q232</x:f>
        <x:v>0</x:v>
      </x:c>
      <x:c r="J232" t="n">
        <x:f>IPO_Data_Collection!S232</x:f>
        <x:v>0</x:v>
      </x:c>
      <x:c r="K232" t="n">
        <x:f>IPO_Data_Collection!T232</x:f>
        <x:v>0</x:v>
      </x:c>
      <x:c r="L232" t="n">
        <x:f>IPO_Data_Collection!U232</x:f>
        <x:v>0</x:v>
      </x:c>
      <x:c r="M232" t="str">
        <x:f>IF(COUNTA(B232:I232)&gt;=7,"Ready","Missing")</x:f>
        <x:v>Ready</x:v>
      </x:c>
    </x:row>
    <x:row r="233">
      <x:c r="A233" t="str">
        <x:f>IPO_Data_Collection!B233</x:f>
        <x:v>SBI Cards</x:v>
      </x:c>
      <x:c r="B233" t="n">
        <x:f>IPO_Data_Collection!D233</x:f>
        <x:v>0</x:v>
      </x:c>
      <x:c r="C233" t="n">
        <x:f>IPO_Data_Collection!E233</x:f>
        <x:v>0</x:v>
      </x:c>
      <x:c r="D233" t="n">
        <x:f>IPO_Data_Collection!F233</x:f>
        <x:v>0</x:v>
      </x:c>
      <x:c r="E233" t="n">
        <x:f>IPO_Data_Collection!G233</x:f>
        <x:v>0</x:v>
      </x:c>
      <x:c r="F233" t="str">
        <x:f>IFERROR(B233/D233,"")</x:f>
      </x:c>
      <x:c r="G233" t="n">
        <x:f>IPO_Data_Collection!J233</x:f>
        <x:v>0</x:v>
      </x:c>
      <x:c r="H233" t="n">
        <x:f>IPO_Data_Collection!K233</x:f>
        <x:v>0</x:v>
      </x:c>
      <x:c r="I233" t="n">
        <x:f>IPO_Data_Collection!Q233</x:f>
        <x:v>0</x:v>
      </x:c>
      <x:c r="J233" t="n">
        <x:f>IPO_Data_Collection!S233</x:f>
        <x:v>0</x:v>
      </x:c>
      <x:c r="K233" t="n">
        <x:f>IPO_Data_Collection!T233</x:f>
        <x:v>0</x:v>
      </x:c>
      <x:c r="L233" t="n">
        <x:f>IPO_Data_Collection!U233</x:f>
        <x:v>0</x:v>
      </x:c>
      <x:c r="M233" t="str">
        <x:f>IF(COUNTA(B233:I233)&gt;=7,"Ready","Missing")</x:f>
        <x:v>Ready</x:v>
      </x:c>
    </x:row>
    <x:row r="234">
      <x:c r="A234" t="str">
        <x:f>IPO_Data_Collection!B234</x:f>
        <x:v>SJS Enterprises</x:v>
      </x:c>
      <x:c r="B234" t="n">
        <x:f>IPO_Data_Collection!D234</x:f>
        <x:v>0</x:v>
      </x:c>
      <x:c r="C234" t="n">
        <x:f>IPO_Data_Collection!E234</x:f>
        <x:v>0</x:v>
      </x:c>
      <x:c r="D234" t="n">
        <x:f>IPO_Data_Collection!F234</x:f>
        <x:v>0</x:v>
      </x:c>
      <x:c r="E234" t="n">
        <x:f>IPO_Data_Collection!G234</x:f>
        <x:v>0</x:v>
      </x:c>
      <x:c r="F234" t="str">
        <x:f>IFERROR(B234/D234,"")</x:f>
      </x:c>
      <x:c r="G234" t="n">
        <x:f>IPO_Data_Collection!J234</x:f>
        <x:v>0</x:v>
      </x:c>
      <x:c r="H234" t="n">
        <x:f>IPO_Data_Collection!K234</x:f>
        <x:v>0</x:v>
      </x:c>
      <x:c r="I234" t="n">
        <x:f>IPO_Data_Collection!Q234</x:f>
        <x:v>0</x:v>
      </x:c>
      <x:c r="J234" t="n">
        <x:f>IPO_Data_Collection!S234</x:f>
        <x:v>0</x:v>
      </x:c>
      <x:c r="K234" t="n">
        <x:f>IPO_Data_Collection!T234</x:f>
        <x:v>0</x:v>
      </x:c>
      <x:c r="L234" t="n">
        <x:f>IPO_Data_Collection!U234</x:f>
        <x:v>0</x:v>
      </x:c>
      <x:c r="M234" t="str">
        <x:f>IF(COUNTA(B234:I234)&gt;=7,"Ready","Missing")</x:f>
        <x:v>Ready</x:v>
      </x:c>
    </x:row>
    <x:row r="235">
      <x:c r="A235" t="str">
        <x:f>IPO_Data_Collection!B235</x:f>
        <x:v>Saatvik Green Energy Ltd</x:v>
      </x:c>
      <x:c r="B235" t="n">
        <x:f>IPO_Data_Collection!D235</x:f>
        <x:v>0</x:v>
      </x:c>
      <x:c r="C235" t="n">
        <x:f>IPO_Data_Collection!E235</x:f>
        <x:v>0</x:v>
      </x:c>
      <x:c r="D235" t="n">
        <x:f>IPO_Data_Collection!F235</x:f>
        <x:v>0</x:v>
      </x:c>
      <x:c r="E235" t="n">
        <x:f>IPO_Data_Collection!G235</x:f>
        <x:v>0</x:v>
      </x:c>
      <x:c r="F235" t="str">
        <x:f>IFERROR(B235/D235,"")</x:f>
      </x:c>
      <x:c r="G235" t="n">
        <x:f>IPO_Data_Collection!J235</x:f>
        <x:v>0</x:v>
      </x:c>
      <x:c r="H235" t="n">
        <x:f>IPO_Data_Collection!K235</x:f>
        <x:v>0</x:v>
      </x:c>
      <x:c r="I235" t="n">
        <x:f>IPO_Data_Collection!Q235</x:f>
        <x:v>0</x:v>
      </x:c>
      <x:c r="J235" t="n">
        <x:f>IPO_Data_Collection!S235</x:f>
        <x:v>0</x:v>
      </x:c>
      <x:c r="K235" t="n">
        <x:f>IPO_Data_Collection!T235</x:f>
        <x:v>0</x:v>
      </x:c>
      <x:c r="L235" t="n">
        <x:f>IPO_Data_Collection!U235</x:f>
        <x:v>0</x:v>
      </x:c>
      <x:c r="M235" t="str">
        <x:f>IF(COUNTA(B235:I235)&gt;=7,"Ready","Missing")</x:f>
        <x:v>Ready</x:v>
      </x:c>
    </x:row>
    <x:row r="236">
      <x:c r="A236" t="str">
        <x:f>IPO_Data_Collection!B236</x:f>
        <x:v>Sah Polymers</x:v>
      </x:c>
      <x:c r="B236" t="n">
        <x:f>IPO_Data_Collection!D236</x:f>
        <x:v>0</x:v>
      </x:c>
      <x:c r="C236" t="n">
        <x:f>IPO_Data_Collection!E236</x:f>
        <x:v>0</x:v>
      </x:c>
      <x:c r="D236" t="n">
        <x:f>IPO_Data_Collection!F236</x:f>
        <x:v>0</x:v>
      </x:c>
      <x:c r="E236" t="n">
        <x:f>IPO_Data_Collection!G236</x:f>
        <x:v>0</x:v>
      </x:c>
      <x:c r="F236" t="str">
        <x:f>IFERROR(B236/D236,"")</x:f>
      </x:c>
      <x:c r="G236" t="n">
        <x:f>IPO_Data_Collection!J236</x:f>
        <x:v>0</x:v>
      </x:c>
      <x:c r="H236" t="n">
        <x:f>IPO_Data_Collection!K236</x:f>
        <x:v>0</x:v>
      </x:c>
      <x:c r="I236" t="n">
        <x:f>IPO_Data_Collection!Q236</x:f>
        <x:v>0</x:v>
      </x:c>
      <x:c r="J236" t="n">
        <x:f>IPO_Data_Collection!S236</x:f>
        <x:v>0</x:v>
      </x:c>
      <x:c r="K236" t="n">
        <x:f>IPO_Data_Collection!T236</x:f>
        <x:v>0</x:v>
      </x:c>
      <x:c r="L236" t="n">
        <x:f>IPO_Data_Collection!U236</x:f>
        <x:v>0</x:v>
      </x:c>
      <x:c r="M236" t="str">
        <x:f>IF(COUNTA(B236:I236)&gt;=7,"Ready","Missing")</x:f>
        <x:v>Ready</x:v>
      </x:c>
    </x:row>
    <x:row r="237">
      <x:c r="A237" t="str">
        <x:f>IPO_Data_Collection!B237</x:f>
        <x:v>Sai Parenterals Ltd</x:v>
      </x:c>
      <x:c r="B237" t="n">
        <x:f>IPO_Data_Collection!D237</x:f>
        <x:v>0</x:v>
      </x:c>
      <x:c r="C237" t="n">
        <x:f>IPO_Data_Collection!E237</x:f>
        <x:v>0</x:v>
      </x:c>
      <x:c r="D237" t="n">
        <x:f>IPO_Data_Collection!F237</x:f>
        <x:v>0</x:v>
      </x:c>
      <x:c r="E237" t="n">
        <x:f>IPO_Data_Collection!G237</x:f>
        <x:v>0</x:v>
      </x:c>
      <x:c r="F237" t="str">
        <x:f>IFERROR(B237/D237,"")</x:f>
      </x:c>
      <x:c r="G237" t="n">
        <x:f>IPO_Data_Collection!J237</x:f>
        <x:v>0</x:v>
      </x:c>
      <x:c r="H237" t="n">
        <x:f>IPO_Data_Collection!K237</x:f>
        <x:v>0</x:v>
      </x:c>
      <x:c r="I237" t="n">
        <x:f>IPO_Data_Collection!Q237</x:f>
        <x:v>0</x:v>
      </x:c>
      <x:c r="J237" t="n">
        <x:f>IPO_Data_Collection!S237</x:f>
        <x:v>0</x:v>
      </x:c>
      <x:c r="K237" t="n">
        <x:f>IPO_Data_Collection!T237</x:f>
        <x:v>0</x:v>
      </x:c>
      <x:c r="L237" t="n">
        <x:f>IPO_Data_Collection!U237</x:f>
        <x:v>0</x:v>
      </x:c>
      <x:c r="M237" t="str">
        <x:f>IF(COUNTA(B237:I237)&gt;=7,"Ready","Missing")</x:f>
        <x:v>Ready</x:v>
      </x:c>
    </x:row>
    <x:row r="238">
      <x:c r="A238" t="str">
        <x:f>IPO_Data_Collection!B238</x:f>
        <x:v>Sai Silks</x:v>
      </x:c>
      <x:c r="B238" t="n">
        <x:f>IPO_Data_Collection!D238</x:f>
        <x:v>0</x:v>
      </x:c>
      <x:c r="C238" t="n">
        <x:f>IPO_Data_Collection!E238</x:f>
        <x:v>0</x:v>
      </x:c>
      <x:c r="D238" t="n">
        <x:f>IPO_Data_Collection!F238</x:f>
        <x:v>0</x:v>
      </x:c>
      <x:c r="E238" t="n">
        <x:f>IPO_Data_Collection!G238</x:f>
        <x:v>0</x:v>
      </x:c>
      <x:c r="F238" t="str">
        <x:f>IFERROR(B238/D238,"")</x:f>
      </x:c>
      <x:c r="G238" t="n">
        <x:f>IPO_Data_Collection!J238</x:f>
        <x:v>0</x:v>
      </x:c>
      <x:c r="H238" t="n">
        <x:f>IPO_Data_Collection!K238</x:f>
        <x:v>0</x:v>
      </x:c>
      <x:c r="I238" t="n">
        <x:f>IPO_Data_Collection!Q238</x:f>
        <x:v>0</x:v>
      </x:c>
      <x:c r="J238" t="n">
        <x:f>IPO_Data_Collection!S238</x:f>
        <x:v>0</x:v>
      </x:c>
      <x:c r="K238" t="n">
        <x:f>IPO_Data_Collection!T238</x:f>
        <x:v>0</x:v>
      </x:c>
      <x:c r="L238" t="n">
        <x:f>IPO_Data_Collection!U238</x:f>
        <x:v>0</x:v>
      </x:c>
      <x:c r="M238" t="str">
        <x:f>IF(COUNTA(B238:I238)&gt;=7,"Ready","Missing")</x:f>
        <x:v>Ready</x:v>
      </x:c>
    </x:row>
    <x:row r="239">
      <x:c r="A239" t="str">
        <x:f>IPO_Data_Collection!B239</x:f>
        <x:v>Samhi Hotels</x:v>
      </x:c>
      <x:c r="B239" t="n">
        <x:f>IPO_Data_Collection!D239</x:f>
        <x:v>0</x:v>
      </x:c>
      <x:c r="C239" t="n">
        <x:f>IPO_Data_Collection!E239</x:f>
        <x:v>0</x:v>
      </x:c>
      <x:c r="D239" t="n">
        <x:f>IPO_Data_Collection!F239</x:f>
        <x:v>0</x:v>
      </x:c>
      <x:c r="E239" t="n">
        <x:f>IPO_Data_Collection!G239</x:f>
        <x:v>0</x:v>
      </x:c>
      <x:c r="F239" t="str">
        <x:f>IFERROR(B239/D239,"")</x:f>
      </x:c>
      <x:c r="G239" t="n">
        <x:f>IPO_Data_Collection!J239</x:f>
        <x:v>0</x:v>
      </x:c>
      <x:c r="H239" t="n">
        <x:f>IPO_Data_Collection!K239</x:f>
        <x:v>0</x:v>
      </x:c>
      <x:c r="I239" t="n">
        <x:f>IPO_Data_Collection!Q239</x:f>
        <x:v>0</x:v>
      </x:c>
      <x:c r="J239" t="n">
        <x:f>IPO_Data_Collection!S239</x:f>
        <x:v>0</x:v>
      </x:c>
      <x:c r="K239" t="n">
        <x:f>IPO_Data_Collection!T239</x:f>
        <x:v>0</x:v>
      </x:c>
      <x:c r="L239" t="n">
        <x:f>IPO_Data_Collection!U239</x:f>
        <x:v>0</x:v>
      </x:c>
      <x:c r="M239" t="str">
        <x:f>IF(COUNTA(B239:I239)&gt;=7,"Ready","Missing")</x:f>
        <x:v>Ready</x:v>
      </x:c>
    </x:row>
    <x:row r="240">
      <x:c r="A240" t="str">
        <x:f>IPO_Data_Collection!B240</x:f>
        <x:v>Sambhv Steel Tubes Limited</x:v>
      </x:c>
      <x:c r="B240" t="n">
        <x:f>IPO_Data_Collection!D240</x:f>
        <x:v>0</x:v>
      </x:c>
      <x:c r="C240" t="n">
        <x:f>IPO_Data_Collection!E240</x:f>
        <x:v>0</x:v>
      </x:c>
      <x:c r="D240" t="n">
        <x:f>IPO_Data_Collection!F240</x:f>
        <x:v>0</x:v>
      </x:c>
      <x:c r="E240" t="n">
        <x:f>IPO_Data_Collection!G240</x:f>
        <x:v>0</x:v>
      </x:c>
      <x:c r="F240" t="str">
        <x:f>IFERROR(B240/D240,"")</x:f>
      </x:c>
      <x:c r="G240" t="n">
        <x:f>IPO_Data_Collection!J240</x:f>
        <x:v>0</x:v>
      </x:c>
      <x:c r="H240" t="n">
        <x:f>IPO_Data_Collection!K240</x:f>
        <x:v>0</x:v>
      </x:c>
      <x:c r="I240" t="n">
        <x:f>IPO_Data_Collection!Q240</x:f>
        <x:v>0</x:v>
      </x:c>
      <x:c r="J240" t="n">
        <x:f>IPO_Data_Collection!S240</x:f>
        <x:v>0</x:v>
      </x:c>
      <x:c r="K240" t="n">
        <x:f>IPO_Data_Collection!T240</x:f>
        <x:v>0</x:v>
      </x:c>
      <x:c r="L240" t="n">
        <x:f>IPO_Data_Collection!U240</x:f>
        <x:v>0</x:v>
      </x:c>
      <x:c r="M240" t="str">
        <x:f>IF(COUNTA(B240:I240)&gt;=7,"Ready","Missing")</x:f>
        <x:v>Ready</x:v>
      </x:c>
    </x:row>
    <x:row r="241">
      <x:c r="A241" t="str">
        <x:f>IPO_Data_Collection!B241</x:f>
        <x:v>Sansera Engineering</x:v>
      </x:c>
      <x:c r="B241" t="n">
        <x:f>IPO_Data_Collection!D241</x:f>
        <x:v>0</x:v>
      </x:c>
      <x:c r="C241" t="n">
        <x:f>IPO_Data_Collection!E241</x:f>
        <x:v>0</x:v>
      </x:c>
      <x:c r="D241" t="n">
        <x:f>IPO_Data_Collection!F241</x:f>
        <x:v>0</x:v>
      </x:c>
      <x:c r="E241" t="n">
        <x:f>IPO_Data_Collection!G241</x:f>
        <x:v>0</x:v>
      </x:c>
      <x:c r="F241" t="str">
        <x:f>IFERROR(B241/D241,"")</x:f>
      </x:c>
      <x:c r="G241" t="n">
        <x:f>IPO_Data_Collection!J241</x:f>
        <x:v>0</x:v>
      </x:c>
      <x:c r="H241" t="n">
        <x:f>IPO_Data_Collection!K241</x:f>
        <x:v>0</x:v>
      </x:c>
      <x:c r="I241" t="n">
        <x:f>IPO_Data_Collection!Q241</x:f>
        <x:v>0</x:v>
      </x:c>
      <x:c r="J241" t="n">
        <x:f>IPO_Data_Collection!S241</x:f>
        <x:v>0</x:v>
      </x:c>
      <x:c r="K241" t="n">
        <x:f>IPO_Data_Collection!T241</x:f>
        <x:v>0</x:v>
      </x:c>
      <x:c r="L241" t="n">
        <x:f>IPO_Data_Collection!U241</x:f>
        <x:v>0</x:v>
      </x:c>
      <x:c r="M241" t="str">
        <x:f>IF(COUNTA(B241:I241)&gt;=7,"Ready","Missing")</x:f>
        <x:v>Ready</x:v>
      </x:c>
    </x:row>
    <x:row r="242">
      <x:c r="A242" t="str">
        <x:f>IPO_Data_Collection!B242</x:f>
        <x:v>Sapphire Foods</x:v>
      </x:c>
      <x:c r="B242" t="n">
        <x:f>IPO_Data_Collection!D242</x:f>
        <x:v>0</x:v>
      </x:c>
      <x:c r="C242" t="n">
        <x:f>IPO_Data_Collection!E242</x:f>
        <x:v>0</x:v>
      </x:c>
      <x:c r="D242" t="n">
        <x:f>IPO_Data_Collection!F242</x:f>
        <x:v>0</x:v>
      </x:c>
      <x:c r="E242" t="n">
        <x:f>IPO_Data_Collection!G242</x:f>
        <x:v>0</x:v>
      </x:c>
      <x:c r="F242" t="str">
        <x:f>IFERROR(B242/D242,"")</x:f>
      </x:c>
      <x:c r="G242" t="n">
        <x:f>IPO_Data_Collection!J242</x:f>
        <x:v>0</x:v>
      </x:c>
      <x:c r="H242" t="n">
        <x:f>IPO_Data_Collection!K242</x:f>
        <x:v>0</x:v>
      </x:c>
      <x:c r="I242" t="n">
        <x:f>IPO_Data_Collection!Q242</x:f>
        <x:v>0</x:v>
      </x:c>
      <x:c r="J242" t="n">
        <x:f>IPO_Data_Collection!S242</x:f>
        <x:v>0</x:v>
      </x:c>
      <x:c r="K242" t="n">
        <x:f>IPO_Data_Collection!T242</x:f>
        <x:v>0</x:v>
      </x:c>
      <x:c r="L242" t="n">
        <x:f>IPO_Data_Collection!U242</x:f>
        <x:v>0</x:v>
      </x:c>
      <x:c r="M242" t="str">
        <x:f>IF(COUNTA(B242:I242)&gt;=7,"Ready","Missing")</x:f>
        <x:v>Ready</x:v>
      </x:c>
    </x:row>
    <x:row r="243">
      <x:c r="A243" t="str">
        <x:f>IPO_Data_Collection!B243</x:f>
        <x:v>Schloss Bangalore Limited</x:v>
      </x:c>
      <x:c r="B243" t="n">
        <x:f>IPO_Data_Collection!D243</x:f>
        <x:v>0</x:v>
      </x:c>
      <x:c r="C243" t="n">
        <x:f>IPO_Data_Collection!E243</x:f>
        <x:v>0</x:v>
      </x:c>
      <x:c r="D243" t="n">
        <x:f>IPO_Data_Collection!F243</x:f>
        <x:v>0</x:v>
      </x:c>
      <x:c r="E243" t="n">
        <x:f>IPO_Data_Collection!G243</x:f>
        <x:v>0</x:v>
      </x:c>
      <x:c r="F243" t="str">
        <x:f>IFERROR(B243/D243,"")</x:f>
      </x:c>
      <x:c r="G243" t="n">
        <x:f>IPO_Data_Collection!J243</x:f>
        <x:v>0</x:v>
      </x:c>
      <x:c r="H243" t="n">
        <x:f>IPO_Data_Collection!K243</x:f>
        <x:v>0</x:v>
      </x:c>
      <x:c r="I243" t="n">
        <x:f>IPO_Data_Collection!Q243</x:f>
        <x:v>0</x:v>
      </x:c>
      <x:c r="J243" t="n">
        <x:f>IPO_Data_Collection!S243</x:f>
        <x:v>0</x:v>
      </x:c>
      <x:c r="K243" t="n">
        <x:f>IPO_Data_Collection!T243</x:f>
        <x:v>0</x:v>
      </x:c>
      <x:c r="L243" t="n">
        <x:f>IPO_Data_Collection!U243</x:f>
        <x:v>0</x:v>
      </x:c>
      <x:c r="M243" t="str">
        <x:f>IF(COUNTA(B243:I243)&gt;=7,"Ready","Missing")</x:f>
        <x:v>Ready</x:v>
      </x:c>
    </x:row>
    <x:row r="244">
      <x:c r="A244" t="str">
        <x:f>IPO_Data_Collection!B244</x:f>
        <x:v>Scoda Tubes Limited</x:v>
      </x:c>
      <x:c r="B244" t="n">
        <x:f>IPO_Data_Collection!D244</x:f>
        <x:v>0</x:v>
      </x:c>
      <x:c r="C244" t="n">
        <x:f>IPO_Data_Collection!E244</x:f>
        <x:v>0</x:v>
      </x:c>
      <x:c r="D244" t="n">
        <x:f>IPO_Data_Collection!F244</x:f>
        <x:v>0</x:v>
      </x:c>
      <x:c r="E244" t="n">
        <x:f>IPO_Data_Collection!G244</x:f>
        <x:v>0</x:v>
      </x:c>
      <x:c r="F244" t="str">
        <x:f>IFERROR(B244/D244,"")</x:f>
      </x:c>
      <x:c r="G244" t="n">
        <x:f>IPO_Data_Collection!J244</x:f>
        <x:v>0</x:v>
      </x:c>
      <x:c r="H244" t="n">
        <x:f>IPO_Data_Collection!K244</x:f>
        <x:v>0</x:v>
      </x:c>
      <x:c r="I244" t="n">
        <x:f>IPO_Data_Collection!Q244</x:f>
        <x:v>0</x:v>
      </x:c>
      <x:c r="J244" t="n">
        <x:f>IPO_Data_Collection!S244</x:f>
        <x:v>0</x:v>
      </x:c>
      <x:c r="K244" t="n">
        <x:f>IPO_Data_Collection!T244</x:f>
        <x:v>0</x:v>
      </x:c>
      <x:c r="L244" t="n">
        <x:f>IPO_Data_Collection!U244</x:f>
        <x:v>0</x:v>
      </x:c>
      <x:c r="M244" t="str">
        <x:f>IF(COUNTA(B244:I244)&gt;=7,"Ready","Missing")</x:f>
        <x:v>Ready</x:v>
      </x:c>
    </x:row>
    <x:row r="245">
      <x:c r="A245" t="str">
        <x:f>IPO_Data_Collection!B245</x:f>
        <x:v>Senco Gold</x:v>
      </x:c>
      <x:c r="B245" t="n">
        <x:f>IPO_Data_Collection!D245</x:f>
        <x:v>0</x:v>
      </x:c>
      <x:c r="C245" t="n">
        <x:f>IPO_Data_Collection!E245</x:f>
        <x:v>0</x:v>
      </x:c>
      <x:c r="D245" t="n">
        <x:f>IPO_Data_Collection!F245</x:f>
        <x:v>0</x:v>
      </x:c>
      <x:c r="E245" t="n">
        <x:f>IPO_Data_Collection!G245</x:f>
        <x:v>0</x:v>
      </x:c>
      <x:c r="F245" t="str">
        <x:f>IFERROR(B245/D245,"")</x:f>
      </x:c>
      <x:c r="G245" t="n">
        <x:f>IPO_Data_Collection!J245</x:f>
        <x:v>0</x:v>
      </x:c>
      <x:c r="H245" t="n">
        <x:f>IPO_Data_Collection!K245</x:f>
        <x:v>0</x:v>
      </x:c>
      <x:c r="I245" t="n">
        <x:f>IPO_Data_Collection!Q245</x:f>
        <x:v>0</x:v>
      </x:c>
      <x:c r="J245" t="n">
        <x:f>IPO_Data_Collection!S245</x:f>
        <x:v>0</x:v>
      </x:c>
      <x:c r="K245" t="n">
        <x:f>IPO_Data_Collection!T245</x:f>
        <x:v>0</x:v>
      </x:c>
      <x:c r="L245" t="n">
        <x:f>IPO_Data_Collection!U245</x:f>
        <x:v>0</x:v>
      </x:c>
      <x:c r="M245" t="str">
        <x:f>IF(COUNTA(B245:I245)&gt;=7,"Ready","Missing")</x:f>
        <x:v>Ready</x:v>
      </x:c>
    </x:row>
    <x:row r="246">
      <x:c r="A246" t="str">
        <x:f>IPO_Data_Collection!B246</x:f>
        <x:v>Senores Pharma</x:v>
      </x:c>
      <x:c r="B246" t="n">
        <x:f>IPO_Data_Collection!D246</x:f>
        <x:v>0</x:v>
      </x:c>
      <x:c r="C246" t="n">
        <x:f>IPO_Data_Collection!E246</x:f>
        <x:v>0</x:v>
      </x:c>
      <x:c r="D246" t="n">
        <x:f>IPO_Data_Collection!F246</x:f>
        <x:v>0</x:v>
      </x:c>
      <x:c r="E246" t="n">
        <x:f>IPO_Data_Collection!G246</x:f>
        <x:v>0</x:v>
      </x:c>
      <x:c r="F246" t="str">
        <x:f>IFERROR(B246/D246,"")</x:f>
      </x:c>
      <x:c r="G246" t="n">
        <x:f>IPO_Data_Collection!J246</x:f>
        <x:v>0</x:v>
      </x:c>
      <x:c r="H246" t="n">
        <x:f>IPO_Data_Collection!K246</x:f>
        <x:v>0</x:v>
      </x:c>
      <x:c r="I246" t="n">
        <x:f>IPO_Data_Collection!Q246</x:f>
        <x:v>0</x:v>
      </x:c>
      <x:c r="J246" t="n">
        <x:f>IPO_Data_Collection!S246</x:f>
        <x:v>0</x:v>
      </x:c>
      <x:c r="K246" t="n">
        <x:f>IPO_Data_Collection!T246</x:f>
        <x:v>0</x:v>
      </x:c>
      <x:c r="L246" t="n">
        <x:f>IPO_Data_Collection!U246</x:f>
        <x:v>0</x:v>
      </x:c>
      <x:c r="M246" t="str">
        <x:f>IF(COUNTA(B246:I246)&gt;=7,"Ready","Missing")</x:f>
        <x:v>Ready</x:v>
      </x:c>
    </x:row>
    <x:row r="247">
      <x:c r="A247" t="str">
        <x:f>IPO_Data_Collection!B247</x:f>
        <x:v>Seshaasai Technologies Ltd</x:v>
      </x:c>
      <x:c r="B247" t="n">
        <x:f>IPO_Data_Collection!D247</x:f>
        <x:v>0</x:v>
      </x:c>
      <x:c r="C247" t="n">
        <x:f>IPO_Data_Collection!E247</x:f>
        <x:v>0</x:v>
      </x:c>
      <x:c r="D247" t="n">
        <x:f>IPO_Data_Collection!F247</x:f>
        <x:v>0</x:v>
      </x:c>
      <x:c r="E247" t="n">
        <x:f>IPO_Data_Collection!G247</x:f>
        <x:v>0</x:v>
      </x:c>
      <x:c r="F247" t="str">
        <x:f>IFERROR(B247/D247,"")</x:f>
      </x:c>
      <x:c r="G247" t="n">
        <x:f>IPO_Data_Collection!J247</x:f>
        <x:v>0</x:v>
      </x:c>
      <x:c r="H247" t="n">
        <x:f>IPO_Data_Collection!K247</x:f>
        <x:v>0</x:v>
      </x:c>
      <x:c r="I247" t="n">
        <x:f>IPO_Data_Collection!Q247</x:f>
        <x:v>0</x:v>
      </x:c>
      <x:c r="J247" t="n">
        <x:f>IPO_Data_Collection!S247</x:f>
        <x:v>0</x:v>
      </x:c>
      <x:c r="K247" t="n">
        <x:f>IPO_Data_Collection!T247</x:f>
        <x:v>0</x:v>
      </x:c>
      <x:c r="L247" t="n">
        <x:f>IPO_Data_Collection!U247</x:f>
        <x:v>0</x:v>
      </x:c>
      <x:c r="M247" t="str">
        <x:f>IF(COUNTA(B247:I247)&gt;=7,"Ready","Missing")</x:f>
        <x:v>Ready</x:v>
      </x:c>
    </x:row>
    <x:row r="248">
      <x:c r="A248" t="str">
        <x:f>IPO_Data_Collection!B248</x:f>
        <x:v>Shadowfax Technologies Ltd</x:v>
      </x:c>
      <x:c r="B248" t="n">
        <x:f>IPO_Data_Collection!D248</x:f>
        <x:v>0</x:v>
      </x:c>
      <x:c r="C248" t="n">
        <x:f>IPO_Data_Collection!E248</x:f>
        <x:v>0</x:v>
      </x:c>
      <x:c r="D248" t="n">
        <x:f>IPO_Data_Collection!F248</x:f>
        <x:v>0</x:v>
      </x:c>
      <x:c r="E248" t="n">
        <x:f>IPO_Data_Collection!G248</x:f>
        <x:v>0</x:v>
      </x:c>
      <x:c r="F248" t="str">
        <x:f>IFERROR(B248/D248,"")</x:f>
      </x:c>
      <x:c r="G248" t="n">
        <x:f>IPO_Data_Collection!J248</x:f>
        <x:v>0</x:v>
      </x:c>
      <x:c r="H248" t="n">
        <x:f>IPO_Data_Collection!K248</x:f>
        <x:v>0</x:v>
      </x:c>
      <x:c r="I248" t="n">
        <x:f>IPO_Data_Collection!Q248</x:f>
        <x:v>0</x:v>
      </x:c>
      <x:c r="J248" t="n">
        <x:f>IPO_Data_Collection!S248</x:f>
        <x:v>0</x:v>
      </x:c>
      <x:c r="K248" t="n">
        <x:f>IPO_Data_Collection!T248</x:f>
        <x:v>0</x:v>
      </x:c>
      <x:c r="L248" t="n">
        <x:f>IPO_Data_Collection!U248</x:f>
        <x:v>0</x:v>
      </x:c>
      <x:c r="M248" t="str">
        <x:f>IF(COUNTA(B248:I248)&gt;=7,"Ready","Missing")</x:f>
        <x:v>Ready</x:v>
      </x:c>
    </x:row>
    <x:row r="249">
      <x:c r="A249" t="str">
        <x:f>IPO_Data_Collection!B249</x:f>
        <x:v>Shanti Gold International Ltd</x:v>
      </x:c>
      <x:c r="B249" t="n">
        <x:f>IPO_Data_Collection!D249</x:f>
        <x:v>0</x:v>
      </x:c>
      <x:c r="C249" t="n">
        <x:f>IPO_Data_Collection!E249</x:f>
        <x:v>0</x:v>
      </x:c>
      <x:c r="D249" t="n">
        <x:f>IPO_Data_Collection!F249</x:f>
        <x:v>0</x:v>
      </x:c>
      <x:c r="E249" t="n">
        <x:f>IPO_Data_Collection!G249</x:f>
        <x:v>0</x:v>
      </x:c>
      <x:c r="F249" t="str">
        <x:f>IFERROR(B249/D249,"")</x:f>
      </x:c>
      <x:c r="G249" t="n">
        <x:f>IPO_Data_Collection!J249</x:f>
        <x:v>0</x:v>
      </x:c>
      <x:c r="H249" t="n">
        <x:f>IPO_Data_Collection!K249</x:f>
        <x:v>0</x:v>
      </x:c>
      <x:c r="I249" t="n">
        <x:f>IPO_Data_Collection!Q249</x:f>
        <x:v>0</x:v>
      </x:c>
      <x:c r="J249" t="n">
        <x:f>IPO_Data_Collection!S249</x:f>
        <x:v>0</x:v>
      </x:c>
      <x:c r="K249" t="n">
        <x:f>IPO_Data_Collection!T249</x:f>
        <x:v>0</x:v>
      </x:c>
      <x:c r="L249" t="n">
        <x:f>IPO_Data_Collection!U249</x:f>
        <x:v>0</x:v>
      </x:c>
      <x:c r="M249" t="str">
        <x:f>IF(COUNTA(B249:I249)&gt;=7,"Ready","Missing")</x:f>
        <x:v>Ready</x:v>
      </x:c>
    </x:row>
    <x:row r="250">
      <x:c r="A250" t="str">
        <x:f>IPO_Data_Collection!B250</x:f>
        <x:v>Shreeji Shipping Global Ltd</x:v>
      </x:c>
      <x:c r="B250" t="n">
        <x:f>IPO_Data_Collection!D250</x:f>
        <x:v>0</x:v>
      </x:c>
      <x:c r="C250" t="n">
        <x:f>IPO_Data_Collection!E250</x:f>
        <x:v>0</x:v>
      </x:c>
      <x:c r="D250" t="n">
        <x:f>IPO_Data_Collection!F250</x:f>
        <x:v>0</x:v>
      </x:c>
      <x:c r="E250" t="n">
        <x:f>IPO_Data_Collection!G250</x:f>
        <x:v>0</x:v>
      </x:c>
      <x:c r="F250" t="str">
        <x:f>IFERROR(B250/D250,"")</x:f>
      </x:c>
      <x:c r="G250" t="n">
        <x:f>IPO_Data_Collection!J250</x:f>
        <x:v>0</x:v>
      </x:c>
      <x:c r="H250" t="n">
        <x:f>IPO_Data_Collection!K250</x:f>
        <x:v>0</x:v>
      </x:c>
      <x:c r="I250" t="n">
        <x:f>IPO_Data_Collection!Q250</x:f>
        <x:v>0</x:v>
      </x:c>
      <x:c r="J250" t="n">
        <x:f>IPO_Data_Collection!S250</x:f>
        <x:v>0</x:v>
      </x:c>
      <x:c r="K250" t="n">
        <x:f>IPO_Data_Collection!T250</x:f>
        <x:v>0</x:v>
      </x:c>
      <x:c r="L250" t="n">
        <x:f>IPO_Data_Collection!U250</x:f>
        <x:v>0</x:v>
      </x:c>
      <x:c r="M250" t="str">
        <x:f>IF(COUNTA(B250:I250)&gt;=7,"Ready","Missing")</x:f>
        <x:v>Ready</x:v>
      </x:c>
    </x:row>
    <x:row r="251">
      <x:c r="A251" t="str">
        <x:f>IPO_Data_Collection!B251</x:f>
        <x:v>Shringar House of Mangalsutra Ltd</x:v>
      </x:c>
      <x:c r="B251" t="n">
        <x:f>IPO_Data_Collection!D251</x:f>
        <x:v>0</x:v>
      </x:c>
      <x:c r="C251" t="n">
        <x:f>IPO_Data_Collection!E251</x:f>
        <x:v>0</x:v>
      </x:c>
      <x:c r="D251" t="n">
        <x:f>IPO_Data_Collection!F251</x:f>
        <x:v>0</x:v>
      </x:c>
      <x:c r="E251" t="n">
        <x:f>IPO_Data_Collection!G251</x:f>
        <x:v>0</x:v>
      </x:c>
      <x:c r="F251" t="str">
        <x:f>IFERROR(B251/D251,"")</x:f>
      </x:c>
      <x:c r="G251" t="n">
        <x:f>IPO_Data_Collection!J251</x:f>
        <x:v>0</x:v>
      </x:c>
      <x:c r="H251" t="n">
        <x:f>IPO_Data_Collection!K251</x:f>
        <x:v>0</x:v>
      </x:c>
      <x:c r="I251" t="n">
        <x:f>IPO_Data_Collection!Q251</x:f>
        <x:v>0</x:v>
      </x:c>
      <x:c r="J251" t="n">
        <x:f>IPO_Data_Collection!S251</x:f>
        <x:v>0</x:v>
      </x:c>
      <x:c r="K251" t="n">
        <x:f>IPO_Data_Collection!T251</x:f>
        <x:v>0</x:v>
      </x:c>
      <x:c r="L251" t="n">
        <x:f>IPO_Data_Collection!U251</x:f>
        <x:v>0</x:v>
      </x:c>
      <x:c r="M251" t="str">
        <x:f>IF(COUNTA(B251:I251)&gt;=7,"Ready","Missing")</x:f>
        <x:v>Ready</x:v>
      </x:c>
    </x:row>
    <x:row r="252">
      <x:c r="A252" t="str">
        <x:f>IPO_Data_Collection!B252</x:f>
        <x:v>Shriram Properties</x:v>
      </x:c>
      <x:c r="B252" t="n">
        <x:f>IPO_Data_Collection!D252</x:f>
        <x:v>0</x:v>
      </x:c>
      <x:c r="C252" t="n">
        <x:f>IPO_Data_Collection!E252</x:f>
        <x:v>0</x:v>
      </x:c>
      <x:c r="D252" t="n">
        <x:f>IPO_Data_Collection!F252</x:f>
        <x:v>0</x:v>
      </x:c>
      <x:c r="E252" t="n">
        <x:f>IPO_Data_Collection!G252</x:f>
        <x:v>0</x:v>
      </x:c>
      <x:c r="F252" t="str">
        <x:f>IFERROR(B252/D252,"")</x:f>
      </x:c>
      <x:c r="G252" t="n">
        <x:f>IPO_Data_Collection!J252</x:f>
        <x:v>0</x:v>
      </x:c>
      <x:c r="H252" t="n">
        <x:f>IPO_Data_Collection!K252</x:f>
        <x:v>0</x:v>
      </x:c>
      <x:c r="I252" t="n">
        <x:f>IPO_Data_Collection!Q252</x:f>
        <x:v>0</x:v>
      </x:c>
      <x:c r="J252" t="n">
        <x:f>IPO_Data_Collection!S252</x:f>
        <x:v>0</x:v>
      </x:c>
      <x:c r="K252" t="n">
        <x:f>IPO_Data_Collection!T252</x:f>
        <x:v>0</x:v>
      </x:c>
      <x:c r="L252" t="n">
        <x:f>IPO_Data_Collection!U252</x:f>
        <x:v>0</x:v>
      </x:c>
      <x:c r="M252" t="str">
        <x:f>IF(COUNTA(B252:I252)&gt;=7,"Ready","Missing")</x:f>
        <x:v>Ready</x:v>
      </x:c>
    </x:row>
    <x:row r="253">
      <x:c r="A253" t="str">
        <x:f>IPO_Data_Collection!B253</x:f>
        <x:v>Shyam Metalics</x:v>
      </x:c>
      <x:c r="B253" t="n">
        <x:f>IPO_Data_Collection!D253</x:f>
        <x:v>0</x:v>
      </x:c>
      <x:c r="C253" t="n">
        <x:f>IPO_Data_Collection!E253</x:f>
        <x:v>0</x:v>
      </x:c>
      <x:c r="D253" t="n">
        <x:f>IPO_Data_Collection!F253</x:f>
        <x:v>0</x:v>
      </x:c>
      <x:c r="E253" t="n">
        <x:f>IPO_Data_Collection!G253</x:f>
        <x:v>0</x:v>
      </x:c>
      <x:c r="F253" t="str">
        <x:f>IFERROR(B253/D253,"")</x:f>
      </x:c>
      <x:c r="G253" t="n">
        <x:f>IPO_Data_Collection!J253</x:f>
        <x:v>0</x:v>
      </x:c>
      <x:c r="H253" t="n">
        <x:f>IPO_Data_Collection!K253</x:f>
        <x:v>0</x:v>
      </x:c>
      <x:c r="I253" t="n">
        <x:f>IPO_Data_Collection!Q253</x:f>
        <x:v>0</x:v>
      </x:c>
      <x:c r="J253" t="n">
        <x:f>IPO_Data_Collection!S253</x:f>
        <x:v>0</x:v>
      </x:c>
      <x:c r="K253" t="n">
        <x:f>IPO_Data_Collection!T253</x:f>
        <x:v>0</x:v>
      </x:c>
      <x:c r="L253" t="n">
        <x:f>IPO_Data_Collection!U253</x:f>
        <x:v>0</x:v>
      </x:c>
      <x:c r="M253" t="str">
        <x:f>IF(COUNTA(B253:I253)&gt;=7,"Ready","Missing")</x:f>
        <x:v>Ready</x:v>
      </x:c>
    </x:row>
    <x:row r="254">
      <x:c r="A254" t="str">
        <x:f>IPO_Data_Collection!B254</x:f>
        <x:v>Sigachi Industries</x:v>
      </x:c>
      <x:c r="B254" t="n">
        <x:f>IPO_Data_Collection!D254</x:f>
        <x:v>0</x:v>
      </x:c>
      <x:c r="C254" t="n">
        <x:f>IPO_Data_Collection!E254</x:f>
        <x:v>0</x:v>
      </x:c>
      <x:c r="D254" t="n">
        <x:f>IPO_Data_Collection!F254</x:f>
        <x:v>0</x:v>
      </x:c>
      <x:c r="E254" t="n">
        <x:f>IPO_Data_Collection!G254</x:f>
        <x:v>0</x:v>
      </x:c>
      <x:c r="F254" t="str">
        <x:f>IFERROR(B254/D254,"")</x:f>
      </x:c>
      <x:c r="G254" t="n">
        <x:f>IPO_Data_Collection!J254</x:f>
        <x:v>0</x:v>
      </x:c>
      <x:c r="H254" t="n">
        <x:f>IPO_Data_Collection!K254</x:f>
        <x:v>0</x:v>
      </x:c>
      <x:c r="I254" t="n">
        <x:f>IPO_Data_Collection!Q254</x:f>
        <x:v>0</x:v>
      </x:c>
      <x:c r="J254" t="n">
        <x:f>IPO_Data_Collection!S254</x:f>
        <x:v>0</x:v>
      </x:c>
      <x:c r="K254" t="n">
        <x:f>IPO_Data_Collection!T254</x:f>
        <x:v>0</x:v>
      </x:c>
      <x:c r="L254" t="n">
        <x:f>IPO_Data_Collection!U254</x:f>
        <x:v>0</x:v>
      </x:c>
      <x:c r="M254" t="str">
        <x:f>IF(COUNTA(B254:I254)&gt;=7,"Ready","Missing")</x:f>
        <x:v>Ready</x:v>
      </x:c>
    </x:row>
    <x:row r="255">
      <x:c r="A255" t="str">
        <x:f>IPO_Data_Collection!B255</x:f>
        <x:v>Signature Global</x:v>
      </x:c>
      <x:c r="B255" t="n">
        <x:f>IPO_Data_Collection!D255</x:f>
        <x:v>0</x:v>
      </x:c>
      <x:c r="C255" t="n">
        <x:f>IPO_Data_Collection!E255</x:f>
        <x:v>0</x:v>
      </x:c>
      <x:c r="D255" t="n">
        <x:f>IPO_Data_Collection!F255</x:f>
        <x:v>0</x:v>
      </x:c>
      <x:c r="E255" t="n">
        <x:f>IPO_Data_Collection!G255</x:f>
        <x:v>0</x:v>
      </x:c>
      <x:c r="F255" t="str">
        <x:f>IFERROR(B255/D255,"")</x:f>
      </x:c>
      <x:c r="G255" t="n">
        <x:f>IPO_Data_Collection!J255</x:f>
        <x:v>0</x:v>
      </x:c>
      <x:c r="H255" t="n">
        <x:f>IPO_Data_Collection!K255</x:f>
        <x:v>0</x:v>
      </x:c>
      <x:c r="I255" t="n">
        <x:f>IPO_Data_Collection!Q255</x:f>
        <x:v>0</x:v>
      </x:c>
      <x:c r="J255" t="n">
        <x:f>IPO_Data_Collection!S255</x:f>
        <x:v>0</x:v>
      </x:c>
      <x:c r="K255" t="n">
        <x:f>IPO_Data_Collection!T255</x:f>
        <x:v>0</x:v>
      </x:c>
      <x:c r="L255" t="n">
        <x:f>IPO_Data_Collection!U255</x:f>
        <x:v>0</x:v>
      </x:c>
      <x:c r="M255" t="str">
        <x:f>IF(COUNTA(B255:I255)&gt;=7,"Ready","Missing")</x:f>
        <x:v>Ready</x:v>
      </x:c>
    </x:row>
    <x:row r="256">
      <x:c r="A256" t="str">
        <x:f>IPO_Data_Collection!B256</x:f>
        <x:v>Smartworks Coworking Spaces Ltd</x:v>
      </x:c>
      <x:c r="B256" t="n">
        <x:f>IPO_Data_Collection!D256</x:f>
        <x:v>0</x:v>
      </x:c>
      <x:c r="C256" t="n">
        <x:f>IPO_Data_Collection!E256</x:f>
        <x:v>0</x:v>
      </x:c>
      <x:c r="D256" t="n">
        <x:f>IPO_Data_Collection!F256</x:f>
        <x:v>0</x:v>
      </x:c>
      <x:c r="E256" t="n">
        <x:f>IPO_Data_Collection!G256</x:f>
        <x:v>0</x:v>
      </x:c>
      <x:c r="F256" t="str">
        <x:f>IFERROR(B256/D256,"")</x:f>
      </x:c>
      <x:c r="G256" t="n">
        <x:f>IPO_Data_Collection!J256</x:f>
        <x:v>0</x:v>
      </x:c>
      <x:c r="H256" t="n">
        <x:f>IPO_Data_Collection!K256</x:f>
        <x:v>0</x:v>
      </x:c>
      <x:c r="I256" t="n">
        <x:f>IPO_Data_Collection!Q256</x:f>
        <x:v>0</x:v>
      </x:c>
      <x:c r="J256" t="n">
        <x:f>IPO_Data_Collection!S256</x:f>
        <x:v>0</x:v>
      </x:c>
      <x:c r="K256" t="n">
        <x:f>IPO_Data_Collection!T256</x:f>
        <x:v>0</x:v>
      </x:c>
      <x:c r="L256" t="n">
        <x:f>IPO_Data_Collection!U256</x:f>
        <x:v>0</x:v>
      </x:c>
      <x:c r="M256" t="str">
        <x:f>IF(COUNTA(B256:I256)&gt;=7,"Ready","Missing")</x:f>
        <x:v>Ready</x:v>
      </x:c>
    </x:row>
    <x:row r="257">
      <x:c r="A257" t="str">
        <x:f>IPO_Data_Collection!B257</x:f>
        <x:v>Solarworld Energy Solutions Ltd</x:v>
      </x:c>
      <x:c r="B257" t="n">
        <x:f>IPO_Data_Collection!D257</x:f>
        <x:v>0</x:v>
      </x:c>
      <x:c r="C257" t="n">
        <x:f>IPO_Data_Collection!E257</x:f>
        <x:v>0</x:v>
      </x:c>
      <x:c r="D257" t="n">
        <x:f>IPO_Data_Collection!F257</x:f>
        <x:v>0</x:v>
      </x:c>
      <x:c r="E257" t="n">
        <x:f>IPO_Data_Collection!G257</x:f>
        <x:v>0</x:v>
      </x:c>
      <x:c r="F257" t="str">
        <x:f>IFERROR(B257/D257,"")</x:f>
      </x:c>
      <x:c r="G257" t="n">
        <x:f>IPO_Data_Collection!J257</x:f>
        <x:v>0</x:v>
      </x:c>
      <x:c r="H257" t="n">
        <x:f>IPO_Data_Collection!K257</x:f>
        <x:v>0</x:v>
      </x:c>
      <x:c r="I257" t="n">
        <x:f>IPO_Data_Collection!Q257</x:f>
        <x:v>0</x:v>
      </x:c>
      <x:c r="J257" t="n">
        <x:f>IPO_Data_Collection!S257</x:f>
        <x:v>0</x:v>
      </x:c>
      <x:c r="K257" t="n">
        <x:f>IPO_Data_Collection!T257</x:f>
        <x:v>0</x:v>
      </x:c>
      <x:c r="L257" t="n">
        <x:f>IPO_Data_Collection!U257</x:f>
        <x:v>0</x:v>
      </x:c>
      <x:c r="M257" t="str">
        <x:f>IF(COUNTA(B257:I257)&gt;=7,"Ready","Missing")</x:f>
        <x:v>Ready</x:v>
      </x:c>
    </x:row>
    <x:row r="258">
      <x:c r="A258" t="str">
        <x:f>IPO_Data_Collection!B258</x:f>
        <x:v>Sona BLW</x:v>
      </x:c>
      <x:c r="B258" t="n">
        <x:f>IPO_Data_Collection!D258</x:f>
        <x:v>0</x:v>
      </x:c>
      <x:c r="C258" t="n">
        <x:f>IPO_Data_Collection!E258</x:f>
        <x:v>0</x:v>
      </x:c>
      <x:c r="D258" t="n">
        <x:f>IPO_Data_Collection!F258</x:f>
        <x:v>0</x:v>
      </x:c>
      <x:c r="E258" t="n">
        <x:f>IPO_Data_Collection!G258</x:f>
        <x:v>0</x:v>
      </x:c>
      <x:c r="F258" t="str">
        <x:f>IFERROR(B258/D258,"")</x:f>
      </x:c>
      <x:c r="G258" t="n">
        <x:f>IPO_Data_Collection!J258</x:f>
        <x:v>0</x:v>
      </x:c>
      <x:c r="H258" t="n">
        <x:f>IPO_Data_Collection!K258</x:f>
        <x:v>0</x:v>
      </x:c>
      <x:c r="I258" t="n">
        <x:f>IPO_Data_Collection!Q258</x:f>
        <x:v>0</x:v>
      </x:c>
      <x:c r="J258" t="n">
        <x:f>IPO_Data_Collection!S258</x:f>
        <x:v>0</x:v>
      </x:c>
      <x:c r="K258" t="n">
        <x:f>IPO_Data_Collection!T258</x:f>
        <x:v>0</x:v>
      </x:c>
      <x:c r="L258" t="n">
        <x:f>IPO_Data_Collection!U258</x:f>
        <x:v>0</x:v>
      </x:c>
      <x:c r="M258" t="str">
        <x:f>IF(COUNTA(B258:I258)&gt;=7,"Ready","Missing")</x:f>
        <x:v>Ready</x:v>
      </x:c>
    </x:row>
    <x:row r="259">
      <x:c r="A259" t="str">
        <x:f>IPO_Data_Collection!B259</x:f>
        <x:v>Sri Lotus Developers &amp; Realty Ltd</x:v>
      </x:c>
      <x:c r="B259" t="n">
        <x:f>IPO_Data_Collection!D259</x:f>
        <x:v>0</x:v>
      </x:c>
      <x:c r="C259" t="n">
        <x:f>IPO_Data_Collection!E259</x:f>
        <x:v>0</x:v>
      </x:c>
      <x:c r="D259" t="n">
        <x:f>IPO_Data_Collection!F259</x:f>
        <x:v>0</x:v>
      </x:c>
      <x:c r="E259" t="n">
        <x:f>IPO_Data_Collection!G259</x:f>
        <x:v>0</x:v>
      </x:c>
      <x:c r="F259" t="str">
        <x:f>IFERROR(B259/D259,"")</x:f>
      </x:c>
      <x:c r="G259" t="n">
        <x:f>IPO_Data_Collection!J259</x:f>
        <x:v>0</x:v>
      </x:c>
      <x:c r="H259" t="n">
        <x:f>IPO_Data_Collection!K259</x:f>
        <x:v>0</x:v>
      </x:c>
      <x:c r="I259" t="n">
        <x:f>IPO_Data_Collection!Q259</x:f>
        <x:v>0</x:v>
      </x:c>
      <x:c r="J259" t="n">
        <x:f>IPO_Data_Collection!S259</x:f>
        <x:v>0</x:v>
      </x:c>
      <x:c r="K259" t="n">
        <x:f>IPO_Data_Collection!T259</x:f>
        <x:v>0</x:v>
      </x:c>
      <x:c r="L259" t="n">
        <x:f>IPO_Data_Collection!U259</x:f>
        <x:v>0</x:v>
      </x:c>
      <x:c r="M259" t="str">
        <x:f>IF(COUNTA(B259:I259)&gt;=7,"Ready","Missing")</x:f>
        <x:v>Ready</x:v>
      </x:c>
    </x:row>
    <x:row r="260">
      <x:c r="A260" t="str">
        <x:f>IPO_Data_Collection!B260</x:f>
        <x:v>Star Health</x:v>
      </x:c>
      <x:c r="B260" t="n">
        <x:f>IPO_Data_Collection!D260</x:f>
        <x:v>0</x:v>
      </x:c>
      <x:c r="C260" t="n">
        <x:f>IPO_Data_Collection!E260</x:f>
        <x:v>0</x:v>
      </x:c>
      <x:c r="D260" t="n">
        <x:f>IPO_Data_Collection!F260</x:f>
        <x:v>0</x:v>
      </x:c>
      <x:c r="E260" t="n">
        <x:f>IPO_Data_Collection!G260</x:f>
        <x:v>0</x:v>
      </x:c>
      <x:c r="F260" t="str">
        <x:f>IFERROR(B260/D260,"")</x:f>
      </x:c>
      <x:c r="G260" t="n">
        <x:f>IPO_Data_Collection!J260</x:f>
        <x:v>0</x:v>
      </x:c>
      <x:c r="H260" t="n">
        <x:f>IPO_Data_Collection!K260</x:f>
        <x:v>0</x:v>
      </x:c>
      <x:c r="I260" t="n">
        <x:f>IPO_Data_Collection!Q260</x:f>
        <x:v>0</x:v>
      </x:c>
      <x:c r="J260" t="n">
        <x:f>IPO_Data_Collection!S260</x:f>
        <x:v>0</x:v>
      </x:c>
      <x:c r="K260" t="n">
        <x:f>IPO_Data_Collection!T260</x:f>
        <x:v>0</x:v>
      </x:c>
      <x:c r="L260" t="n">
        <x:f>IPO_Data_Collection!U260</x:f>
        <x:v>0</x:v>
      </x:c>
      <x:c r="M260" t="str">
        <x:f>IF(COUNTA(B260:I260)&gt;=7,"Ready","Missing")</x:f>
        <x:v>Ready</x:v>
      </x:c>
    </x:row>
    <x:row r="261">
      <x:c r="A261" t="str">
        <x:f>IPO_Data_Collection!B261</x:f>
        <x:v>Stove Kraft</x:v>
      </x:c>
      <x:c r="B261" t="n">
        <x:f>IPO_Data_Collection!D261</x:f>
        <x:v>0</x:v>
      </x:c>
      <x:c r="C261" t="n">
        <x:f>IPO_Data_Collection!E261</x:f>
        <x:v>0</x:v>
      </x:c>
      <x:c r="D261" t="n">
        <x:f>IPO_Data_Collection!F261</x:f>
        <x:v>0</x:v>
      </x:c>
      <x:c r="E261" t="n">
        <x:f>IPO_Data_Collection!G261</x:f>
        <x:v>0</x:v>
      </x:c>
      <x:c r="F261" t="str">
        <x:f>IFERROR(B261/D261,"")</x:f>
      </x:c>
      <x:c r="G261" t="n">
        <x:f>IPO_Data_Collection!J261</x:f>
        <x:v>0</x:v>
      </x:c>
      <x:c r="H261" t="n">
        <x:f>IPO_Data_Collection!K261</x:f>
        <x:v>0</x:v>
      </x:c>
      <x:c r="I261" t="n">
        <x:f>IPO_Data_Collection!Q261</x:f>
        <x:v>0</x:v>
      </x:c>
      <x:c r="J261" t="n">
        <x:f>IPO_Data_Collection!S261</x:f>
        <x:v>0</x:v>
      </x:c>
      <x:c r="K261" t="n">
        <x:f>IPO_Data_Collection!T261</x:f>
        <x:v>0</x:v>
      </x:c>
      <x:c r="L261" t="n">
        <x:f>IPO_Data_Collection!U261</x:f>
        <x:v>0</x:v>
      </x:c>
      <x:c r="M261" t="str">
        <x:f>IF(COUNTA(B261:I261)&gt;=7,"Ready","Missing")</x:f>
        <x:v>Ready</x:v>
      </x:c>
    </x:row>
    <x:row r="262">
      <x:c r="A262" t="str">
        <x:f>IPO_Data_Collection!B262</x:f>
        <x:v>Studds Accessories Ltd</x:v>
      </x:c>
      <x:c r="B262" t="n">
        <x:f>IPO_Data_Collection!D262</x:f>
        <x:v>0</x:v>
      </x:c>
      <x:c r="C262" t="n">
        <x:f>IPO_Data_Collection!E262</x:f>
        <x:v>0</x:v>
      </x:c>
      <x:c r="D262" t="n">
        <x:f>IPO_Data_Collection!F262</x:f>
        <x:v>0</x:v>
      </x:c>
      <x:c r="E262" t="n">
        <x:f>IPO_Data_Collection!G262</x:f>
        <x:v>0</x:v>
      </x:c>
      <x:c r="F262" t="str">
        <x:f>IFERROR(B262/D262,"")</x:f>
      </x:c>
      <x:c r="G262" t="n">
        <x:f>IPO_Data_Collection!J262</x:f>
        <x:v>0</x:v>
      </x:c>
      <x:c r="H262" t="n">
        <x:f>IPO_Data_Collection!K262</x:f>
        <x:v>0</x:v>
      </x:c>
      <x:c r="I262" t="n">
        <x:f>IPO_Data_Collection!Q262</x:f>
        <x:v>0</x:v>
      </x:c>
      <x:c r="J262" t="n">
        <x:f>IPO_Data_Collection!S262</x:f>
        <x:v>0</x:v>
      </x:c>
      <x:c r="K262" t="n">
        <x:f>IPO_Data_Collection!T262</x:f>
        <x:v>0</x:v>
      </x:c>
      <x:c r="L262" t="n">
        <x:f>IPO_Data_Collection!U262</x:f>
        <x:v>0</x:v>
      </x:c>
      <x:c r="M262" t="str">
        <x:f>IF(COUNTA(B262:I262)&gt;=7,"Ready","Missing")</x:f>
        <x:v>Ready</x:v>
      </x:c>
    </x:row>
    <x:row r="263">
      <x:c r="A263" t="str">
        <x:f>IPO_Data_Collection!B263</x:f>
        <x:v>Sudeep Pharma Ltd</x:v>
      </x:c>
      <x:c r="B263" t="n">
        <x:f>IPO_Data_Collection!D263</x:f>
        <x:v>0</x:v>
      </x:c>
      <x:c r="C263" t="n">
        <x:f>IPO_Data_Collection!E263</x:f>
        <x:v>0</x:v>
      </x:c>
      <x:c r="D263" t="n">
        <x:f>IPO_Data_Collection!F263</x:f>
        <x:v>0</x:v>
      </x:c>
      <x:c r="E263" t="n">
        <x:f>IPO_Data_Collection!G263</x:f>
        <x:v>0</x:v>
      </x:c>
      <x:c r="F263" t="str">
        <x:f>IFERROR(B263/D263,"")</x:f>
      </x:c>
      <x:c r="G263" t="n">
        <x:f>IPO_Data_Collection!J263</x:f>
        <x:v>0</x:v>
      </x:c>
      <x:c r="H263" t="n">
        <x:f>IPO_Data_Collection!K263</x:f>
        <x:v>0</x:v>
      </x:c>
      <x:c r="I263" t="n">
        <x:f>IPO_Data_Collection!Q263</x:f>
        <x:v>0</x:v>
      </x:c>
      <x:c r="J263" t="n">
        <x:f>IPO_Data_Collection!S263</x:f>
        <x:v>0</x:v>
      </x:c>
      <x:c r="K263" t="n">
        <x:f>IPO_Data_Collection!T263</x:f>
        <x:v>0</x:v>
      </x:c>
      <x:c r="L263" t="n">
        <x:f>IPO_Data_Collection!U263</x:f>
        <x:v>0</x:v>
      </x:c>
      <x:c r="M263" t="str">
        <x:f>IF(COUNTA(B263:I263)&gt;=7,"Ready","Missing")</x:f>
        <x:v>Ready</x:v>
      </x:c>
    </x:row>
    <x:row r="264">
      <x:c r="A264" t="str">
        <x:f>IPO_Data_Collection!B264</x:f>
        <x:v>Sula Vineyards</x:v>
      </x:c>
      <x:c r="B264" t="n">
        <x:f>IPO_Data_Collection!D264</x:f>
        <x:v>0</x:v>
      </x:c>
      <x:c r="C264" t="n">
        <x:f>IPO_Data_Collection!E264</x:f>
        <x:v>0</x:v>
      </x:c>
      <x:c r="D264" t="n">
        <x:f>IPO_Data_Collection!F264</x:f>
        <x:v>0</x:v>
      </x:c>
      <x:c r="E264" t="n">
        <x:f>IPO_Data_Collection!G264</x:f>
        <x:v>0</x:v>
      </x:c>
      <x:c r="F264" t="str">
        <x:f>IFERROR(B264/D264,"")</x:f>
      </x:c>
      <x:c r="G264" t="n">
        <x:f>IPO_Data_Collection!J264</x:f>
        <x:v>0</x:v>
      </x:c>
      <x:c r="H264" t="n">
        <x:f>IPO_Data_Collection!K264</x:f>
        <x:v>0</x:v>
      </x:c>
      <x:c r="I264" t="n">
        <x:f>IPO_Data_Collection!Q264</x:f>
        <x:v>0</x:v>
      </x:c>
      <x:c r="J264" t="n">
        <x:f>IPO_Data_Collection!S264</x:f>
        <x:v>0</x:v>
      </x:c>
      <x:c r="K264" t="n">
        <x:f>IPO_Data_Collection!T264</x:f>
        <x:v>0</x:v>
      </x:c>
      <x:c r="L264" t="n">
        <x:f>IPO_Data_Collection!U264</x:f>
        <x:v>0</x:v>
      </x:c>
      <x:c r="M264" t="str">
        <x:f>IF(COUNTA(B264:I264)&gt;=7,"Ready","Missing")</x:f>
        <x:v>Ready</x:v>
      </x:c>
    </x:row>
    <x:row r="265">
      <x:c r="A265" t="str">
        <x:f>IPO_Data_Collection!B265</x:f>
        <x:v>Supriya Lifescience</x:v>
      </x:c>
      <x:c r="B265" t="n">
        <x:f>IPO_Data_Collection!D265</x:f>
        <x:v>0</x:v>
      </x:c>
      <x:c r="C265" t="n">
        <x:f>IPO_Data_Collection!E265</x:f>
        <x:v>0</x:v>
      </x:c>
      <x:c r="D265" t="n">
        <x:f>IPO_Data_Collection!F265</x:f>
        <x:v>0</x:v>
      </x:c>
      <x:c r="E265" t="n">
        <x:f>IPO_Data_Collection!G265</x:f>
        <x:v>0</x:v>
      </x:c>
      <x:c r="F265" t="str">
        <x:f>IFERROR(B265/D265,"")</x:f>
      </x:c>
      <x:c r="G265" t="n">
        <x:f>IPO_Data_Collection!J265</x:f>
        <x:v>0</x:v>
      </x:c>
      <x:c r="H265" t="n">
        <x:f>IPO_Data_Collection!K265</x:f>
        <x:v>0</x:v>
      </x:c>
      <x:c r="I265" t="n">
        <x:f>IPO_Data_Collection!Q265</x:f>
        <x:v>0</x:v>
      </x:c>
      <x:c r="J265" t="n">
        <x:f>IPO_Data_Collection!S265</x:f>
        <x:v>0</x:v>
      </x:c>
      <x:c r="K265" t="n">
        <x:f>IPO_Data_Collection!T265</x:f>
        <x:v>0</x:v>
      </x:c>
      <x:c r="L265" t="n">
        <x:f>IPO_Data_Collection!U265</x:f>
        <x:v>0</x:v>
      </x:c>
      <x:c r="M265" t="str">
        <x:f>IF(COUNTA(B265:I265)&gt;=7,"Ready","Missing")</x:f>
        <x:v>Ready</x:v>
      </x:c>
    </x:row>
    <x:row r="266">
      <x:c r="A266" t="str">
        <x:f>IPO_Data_Collection!B266</x:f>
        <x:v>Suraj Estate</x:v>
      </x:c>
      <x:c r="B266" t="n">
        <x:f>IPO_Data_Collection!D266</x:f>
        <x:v>0</x:v>
      </x:c>
      <x:c r="C266" t="n">
        <x:f>IPO_Data_Collection!E266</x:f>
        <x:v>0</x:v>
      </x:c>
      <x:c r="D266" t="n">
        <x:f>IPO_Data_Collection!F266</x:f>
        <x:v>0</x:v>
      </x:c>
      <x:c r="E266" t="n">
        <x:f>IPO_Data_Collection!G266</x:f>
        <x:v>0</x:v>
      </x:c>
      <x:c r="F266" t="str">
        <x:f>IFERROR(B266/D266,"")</x:f>
      </x:c>
      <x:c r="G266" t="n">
        <x:f>IPO_Data_Collection!J266</x:f>
        <x:v>0</x:v>
      </x:c>
      <x:c r="H266" t="n">
        <x:f>IPO_Data_Collection!K266</x:f>
        <x:v>0</x:v>
      </x:c>
      <x:c r="I266" t="n">
        <x:f>IPO_Data_Collection!Q266</x:f>
        <x:v>0</x:v>
      </x:c>
      <x:c r="J266" t="n">
        <x:f>IPO_Data_Collection!S266</x:f>
        <x:v>0</x:v>
      </x:c>
      <x:c r="K266" t="n">
        <x:f>IPO_Data_Collection!T266</x:f>
        <x:v>0</x:v>
      </x:c>
      <x:c r="L266" t="n">
        <x:f>IPO_Data_Collection!U266</x:f>
        <x:v>0</x:v>
      </x:c>
      <x:c r="M266" t="str">
        <x:f>IF(COUNTA(B266:I266)&gt;=7,"Ready","Missing")</x:f>
        <x:v>Ready</x:v>
      </x:c>
    </x:row>
    <x:row r="267">
      <x:c r="A267" t="str">
        <x:f>IPO_Data_Collection!B267</x:f>
        <x:v>Suryoday Bank</x:v>
      </x:c>
      <x:c r="B267" t="n">
        <x:f>IPO_Data_Collection!D267</x:f>
        <x:v>0</x:v>
      </x:c>
      <x:c r="C267" t="n">
        <x:f>IPO_Data_Collection!E267</x:f>
        <x:v>0</x:v>
      </x:c>
      <x:c r="D267" t="n">
        <x:f>IPO_Data_Collection!F267</x:f>
        <x:v>0</x:v>
      </x:c>
      <x:c r="E267" t="n">
        <x:f>IPO_Data_Collection!G267</x:f>
        <x:v>0</x:v>
      </x:c>
      <x:c r="F267" t="str">
        <x:f>IFERROR(B267/D267,"")</x:f>
      </x:c>
      <x:c r="G267" t="n">
        <x:f>IPO_Data_Collection!J267</x:f>
        <x:v>0</x:v>
      </x:c>
      <x:c r="H267" t="n">
        <x:f>IPO_Data_Collection!K267</x:f>
        <x:v>0</x:v>
      </x:c>
      <x:c r="I267" t="n">
        <x:f>IPO_Data_Collection!Q267</x:f>
        <x:v>0</x:v>
      </x:c>
      <x:c r="J267" t="n">
        <x:f>IPO_Data_Collection!S267</x:f>
        <x:v>0</x:v>
      </x:c>
      <x:c r="K267" t="n">
        <x:f>IPO_Data_Collection!T267</x:f>
        <x:v>0</x:v>
      </x:c>
      <x:c r="L267" t="n">
        <x:f>IPO_Data_Collection!U267</x:f>
        <x:v>0</x:v>
      </x:c>
      <x:c r="M267" t="str">
        <x:f>IF(COUNTA(B267:I267)&gt;=7,"Ready","Missing")</x:f>
        <x:v>Ready</x:v>
      </x:c>
    </x:row>
    <x:row r="268">
      <x:c r="A268" t="str">
        <x:f>IPO_Data_Collection!B268</x:f>
        <x:v>Syrma SGS</x:v>
      </x:c>
      <x:c r="B268" t="n">
        <x:f>IPO_Data_Collection!D268</x:f>
        <x:v>0</x:v>
      </x:c>
      <x:c r="C268" t="n">
        <x:f>IPO_Data_Collection!E268</x:f>
        <x:v>0</x:v>
      </x:c>
      <x:c r="D268" t="n">
        <x:f>IPO_Data_Collection!F268</x:f>
        <x:v>0</x:v>
      </x:c>
      <x:c r="E268" t="n">
        <x:f>IPO_Data_Collection!G268</x:f>
        <x:v>0</x:v>
      </x:c>
      <x:c r="F268" t="str">
        <x:f>IFERROR(B268/D268,"")</x:f>
      </x:c>
      <x:c r="G268" t="n">
        <x:f>IPO_Data_Collection!J268</x:f>
        <x:v>0</x:v>
      </x:c>
      <x:c r="H268" t="n">
        <x:f>IPO_Data_Collection!K268</x:f>
        <x:v>0</x:v>
      </x:c>
      <x:c r="I268" t="n">
        <x:f>IPO_Data_Collection!Q268</x:f>
        <x:v>0</x:v>
      </x:c>
      <x:c r="J268" t="n">
        <x:f>IPO_Data_Collection!S268</x:f>
        <x:v>0</x:v>
      </x:c>
      <x:c r="K268" t="n">
        <x:f>IPO_Data_Collection!T268</x:f>
        <x:v>0</x:v>
      </x:c>
      <x:c r="L268" t="n">
        <x:f>IPO_Data_Collection!U268</x:f>
        <x:v>0</x:v>
      </x:c>
      <x:c r="M268" t="str">
        <x:f>IF(COUNTA(B268:I268)&gt;=7,"Ready","Missing")</x:f>
        <x:v>Ready</x:v>
      </x:c>
    </x:row>
    <x:row r="269">
      <x:c r="A269" t="str">
        <x:f>IPO_Data_Collection!B269</x:f>
        <x:v>TBO Tek</x:v>
      </x:c>
      <x:c r="B269" t="n">
        <x:f>IPO_Data_Collection!D269</x:f>
        <x:v>0</x:v>
      </x:c>
      <x:c r="C269" t="n">
        <x:f>IPO_Data_Collection!E269</x:f>
        <x:v>0</x:v>
      </x:c>
      <x:c r="D269" t="n">
        <x:f>IPO_Data_Collection!F269</x:f>
        <x:v>0</x:v>
      </x:c>
      <x:c r="E269" t="n">
        <x:f>IPO_Data_Collection!G269</x:f>
        <x:v>0</x:v>
      </x:c>
      <x:c r="F269" t="str">
        <x:f>IFERROR(B269/D269,"")</x:f>
      </x:c>
      <x:c r="G269" t="n">
        <x:f>IPO_Data_Collection!J269</x:f>
        <x:v>0</x:v>
      </x:c>
      <x:c r="H269" t="n">
        <x:f>IPO_Data_Collection!K269</x:f>
        <x:v>0</x:v>
      </x:c>
      <x:c r="I269" t="n">
        <x:f>IPO_Data_Collection!Q269</x:f>
        <x:v>0</x:v>
      </x:c>
      <x:c r="J269" t="n">
        <x:f>IPO_Data_Collection!S269</x:f>
        <x:v>0</x:v>
      </x:c>
      <x:c r="K269" t="n">
        <x:f>IPO_Data_Collection!T269</x:f>
        <x:v>0</x:v>
      </x:c>
      <x:c r="L269" t="n">
        <x:f>IPO_Data_Collection!U269</x:f>
        <x:v>0</x:v>
      </x:c>
      <x:c r="M269" t="str">
        <x:f>IF(COUNTA(B269:I269)&gt;=7,"Ready","Missing")</x:f>
        <x:v>Ready</x:v>
      </x:c>
    </x:row>
    <x:row r="270">
      <x:c r="A270" t="str">
        <x:f>IPO_Data_Collection!B270</x:f>
        <x:v>TVS Supply Chain</x:v>
      </x:c>
      <x:c r="B270" t="n">
        <x:f>IPO_Data_Collection!D270</x:f>
        <x:v>0</x:v>
      </x:c>
      <x:c r="C270" t="n">
        <x:f>IPO_Data_Collection!E270</x:f>
        <x:v>0</x:v>
      </x:c>
      <x:c r="D270" t="n">
        <x:f>IPO_Data_Collection!F270</x:f>
        <x:v>0</x:v>
      </x:c>
      <x:c r="E270" t="n">
        <x:f>IPO_Data_Collection!G270</x:f>
        <x:v>0</x:v>
      </x:c>
      <x:c r="F270" t="str">
        <x:f>IFERROR(B270/D270,"")</x:f>
      </x:c>
      <x:c r="G270" t="n">
        <x:f>IPO_Data_Collection!J270</x:f>
        <x:v>0</x:v>
      </x:c>
      <x:c r="H270" t="n">
        <x:f>IPO_Data_Collection!K270</x:f>
        <x:v>0</x:v>
      </x:c>
      <x:c r="I270" t="n">
        <x:f>IPO_Data_Collection!Q270</x:f>
        <x:v>0</x:v>
      </x:c>
      <x:c r="J270" t="n">
        <x:f>IPO_Data_Collection!S270</x:f>
        <x:v>0</x:v>
      </x:c>
      <x:c r="K270" t="n">
        <x:f>IPO_Data_Collection!T270</x:f>
        <x:v>0</x:v>
      </x:c>
      <x:c r="L270" t="n">
        <x:f>IPO_Data_Collection!U270</x:f>
        <x:v>0</x:v>
      </x:c>
      <x:c r="M270" t="str">
        <x:f>IF(COUNTA(B270:I270)&gt;=7,"Ready","Missing")</x:f>
        <x:v>Ready</x:v>
      </x:c>
    </x:row>
    <x:row r="271">
      <x:c r="A271" t="str">
        <x:f>IPO_Data_Collection!B271</x:f>
        <x:v>Tamilnad Mercantile Bank</x:v>
      </x:c>
      <x:c r="B271" t="n">
        <x:f>IPO_Data_Collection!D271</x:f>
        <x:v>0</x:v>
      </x:c>
      <x:c r="C271" t="n">
        <x:f>IPO_Data_Collection!E271</x:f>
        <x:v>0</x:v>
      </x:c>
      <x:c r="D271" t="n">
        <x:f>IPO_Data_Collection!F271</x:f>
        <x:v>0</x:v>
      </x:c>
      <x:c r="E271" t="n">
        <x:f>IPO_Data_Collection!G271</x:f>
        <x:v>0</x:v>
      </x:c>
      <x:c r="F271" t="str">
        <x:f>IFERROR(B271/D271,"")</x:f>
      </x:c>
      <x:c r="G271" t="n">
        <x:f>IPO_Data_Collection!J271</x:f>
        <x:v>0</x:v>
      </x:c>
      <x:c r="H271" t="n">
        <x:f>IPO_Data_Collection!K271</x:f>
        <x:v>0</x:v>
      </x:c>
      <x:c r="I271" t="n">
        <x:f>IPO_Data_Collection!Q271</x:f>
        <x:v>0</x:v>
      </x:c>
      <x:c r="J271" t="n">
        <x:f>IPO_Data_Collection!S271</x:f>
        <x:v>0</x:v>
      </x:c>
      <x:c r="K271" t="n">
        <x:f>IPO_Data_Collection!T271</x:f>
        <x:v>0</x:v>
      </x:c>
      <x:c r="L271" t="n">
        <x:f>IPO_Data_Collection!U271</x:f>
        <x:v>0</x:v>
      </x:c>
      <x:c r="M271" t="str">
        <x:f>IF(COUNTA(B271:I271)&gt;=7,"Ready","Missing")</x:f>
        <x:v>Ready</x:v>
      </x:c>
    </x:row>
    <x:row r="272">
      <x:c r="A272" t="str">
        <x:f>IPO_Data_Collection!B272</x:f>
        <x:v>Tarsons Products</x:v>
      </x:c>
      <x:c r="B272" t="n">
        <x:f>IPO_Data_Collection!D272</x:f>
        <x:v>0</x:v>
      </x:c>
      <x:c r="C272" t="n">
        <x:f>IPO_Data_Collection!E272</x:f>
        <x:v>0</x:v>
      </x:c>
      <x:c r="D272" t="n">
        <x:f>IPO_Data_Collection!F272</x:f>
        <x:v>0</x:v>
      </x:c>
      <x:c r="E272" t="n">
        <x:f>IPO_Data_Collection!G272</x:f>
        <x:v>0</x:v>
      </x:c>
      <x:c r="F272" t="str">
        <x:f>IFERROR(B272/D272,"")</x:f>
      </x:c>
      <x:c r="G272" t="n">
        <x:f>IPO_Data_Collection!J272</x:f>
        <x:v>0</x:v>
      </x:c>
      <x:c r="H272" t="n">
        <x:f>IPO_Data_Collection!K272</x:f>
        <x:v>0</x:v>
      </x:c>
      <x:c r="I272" t="n">
        <x:f>IPO_Data_Collection!Q272</x:f>
        <x:v>0</x:v>
      </x:c>
      <x:c r="J272" t="n">
        <x:f>IPO_Data_Collection!S272</x:f>
        <x:v>0</x:v>
      </x:c>
      <x:c r="K272" t="n">
        <x:f>IPO_Data_Collection!T272</x:f>
        <x:v>0</x:v>
      </x:c>
      <x:c r="L272" t="n">
        <x:f>IPO_Data_Collection!U272</x:f>
        <x:v>0</x:v>
      </x:c>
      <x:c r="M272" t="str">
        <x:f>IF(COUNTA(B272:I272)&gt;=7,"Ready","Missing")</x:f>
        <x:v>Ready</x:v>
      </x:c>
    </x:row>
    <x:row r="273">
      <x:c r="A273" t="str">
        <x:f>IPO_Data_Collection!B273</x:f>
        <x:v>Tata Technologies</x:v>
      </x:c>
      <x:c r="B273" t="n">
        <x:f>IPO_Data_Collection!D273</x:f>
        <x:v>0</x:v>
      </x:c>
      <x:c r="C273" t="n">
        <x:f>IPO_Data_Collection!E273</x:f>
        <x:v>0</x:v>
      </x:c>
      <x:c r="D273" t="n">
        <x:f>IPO_Data_Collection!F273</x:f>
        <x:v>0</x:v>
      </x:c>
      <x:c r="E273" t="n">
        <x:f>IPO_Data_Collection!G273</x:f>
        <x:v>0</x:v>
      </x:c>
      <x:c r="F273" t="str">
        <x:f>IFERROR(B273/D273,"")</x:f>
      </x:c>
      <x:c r="G273" t="n">
        <x:f>IPO_Data_Collection!J273</x:f>
        <x:v>0</x:v>
      </x:c>
      <x:c r="H273" t="n">
        <x:f>IPO_Data_Collection!K273</x:f>
        <x:v>0</x:v>
      </x:c>
      <x:c r="I273" t="n">
        <x:f>IPO_Data_Collection!Q273</x:f>
        <x:v>0</x:v>
      </x:c>
      <x:c r="J273" t="n">
        <x:f>IPO_Data_Collection!S273</x:f>
        <x:v>0</x:v>
      </x:c>
      <x:c r="K273" t="n">
        <x:f>IPO_Data_Collection!T273</x:f>
        <x:v>0</x:v>
      </x:c>
      <x:c r="L273" t="n">
        <x:f>IPO_Data_Collection!U273</x:f>
        <x:v>0</x:v>
      </x:c>
      <x:c r="M273" t="str">
        <x:f>IF(COUNTA(B273:I273)&gt;=7,"Ready","Missing")</x:f>
        <x:v>Ready</x:v>
      </x:c>
    </x:row>
    <x:row r="274">
      <x:c r="A274" t="str">
        <x:f>IPO_Data_Collection!B274</x:f>
        <x:v>Tracxn</x:v>
      </x:c>
      <x:c r="B274" t="n">
        <x:f>IPO_Data_Collection!D274</x:f>
        <x:v>0</x:v>
      </x:c>
      <x:c r="C274" t="n">
        <x:f>IPO_Data_Collection!E274</x:f>
        <x:v>0</x:v>
      </x:c>
      <x:c r="D274" t="n">
        <x:f>IPO_Data_Collection!F274</x:f>
        <x:v>0</x:v>
      </x:c>
      <x:c r="E274" t="n">
        <x:f>IPO_Data_Collection!G274</x:f>
        <x:v>0</x:v>
      </x:c>
      <x:c r="F274" t="str">
        <x:f>IFERROR(B274/D274,"")</x:f>
      </x:c>
      <x:c r="G274" t="n">
        <x:f>IPO_Data_Collection!J274</x:f>
        <x:v>0</x:v>
      </x:c>
      <x:c r="H274" t="n">
        <x:f>IPO_Data_Collection!K274</x:f>
        <x:v>0</x:v>
      </x:c>
      <x:c r="I274" t="n">
        <x:f>IPO_Data_Collection!Q274</x:f>
        <x:v>0</x:v>
      </x:c>
      <x:c r="J274" t="n">
        <x:f>IPO_Data_Collection!S274</x:f>
        <x:v>0</x:v>
      </x:c>
      <x:c r="K274" t="n">
        <x:f>IPO_Data_Collection!T274</x:f>
        <x:v>0</x:v>
      </x:c>
      <x:c r="L274" t="n">
        <x:f>IPO_Data_Collection!U274</x:f>
        <x:v>0</x:v>
      </x:c>
      <x:c r="M274" t="str">
        <x:f>IF(COUNTA(B274:I274)&gt;=7,"Ready","Missing")</x:f>
        <x:v>Ready</x:v>
      </x:c>
    </x:row>
    <x:row r="275">
      <x:c r="A275" t="str">
        <x:f>IPO_Data_Collection!B275</x:f>
        <x:v>Travel Food Services Limited</x:v>
      </x:c>
      <x:c r="B275" t="n">
        <x:f>IPO_Data_Collection!D275</x:f>
        <x:v>0</x:v>
      </x:c>
      <x:c r="C275" t="n">
        <x:f>IPO_Data_Collection!E275</x:f>
        <x:v>0</x:v>
      </x:c>
      <x:c r="D275" t="n">
        <x:f>IPO_Data_Collection!F275</x:f>
        <x:v>0</x:v>
      </x:c>
      <x:c r="E275" t="n">
        <x:f>IPO_Data_Collection!G275</x:f>
        <x:v>0</x:v>
      </x:c>
      <x:c r="F275" t="str">
        <x:f>IFERROR(B275/D275,"")</x:f>
      </x:c>
      <x:c r="G275" t="n">
        <x:f>IPO_Data_Collection!J275</x:f>
        <x:v>0</x:v>
      </x:c>
      <x:c r="H275" t="n">
        <x:f>IPO_Data_Collection!K275</x:f>
        <x:v>0</x:v>
      </x:c>
      <x:c r="I275" t="n">
        <x:f>IPO_Data_Collection!Q275</x:f>
        <x:v>0</x:v>
      </x:c>
      <x:c r="J275" t="n">
        <x:f>IPO_Data_Collection!S275</x:f>
        <x:v>0</x:v>
      </x:c>
      <x:c r="K275" t="n">
        <x:f>IPO_Data_Collection!T275</x:f>
        <x:v>0</x:v>
      </x:c>
      <x:c r="L275" t="n">
        <x:f>IPO_Data_Collection!U275</x:f>
        <x:v>0</x:v>
      </x:c>
      <x:c r="M275" t="str">
        <x:f>IF(COUNTA(B275:I275)&gt;=7,"Ready","Missing")</x:f>
        <x:v>Ready</x:v>
      </x:c>
    </x:row>
    <x:row r="276">
      <x:c r="A276" t="str">
        <x:f>IPO_Data_Collection!B276</x:f>
        <x:v>Trualt Bioenergy Ltd</x:v>
      </x:c>
      <x:c r="B276" t="n">
        <x:f>IPO_Data_Collection!D276</x:f>
        <x:v>0</x:v>
      </x:c>
      <x:c r="C276" t="n">
        <x:f>IPO_Data_Collection!E276</x:f>
        <x:v>0</x:v>
      </x:c>
      <x:c r="D276" t="n">
        <x:f>IPO_Data_Collection!F276</x:f>
        <x:v>0</x:v>
      </x:c>
      <x:c r="E276" t="n">
        <x:f>IPO_Data_Collection!G276</x:f>
        <x:v>0</x:v>
      </x:c>
      <x:c r="F276" t="str">
        <x:f>IFERROR(B276/D276,"")</x:f>
      </x:c>
      <x:c r="G276" t="n">
        <x:f>IPO_Data_Collection!J276</x:f>
        <x:v>0</x:v>
      </x:c>
      <x:c r="H276" t="n">
        <x:f>IPO_Data_Collection!K276</x:f>
        <x:v>0</x:v>
      </x:c>
      <x:c r="I276" t="n">
        <x:f>IPO_Data_Collection!Q276</x:f>
        <x:v>0</x:v>
      </x:c>
      <x:c r="J276" t="n">
        <x:f>IPO_Data_Collection!S276</x:f>
        <x:v>0</x:v>
      </x:c>
      <x:c r="K276" t="n">
        <x:f>IPO_Data_Collection!T276</x:f>
        <x:v>0</x:v>
      </x:c>
      <x:c r="L276" t="n">
        <x:f>IPO_Data_Collection!U276</x:f>
        <x:v>0</x:v>
      </x:c>
      <x:c r="M276" t="str">
        <x:f>IF(COUNTA(B276:I276)&gt;=7,"Ready","Missing")</x:f>
        <x:v>Ready</x:v>
      </x:c>
    </x:row>
    <x:row r="277">
      <x:c r="A277" t="str">
        <x:f>IPO_Data_Collection!B277</x:f>
        <x:v>Udayshivakumar Infra</x:v>
      </x:c>
      <x:c r="B277" t="n">
        <x:f>IPO_Data_Collection!D277</x:f>
        <x:v>0</x:v>
      </x:c>
      <x:c r="C277" t="n">
        <x:f>IPO_Data_Collection!E277</x:f>
        <x:v>0</x:v>
      </x:c>
      <x:c r="D277" t="n">
        <x:f>IPO_Data_Collection!F277</x:f>
        <x:v>0</x:v>
      </x:c>
      <x:c r="E277" t="n">
        <x:f>IPO_Data_Collection!G277</x:f>
        <x:v>0</x:v>
      </x:c>
      <x:c r="F277" t="str">
        <x:f>IFERROR(B277/D277,"")</x:f>
      </x:c>
      <x:c r="G277" t="n">
        <x:f>IPO_Data_Collection!J277</x:f>
        <x:v>0</x:v>
      </x:c>
      <x:c r="H277" t="n">
        <x:f>IPO_Data_Collection!K277</x:f>
        <x:v>0</x:v>
      </x:c>
      <x:c r="I277" t="n">
        <x:f>IPO_Data_Collection!Q277</x:f>
        <x:v>0</x:v>
      </x:c>
      <x:c r="J277" t="n">
        <x:f>IPO_Data_Collection!S277</x:f>
        <x:v>0</x:v>
      </x:c>
      <x:c r="K277" t="n">
        <x:f>IPO_Data_Collection!T277</x:f>
        <x:v>0</x:v>
      </x:c>
      <x:c r="L277" t="n">
        <x:f>IPO_Data_Collection!U277</x:f>
        <x:v>0</x:v>
      </x:c>
      <x:c r="M277" t="str">
        <x:f>IF(COUNTA(B277:I277)&gt;=7,"Ready","Missing")</x:f>
        <x:v>Ready</x:v>
      </x:c>
    </x:row>
    <x:row r="278">
      <x:c r="A278" t="str">
        <x:f>IPO_Data_Collection!B278</x:f>
        <x:v>Uma Exports</x:v>
      </x:c>
      <x:c r="B278" t="n">
        <x:f>IPO_Data_Collection!D278</x:f>
        <x:v>0</x:v>
      </x:c>
      <x:c r="C278" t="n">
        <x:f>IPO_Data_Collection!E278</x:f>
        <x:v>0</x:v>
      </x:c>
      <x:c r="D278" t="n">
        <x:f>IPO_Data_Collection!F278</x:f>
        <x:v>0</x:v>
      </x:c>
      <x:c r="E278" t="n">
        <x:f>IPO_Data_Collection!G278</x:f>
        <x:v>0</x:v>
      </x:c>
      <x:c r="F278" t="str">
        <x:f>IFERROR(B278/D278,"")</x:f>
      </x:c>
      <x:c r="G278" t="n">
        <x:f>IPO_Data_Collection!J278</x:f>
        <x:v>0</x:v>
      </x:c>
      <x:c r="H278" t="n">
        <x:f>IPO_Data_Collection!K278</x:f>
        <x:v>0</x:v>
      </x:c>
      <x:c r="I278" t="n">
        <x:f>IPO_Data_Collection!Q278</x:f>
        <x:v>0</x:v>
      </x:c>
      <x:c r="J278" t="n">
        <x:f>IPO_Data_Collection!S278</x:f>
        <x:v>0</x:v>
      </x:c>
      <x:c r="K278" t="n">
        <x:f>IPO_Data_Collection!T278</x:f>
        <x:v>0</x:v>
      </x:c>
      <x:c r="L278" t="n">
        <x:f>IPO_Data_Collection!U278</x:f>
        <x:v>0</x:v>
      </x:c>
      <x:c r="M278" t="str">
        <x:f>IF(COUNTA(B278:I278)&gt;=7,"Ready","Missing")</x:f>
        <x:v>Ready</x:v>
      </x:c>
    </x:row>
    <x:row r="279">
      <x:c r="A279" t="str">
        <x:f>IPO_Data_Collection!B279</x:f>
        <x:v>Unicommerce</x:v>
      </x:c>
      <x:c r="B279" t="n">
        <x:f>IPO_Data_Collection!D279</x:f>
        <x:v>0</x:v>
      </x:c>
      <x:c r="C279" t="n">
        <x:f>IPO_Data_Collection!E279</x:f>
        <x:v>0</x:v>
      </x:c>
      <x:c r="D279" t="n">
        <x:f>IPO_Data_Collection!F279</x:f>
        <x:v>0</x:v>
      </x:c>
      <x:c r="E279" t="n">
        <x:f>IPO_Data_Collection!G279</x:f>
        <x:v>0</x:v>
      </x:c>
      <x:c r="F279" t="str">
        <x:f>IFERROR(B279/D279,"")</x:f>
      </x:c>
      <x:c r="G279" t="n">
        <x:f>IPO_Data_Collection!J279</x:f>
        <x:v>0</x:v>
      </x:c>
      <x:c r="H279" t="n">
        <x:f>IPO_Data_Collection!K279</x:f>
        <x:v>0</x:v>
      </x:c>
      <x:c r="I279" t="n">
        <x:f>IPO_Data_Collection!Q279</x:f>
        <x:v>0</x:v>
      </x:c>
      <x:c r="J279" t="n">
        <x:f>IPO_Data_Collection!S279</x:f>
        <x:v>0</x:v>
      </x:c>
      <x:c r="K279" t="n">
        <x:f>IPO_Data_Collection!T279</x:f>
        <x:v>0</x:v>
      </x:c>
      <x:c r="L279" t="n">
        <x:f>IPO_Data_Collection!U279</x:f>
        <x:v>0</x:v>
      </x:c>
      <x:c r="M279" t="str">
        <x:f>IF(COUNTA(B279:I279)&gt;=7,"Ready","Missing")</x:f>
        <x:v>Ready</x:v>
      </x:c>
    </x:row>
    <x:row r="280">
      <x:c r="A280" t="str">
        <x:f>IPO_Data_Collection!B280</x:f>
        <x:v>Unimech Aero</x:v>
      </x:c>
      <x:c r="B280" t="n">
        <x:f>IPO_Data_Collection!D280</x:f>
        <x:v>0</x:v>
      </x:c>
      <x:c r="C280" t="n">
        <x:f>IPO_Data_Collection!E280</x:f>
        <x:v>0</x:v>
      </x:c>
      <x:c r="D280" t="n">
        <x:f>IPO_Data_Collection!F280</x:f>
        <x:v>0</x:v>
      </x:c>
      <x:c r="E280" t="n">
        <x:f>IPO_Data_Collection!G280</x:f>
        <x:v>0</x:v>
      </x:c>
      <x:c r="F280" t="str">
        <x:f>IFERROR(B280/D280,"")</x:f>
      </x:c>
      <x:c r="G280" t="n">
        <x:f>IPO_Data_Collection!J280</x:f>
        <x:v>0</x:v>
      </x:c>
      <x:c r="H280" t="n">
        <x:f>IPO_Data_Collection!K280</x:f>
        <x:v>0</x:v>
      </x:c>
      <x:c r="I280" t="n">
        <x:f>IPO_Data_Collection!Q280</x:f>
        <x:v>0</x:v>
      </x:c>
      <x:c r="J280" t="n">
        <x:f>IPO_Data_Collection!S280</x:f>
        <x:v>0</x:v>
      </x:c>
      <x:c r="K280" t="n">
        <x:f>IPO_Data_Collection!T280</x:f>
        <x:v>0</x:v>
      </x:c>
      <x:c r="L280" t="n">
        <x:f>IPO_Data_Collection!U280</x:f>
        <x:v>0</x:v>
      </x:c>
      <x:c r="M280" t="str">
        <x:f>IF(COUNTA(B280:I280)&gt;=7,"Ready","Missing")</x:f>
        <x:v>Ready</x:v>
      </x:c>
    </x:row>
    <x:row r="281">
      <x:c r="A281" t="str">
        <x:f>IPO_Data_Collection!B281</x:f>
        <x:v>Uniparts</x:v>
      </x:c>
      <x:c r="B281" t="n">
        <x:f>IPO_Data_Collection!D281</x:f>
        <x:v>0</x:v>
      </x:c>
      <x:c r="C281" t="n">
        <x:f>IPO_Data_Collection!E281</x:f>
        <x:v>0</x:v>
      </x:c>
      <x:c r="D281" t="n">
        <x:f>IPO_Data_Collection!F281</x:f>
        <x:v>0</x:v>
      </x:c>
      <x:c r="E281" t="n">
        <x:f>IPO_Data_Collection!G281</x:f>
        <x:v>0</x:v>
      </x:c>
      <x:c r="F281" t="str">
        <x:f>IFERROR(B281/D281,"")</x:f>
      </x:c>
      <x:c r="G281" t="n">
        <x:f>IPO_Data_Collection!J281</x:f>
        <x:v>0</x:v>
      </x:c>
      <x:c r="H281" t="n">
        <x:f>IPO_Data_Collection!K281</x:f>
        <x:v>0</x:v>
      </x:c>
      <x:c r="I281" t="n">
        <x:f>IPO_Data_Collection!Q281</x:f>
        <x:v>0</x:v>
      </x:c>
      <x:c r="J281" t="n">
        <x:f>IPO_Data_Collection!S281</x:f>
        <x:v>0</x:v>
      </x:c>
      <x:c r="K281" t="n">
        <x:f>IPO_Data_Collection!T281</x:f>
        <x:v>0</x:v>
      </x:c>
      <x:c r="L281" t="n">
        <x:f>IPO_Data_Collection!U281</x:f>
        <x:v>0</x:v>
      </x:c>
      <x:c r="M281" t="str">
        <x:f>IF(COUNTA(B281:I281)&gt;=7,"Ready","Missing")</x:f>
        <x:v>Ready</x:v>
      </x:c>
    </x:row>
    <x:row r="282">
      <x:c r="A282" t="str">
        <x:f>IPO_Data_Collection!B282</x:f>
        <x:v>Updater Services</x:v>
      </x:c>
      <x:c r="B282" t="n">
        <x:f>IPO_Data_Collection!D282</x:f>
        <x:v>0</x:v>
      </x:c>
      <x:c r="C282" t="n">
        <x:f>IPO_Data_Collection!E282</x:f>
        <x:v>0</x:v>
      </x:c>
      <x:c r="D282" t="n">
        <x:f>IPO_Data_Collection!F282</x:f>
        <x:v>0</x:v>
      </x:c>
      <x:c r="E282" t="n">
        <x:f>IPO_Data_Collection!G282</x:f>
        <x:v>0</x:v>
      </x:c>
      <x:c r="F282" t="str">
        <x:f>IFERROR(B282/D282,"")</x:f>
      </x:c>
      <x:c r="G282" t="n">
        <x:f>IPO_Data_Collection!J282</x:f>
        <x:v>0</x:v>
      </x:c>
      <x:c r="H282" t="n">
        <x:f>IPO_Data_Collection!K282</x:f>
        <x:v>0</x:v>
      </x:c>
      <x:c r="I282" t="n">
        <x:f>IPO_Data_Collection!Q282</x:f>
        <x:v>0</x:v>
      </x:c>
      <x:c r="J282" t="n">
        <x:f>IPO_Data_Collection!S282</x:f>
        <x:v>0</x:v>
      </x:c>
      <x:c r="K282" t="n">
        <x:f>IPO_Data_Collection!T282</x:f>
        <x:v>0</x:v>
      </x:c>
      <x:c r="L282" t="n">
        <x:f>IPO_Data_Collection!U282</x:f>
        <x:v>0</x:v>
      </x:c>
      <x:c r="M282" t="str">
        <x:f>IF(COUNTA(B282:I282)&gt;=7,"Ready","Missing")</x:f>
        <x:v>Ready</x:v>
      </x:c>
    </x:row>
    <x:row r="283">
      <x:c r="A283" t="str">
        <x:f>IPO_Data_Collection!B283</x:f>
        <x:v>Urban Co Ltd</x:v>
      </x:c>
      <x:c r="B283" t="n">
        <x:f>IPO_Data_Collection!D283</x:f>
        <x:v>0</x:v>
      </x:c>
      <x:c r="C283" t="n">
        <x:f>IPO_Data_Collection!E283</x:f>
        <x:v>0</x:v>
      </x:c>
      <x:c r="D283" t="n">
        <x:f>IPO_Data_Collection!F283</x:f>
        <x:v>0</x:v>
      </x:c>
      <x:c r="E283" t="n">
        <x:f>IPO_Data_Collection!G283</x:f>
        <x:v>0</x:v>
      </x:c>
      <x:c r="F283" t="str">
        <x:f>IFERROR(B283/D283,"")</x:f>
      </x:c>
      <x:c r="G283" t="n">
        <x:f>IPO_Data_Collection!J283</x:f>
        <x:v>0</x:v>
      </x:c>
      <x:c r="H283" t="n">
        <x:f>IPO_Data_Collection!K283</x:f>
        <x:v>0</x:v>
      </x:c>
      <x:c r="I283" t="n">
        <x:f>IPO_Data_Collection!Q283</x:f>
        <x:v>0</x:v>
      </x:c>
      <x:c r="J283" t="n">
        <x:f>IPO_Data_Collection!S283</x:f>
        <x:v>0</x:v>
      </x:c>
      <x:c r="K283" t="n">
        <x:f>IPO_Data_Collection!T283</x:f>
        <x:v>0</x:v>
      </x:c>
      <x:c r="L283" t="n">
        <x:f>IPO_Data_Collection!U283</x:f>
        <x:v>0</x:v>
      </x:c>
      <x:c r="M283" t="str">
        <x:f>IF(COUNTA(B283:I283)&gt;=7,"Ready","Missing")</x:f>
        <x:v>Ready</x:v>
      </x:c>
    </x:row>
    <x:row r="284">
      <x:c r="A284" t="str">
        <x:f>IPO_Data_Collection!B284</x:f>
        <x:v>Utkarsh Small Finance Bank</x:v>
      </x:c>
      <x:c r="B284" t="n">
        <x:f>IPO_Data_Collection!D284</x:f>
        <x:v>0</x:v>
      </x:c>
      <x:c r="C284" t="n">
        <x:f>IPO_Data_Collection!E284</x:f>
        <x:v>0</x:v>
      </x:c>
      <x:c r="D284" t="n">
        <x:f>IPO_Data_Collection!F284</x:f>
        <x:v>0</x:v>
      </x:c>
      <x:c r="E284" t="n">
        <x:f>IPO_Data_Collection!G284</x:f>
        <x:v>0</x:v>
      </x:c>
      <x:c r="F284" t="str">
        <x:f>IFERROR(B284/D284,"")</x:f>
      </x:c>
      <x:c r="G284" t="n">
        <x:f>IPO_Data_Collection!J284</x:f>
        <x:v>0</x:v>
      </x:c>
      <x:c r="H284" t="n">
        <x:f>IPO_Data_Collection!K284</x:f>
        <x:v>0</x:v>
      </x:c>
      <x:c r="I284" t="n">
        <x:f>IPO_Data_Collection!Q284</x:f>
        <x:v>0</x:v>
      </x:c>
      <x:c r="J284" t="n">
        <x:f>IPO_Data_Collection!S284</x:f>
        <x:v>0</x:v>
      </x:c>
      <x:c r="K284" t="n">
        <x:f>IPO_Data_Collection!T284</x:f>
        <x:v>0</x:v>
      </x:c>
      <x:c r="L284" t="n">
        <x:f>IPO_Data_Collection!U284</x:f>
        <x:v>0</x:v>
      </x:c>
      <x:c r="M284" t="str">
        <x:f>IF(COUNTA(B284:I284)&gt;=7,"Ready","Missing")</x:f>
        <x:v>Ready</x:v>
      </x:c>
    </x:row>
    <x:row r="285">
      <x:c r="A285" t="str">
        <x:f>IPO_Data_Collection!B285</x:f>
        <x:v>UTI AMC</x:v>
      </x:c>
      <x:c r="B285" t="n">
        <x:f>IPO_Data_Collection!D285</x:f>
        <x:v>0</x:v>
      </x:c>
      <x:c r="C285" t="n">
        <x:f>IPO_Data_Collection!E285</x:f>
        <x:v>0</x:v>
      </x:c>
      <x:c r="D285" t="n">
        <x:f>IPO_Data_Collection!F285</x:f>
        <x:v>0</x:v>
      </x:c>
      <x:c r="E285" t="n">
        <x:f>IPO_Data_Collection!G285</x:f>
        <x:v>0</x:v>
      </x:c>
      <x:c r="F285" t="str">
        <x:f>IFERROR(B285/D285,"")</x:f>
      </x:c>
      <x:c r="G285" t="n">
        <x:f>IPO_Data_Collection!J285</x:f>
        <x:v>0</x:v>
      </x:c>
      <x:c r="H285" t="n">
        <x:f>IPO_Data_Collection!K285</x:f>
        <x:v>0</x:v>
      </x:c>
      <x:c r="I285" t="n">
        <x:f>IPO_Data_Collection!Q285</x:f>
        <x:v>0</x:v>
      </x:c>
      <x:c r="J285" t="n">
        <x:f>IPO_Data_Collection!S285</x:f>
        <x:v>0</x:v>
      </x:c>
      <x:c r="K285" t="n">
        <x:f>IPO_Data_Collection!T285</x:f>
        <x:v>0</x:v>
      </x:c>
      <x:c r="L285" t="n">
        <x:f>IPO_Data_Collection!U285</x:f>
        <x:v>0</x:v>
      </x:c>
      <x:c r="M285" t="str">
        <x:f>IF(COUNTA(B285:I285)&gt;=7,"Ready","Missing")</x:f>
        <x:v>Ready</x:v>
      </x:c>
    </x:row>
    <x:row r="286">
      <x:c r="A286" t="str">
        <x:f>IPO_Data_Collection!B286</x:f>
        <x:v>VMS TMT Ltd</x:v>
      </x:c>
      <x:c r="B286" t="n">
        <x:f>IPO_Data_Collection!D286</x:f>
        <x:v>0</x:v>
      </x:c>
      <x:c r="C286" t="n">
        <x:f>IPO_Data_Collection!E286</x:f>
        <x:v>0</x:v>
      </x:c>
      <x:c r="D286" t="n">
        <x:f>IPO_Data_Collection!F286</x:f>
        <x:v>0</x:v>
      </x:c>
      <x:c r="E286" t="n">
        <x:f>IPO_Data_Collection!G286</x:f>
        <x:v>0</x:v>
      </x:c>
      <x:c r="F286" t="str">
        <x:f>IFERROR(B286/D286,"")</x:f>
      </x:c>
      <x:c r="G286" t="n">
        <x:f>IPO_Data_Collection!J286</x:f>
        <x:v>0</x:v>
      </x:c>
      <x:c r="H286" t="n">
        <x:f>IPO_Data_Collection!K286</x:f>
        <x:v>0</x:v>
      </x:c>
      <x:c r="I286" t="n">
        <x:f>IPO_Data_Collection!Q286</x:f>
        <x:v>0</x:v>
      </x:c>
      <x:c r="J286" t="n">
        <x:f>IPO_Data_Collection!S286</x:f>
        <x:v>0</x:v>
      </x:c>
      <x:c r="K286" t="n">
        <x:f>IPO_Data_Collection!T286</x:f>
        <x:v>0</x:v>
      </x:c>
      <x:c r="L286" t="n">
        <x:f>IPO_Data_Collection!U286</x:f>
        <x:v>0</x:v>
      </x:c>
      <x:c r="M286" t="str">
        <x:f>IF(COUNTA(B286:I286)&gt;=7,"Ready","Missing")</x:f>
        <x:v>Ready</x:v>
      </x:c>
    </x:row>
    <x:row r="287">
      <x:c r="A287" t="str">
        <x:f>IPO_Data_Collection!B287</x:f>
        <x:v>Valiant Laboratories</x:v>
      </x:c>
      <x:c r="B287" t="n">
        <x:f>IPO_Data_Collection!D287</x:f>
        <x:v>0</x:v>
      </x:c>
      <x:c r="C287" t="n">
        <x:f>IPO_Data_Collection!E287</x:f>
        <x:v>0</x:v>
      </x:c>
      <x:c r="D287" t="n">
        <x:f>IPO_Data_Collection!F287</x:f>
        <x:v>0</x:v>
      </x:c>
      <x:c r="E287" t="n">
        <x:f>IPO_Data_Collection!G287</x:f>
        <x:v>0</x:v>
      </x:c>
      <x:c r="F287" t="str">
        <x:f>IFERROR(B287/D287,"")</x:f>
      </x:c>
      <x:c r="G287" t="n">
        <x:f>IPO_Data_Collection!J287</x:f>
        <x:v>0</x:v>
      </x:c>
      <x:c r="H287" t="n">
        <x:f>IPO_Data_Collection!K287</x:f>
        <x:v>0</x:v>
      </x:c>
      <x:c r="I287" t="n">
        <x:f>IPO_Data_Collection!Q287</x:f>
        <x:v>0</x:v>
      </x:c>
      <x:c r="J287" t="n">
        <x:f>IPO_Data_Collection!S287</x:f>
        <x:v>0</x:v>
      </x:c>
      <x:c r="K287" t="n">
        <x:f>IPO_Data_Collection!T287</x:f>
        <x:v>0</x:v>
      </x:c>
      <x:c r="L287" t="n">
        <x:f>IPO_Data_Collection!U287</x:f>
        <x:v>0</x:v>
      </x:c>
      <x:c r="M287" t="str">
        <x:f>IF(COUNTA(B287:I287)&gt;=7,"Ready","Missing")</x:f>
        <x:v>Ready</x:v>
      </x:c>
    </x:row>
    <x:row r="288">
      <x:c r="A288" t="str">
        <x:f>IPO_Data_Collection!B288</x:f>
        <x:v>Vedant Fashions</x:v>
      </x:c>
      <x:c r="B288" t="n">
        <x:f>IPO_Data_Collection!D288</x:f>
        <x:v>0</x:v>
      </x:c>
      <x:c r="C288" t="n">
        <x:f>IPO_Data_Collection!E288</x:f>
        <x:v>0</x:v>
      </x:c>
      <x:c r="D288" t="n">
        <x:f>IPO_Data_Collection!F288</x:f>
        <x:v>0</x:v>
      </x:c>
      <x:c r="E288" t="n">
        <x:f>IPO_Data_Collection!G288</x:f>
        <x:v>0</x:v>
      </x:c>
      <x:c r="F288" t="str">
        <x:f>IFERROR(B288/D288,"")</x:f>
      </x:c>
      <x:c r="G288" t="n">
        <x:f>IPO_Data_Collection!J288</x:f>
        <x:v>0</x:v>
      </x:c>
      <x:c r="H288" t="n">
        <x:f>IPO_Data_Collection!K288</x:f>
        <x:v>0</x:v>
      </x:c>
      <x:c r="I288" t="n">
        <x:f>IPO_Data_Collection!Q288</x:f>
        <x:v>0</x:v>
      </x:c>
      <x:c r="J288" t="n">
        <x:f>IPO_Data_Collection!S288</x:f>
        <x:v>0</x:v>
      </x:c>
      <x:c r="K288" t="n">
        <x:f>IPO_Data_Collection!T288</x:f>
        <x:v>0</x:v>
      </x:c>
      <x:c r="L288" t="n">
        <x:f>IPO_Data_Collection!U288</x:f>
        <x:v>0</x:v>
      </x:c>
      <x:c r="M288" t="str">
        <x:f>IF(COUNTA(B288:I288)&gt;=7,"Ready","Missing")</x:f>
        <x:v>Ready</x:v>
      </x:c>
    </x:row>
    <x:row r="289">
      <x:c r="A289" t="str">
        <x:f>IPO_Data_Collection!B289</x:f>
        <x:v>Ventive Hosp</x:v>
      </x:c>
      <x:c r="B289" t="n">
        <x:f>IPO_Data_Collection!D289</x:f>
        <x:v>0</x:v>
      </x:c>
      <x:c r="C289" t="n">
        <x:f>IPO_Data_Collection!E289</x:f>
        <x:v>0</x:v>
      </x:c>
      <x:c r="D289" t="n">
        <x:f>IPO_Data_Collection!F289</x:f>
        <x:v>0</x:v>
      </x:c>
      <x:c r="E289" t="n">
        <x:f>IPO_Data_Collection!G289</x:f>
        <x:v>0</x:v>
      </x:c>
      <x:c r="F289" t="str">
        <x:f>IFERROR(B289/D289,"")</x:f>
      </x:c>
      <x:c r="G289" t="n">
        <x:f>IPO_Data_Collection!J289</x:f>
        <x:v>0</x:v>
      </x:c>
      <x:c r="H289" t="n">
        <x:f>IPO_Data_Collection!K289</x:f>
        <x:v>0</x:v>
      </x:c>
      <x:c r="I289" t="n">
        <x:f>IPO_Data_Collection!Q289</x:f>
        <x:v>0</x:v>
      </x:c>
      <x:c r="J289" t="n">
        <x:f>IPO_Data_Collection!S289</x:f>
        <x:v>0</x:v>
      </x:c>
      <x:c r="K289" t="n">
        <x:f>IPO_Data_Collection!T289</x:f>
        <x:v>0</x:v>
      </x:c>
      <x:c r="L289" t="n">
        <x:f>IPO_Data_Collection!U289</x:f>
        <x:v>0</x:v>
      </x:c>
      <x:c r="M289" t="str">
        <x:f>IF(COUNTA(B289:I289)&gt;=7,"Ready","Missing")</x:f>
        <x:v>Ready</x:v>
      </x:c>
    </x:row>
    <x:row r="290">
      <x:c r="A290" t="str">
        <x:f>IPO_Data_Collection!B290</x:f>
        <x:v>Venus Pipes</x:v>
      </x:c>
      <x:c r="B290" t="n">
        <x:f>IPO_Data_Collection!D290</x:f>
        <x:v>0</x:v>
      </x:c>
      <x:c r="C290" t="n">
        <x:f>IPO_Data_Collection!E290</x:f>
        <x:v>0</x:v>
      </x:c>
      <x:c r="D290" t="n">
        <x:f>IPO_Data_Collection!F290</x:f>
        <x:v>0</x:v>
      </x:c>
      <x:c r="E290" t="n">
        <x:f>IPO_Data_Collection!G290</x:f>
        <x:v>0</x:v>
      </x:c>
      <x:c r="F290" t="str">
        <x:f>IFERROR(B290/D290,"")</x:f>
      </x:c>
      <x:c r="G290" t="n">
        <x:f>IPO_Data_Collection!J290</x:f>
        <x:v>0</x:v>
      </x:c>
      <x:c r="H290" t="n">
        <x:f>IPO_Data_Collection!K290</x:f>
        <x:v>0</x:v>
      </x:c>
      <x:c r="I290" t="n">
        <x:f>IPO_Data_Collection!Q290</x:f>
        <x:v>0</x:v>
      </x:c>
      <x:c r="J290" t="n">
        <x:f>IPO_Data_Collection!S290</x:f>
        <x:v>0</x:v>
      </x:c>
      <x:c r="K290" t="n">
        <x:f>IPO_Data_Collection!T290</x:f>
        <x:v>0</x:v>
      </x:c>
      <x:c r="L290" t="n">
        <x:f>IPO_Data_Collection!U290</x:f>
        <x:v>0</x:v>
      </x:c>
      <x:c r="M290" t="str">
        <x:f>IF(COUNTA(B290:I290)&gt;=7,"Ready","Missing")</x:f>
        <x:v>Ready</x:v>
      </x:c>
    </x:row>
    <x:row r="291">
      <x:c r="A291" t="str">
        <x:f>IPO_Data_Collection!B291</x:f>
        <x:v>Veranda Learning</x:v>
      </x:c>
      <x:c r="B291" t="n">
        <x:f>IPO_Data_Collection!D291</x:f>
        <x:v>0</x:v>
      </x:c>
      <x:c r="C291" t="n">
        <x:f>IPO_Data_Collection!E291</x:f>
        <x:v>0</x:v>
      </x:c>
      <x:c r="D291" t="n">
        <x:f>IPO_Data_Collection!F291</x:f>
        <x:v>0</x:v>
      </x:c>
      <x:c r="E291" t="n">
        <x:f>IPO_Data_Collection!G291</x:f>
        <x:v>0</x:v>
      </x:c>
      <x:c r="F291" t="str">
        <x:f>IFERROR(B291/D291,"")</x:f>
      </x:c>
      <x:c r="G291" t="n">
        <x:f>IPO_Data_Collection!J291</x:f>
        <x:v>0</x:v>
      </x:c>
      <x:c r="H291" t="n">
        <x:f>IPO_Data_Collection!K291</x:f>
        <x:v>0</x:v>
      </x:c>
      <x:c r="I291" t="n">
        <x:f>IPO_Data_Collection!Q291</x:f>
        <x:v>0</x:v>
      </x:c>
      <x:c r="J291" t="n">
        <x:f>IPO_Data_Collection!S291</x:f>
        <x:v>0</x:v>
      </x:c>
      <x:c r="K291" t="n">
        <x:f>IPO_Data_Collection!T291</x:f>
        <x:v>0</x:v>
      </x:c>
      <x:c r="L291" t="n">
        <x:f>IPO_Data_Collection!U291</x:f>
        <x:v>0</x:v>
      </x:c>
      <x:c r="M291" t="str">
        <x:f>IF(COUNTA(B291:I291)&gt;=7,"Ready","Missing")</x:f>
        <x:v>Ready</x:v>
      </x:c>
    </x:row>
    <x:row r="292">
      <x:c r="A292" t="str">
        <x:f>IPO_Data_Collection!B292</x:f>
        <x:v>Vidya Wires Ltd</x:v>
      </x:c>
      <x:c r="B292" t="n">
        <x:f>IPO_Data_Collection!D292</x:f>
        <x:v>0</x:v>
      </x:c>
      <x:c r="C292" t="n">
        <x:f>IPO_Data_Collection!E292</x:f>
        <x:v>0</x:v>
      </x:c>
      <x:c r="D292" t="n">
        <x:f>IPO_Data_Collection!F292</x:f>
        <x:v>0</x:v>
      </x:c>
      <x:c r="E292" t="n">
        <x:f>IPO_Data_Collection!G292</x:f>
        <x:v>0</x:v>
      </x:c>
      <x:c r="F292" t="str">
        <x:f>IFERROR(B292/D292,"")</x:f>
      </x:c>
      <x:c r="G292" t="n">
        <x:f>IPO_Data_Collection!J292</x:f>
        <x:v>0</x:v>
      </x:c>
      <x:c r="H292" t="n">
        <x:f>IPO_Data_Collection!K292</x:f>
        <x:v>0</x:v>
      </x:c>
      <x:c r="I292" t="n">
        <x:f>IPO_Data_Collection!Q292</x:f>
        <x:v>0</x:v>
      </x:c>
      <x:c r="J292" t="n">
        <x:f>IPO_Data_Collection!S292</x:f>
        <x:v>0</x:v>
      </x:c>
      <x:c r="K292" t="n">
        <x:f>IPO_Data_Collection!T292</x:f>
        <x:v>0</x:v>
      </x:c>
      <x:c r="L292" t="n">
        <x:f>IPO_Data_Collection!U292</x:f>
        <x:v>0</x:v>
      </x:c>
      <x:c r="M292" t="str">
        <x:f>IF(COUNTA(B292:I292)&gt;=7,"Ready","Missing")</x:f>
        <x:v>Ready</x:v>
      </x:c>
    </x:row>
    <x:row r="293">
      <x:c r="A293" t="str">
        <x:f>IPO_Data_Collection!B293</x:f>
        <x:v>Vikram Solar Ltd</x:v>
      </x:c>
      <x:c r="B293" t="n">
        <x:f>IPO_Data_Collection!D293</x:f>
        <x:v>0</x:v>
      </x:c>
      <x:c r="C293" t="n">
        <x:f>IPO_Data_Collection!E293</x:f>
        <x:v>0</x:v>
      </x:c>
      <x:c r="D293" t="n">
        <x:f>IPO_Data_Collection!F293</x:f>
        <x:v>0</x:v>
      </x:c>
      <x:c r="E293" t="n">
        <x:f>IPO_Data_Collection!G293</x:f>
        <x:v>0</x:v>
      </x:c>
      <x:c r="F293" t="str">
        <x:f>IFERROR(B293/D293,"")</x:f>
      </x:c>
      <x:c r="G293" t="n">
        <x:f>IPO_Data_Collection!J293</x:f>
        <x:v>0</x:v>
      </x:c>
      <x:c r="H293" t="n">
        <x:f>IPO_Data_Collection!K293</x:f>
        <x:v>0</x:v>
      </x:c>
      <x:c r="I293" t="n">
        <x:f>IPO_Data_Collection!Q293</x:f>
        <x:v>0</x:v>
      </x:c>
      <x:c r="J293" t="n">
        <x:f>IPO_Data_Collection!S293</x:f>
        <x:v>0</x:v>
      </x:c>
      <x:c r="K293" t="n">
        <x:f>IPO_Data_Collection!T293</x:f>
        <x:v>0</x:v>
      </x:c>
      <x:c r="L293" t="n">
        <x:f>IPO_Data_Collection!U293</x:f>
        <x:v>0</x:v>
      </x:c>
      <x:c r="M293" t="str">
        <x:f>IF(COUNTA(B293:I293)&gt;=7,"Ready","Missing")</x:f>
        <x:v>Ready</x:v>
      </x:c>
    </x:row>
    <x:row r="294">
      <x:c r="A294" t="str">
        <x:f>IPO_Data_Collection!B294</x:f>
        <x:v>Vikran Engineering Ltd</x:v>
      </x:c>
      <x:c r="B294" t="n">
        <x:f>IPO_Data_Collection!D294</x:f>
        <x:v>0</x:v>
      </x:c>
      <x:c r="C294" t="n">
        <x:f>IPO_Data_Collection!E294</x:f>
        <x:v>0</x:v>
      </x:c>
      <x:c r="D294" t="n">
        <x:f>IPO_Data_Collection!F294</x:f>
        <x:v>0</x:v>
      </x:c>
      <x:c r="E294" t="n">
        <x:f>IPO_Data_Collection!G294</x:f>
        <x:v>0</x:v>
      </x:c>
      <x:c r="F294" t="str">
        <x:f>IFERROR(B294/D294,"")</x:f>
      </x:c>
      <x:c r="G294" t="n">
        <x:f>IPO_Data_Collection!J294</x:f>
        <x:v>0</x:v>
      </x:c>
      <x:c r="H294" t="n">
        <x:f>IPO_Data_Collection!K294</x:f>
        <x:v>0</x:v>
      </x:c>
      <x:c r="I294" t="n">
        <x:f>IPO_Data_Collection!Q294</x:f>
        <x:v>0</x:v>
      </x:c>
      <x:c r="J294" t="n">
        <x:f>IPO_Data_Collection!S294</x:f>
        <x:v>0</x:v>
      </x:c>
      <x:c r="K294" t="n">
        <x:f>IPO_Data_Collection!T294</x:f>
        <x:v>0</x:v>
      </x:c>
      <x:c r="L294" t="n">
        <x:f>IPO_Data_Collection!U294</x:f>
        <x:v>0</x:v>
      </x:c>
      <x:c r="M294" t="str">
        <x:f>IF(COUNTA(B294:I294)&gt;=7,"Ready","Missing")</x:f>
        <x:v>Ready</x:v>
      </x:c>
    </x:row>
    <x:row r="295">
      <x:c r="A295" t="str">
        <x:f>IPO_Data_Collection!B295</x:f>
        <x:v>Vishnu Prakash Punglia</x:v>
      </x:c>
      <x:c r="B295" t="n">
        <x:f>IPO_Data_Collection!D295</x:f>
        <x:v>0</x:v>
      </x:c>
      <x:c r="C295" t="n">
        <x:f>IPO_Data_Collection!E295</x:f>
        <x:v>0</x:v>
      </x:c>
      <x:c r="D295" t="n">
        <x:f>IPO_Data_Collection!F295</x:f>
        <x:v>0</x:v>
      </x:c>
      <x:c r="E295" t="n">
        <x:f>IPO_Data_Collection!G295</x:f>
        <x:v>0</x:v>
      </x:c>
      <x:c r="F295" t="str">
        <x:f>IFERROR(B295/D295,"")</x:f>
      </x:c>
      <x:c r="G295" t="n">
        <x:f>IPO_Data_Collection!J295</x:f>
        <x:v>0</x:v>
      </x:c>
      <x:c r="H295" t="n">
        <x:f>IPO_Data_Collection!K295</x:f>
        <x:v>0</x:v>
      </x:c>
      <x:c r="I295" t="n">
        <x:f>IPO_Data_Collection!Q295</x:f>
        <x:v>0</x:v>
      </x:c>
      <x:c r="J295" t="n">
        <x:f>IPO_Data_Collection!S295</x:f>
        <x:v>0</x:v>
      </x:c>
      <x:c r="K295" t="n">
        <x:f>IPO_Data_Collection!T295</x:f>
        <x:v>0</x:v>
      </x:c>
      <x:c r="L295" t="n">
        <x:f>IPO_Data_Collection!U295</x:f>
        <x:v>0</x:v>
      </x:c>
      <x:c r="M295" t="str">
        <x:f>IF(COUNTA(B295:I295)&gt;=7,"Ready","Missing")</x:f>
        <x:v>Ready</x:v>
      </x:c>
    </x:row>
    <x:row r="296">
      <x:c r="A296" t="str">
        <x:f>IPO_Data_Collection!B296</x:f>
        <x:v>Wakefit Innovations Ltd</x:v>
      </x:c>
      <x:c r="B296" t="n">
        <x:f>IPO_Data_Collection!D296</x:f>
        <x:v>0</x:v>
      </x:c>
      <x:c r="C296" t="n">
        <x:f>IPO_Data_Collection!E296</x:f>
        <x:v>0</x:v>
      </x:c>
      <x:c r="D296" t="n">
        <x:f>IPO_Data_Collection!F296</x:f>
        <x:v>0</x:v>
      </x:c>
      <x:c r="E296" t="n">
        <x:f>IPO_Data_Collection!G296</x:f>
        <x:v>0</x:v>
      </x:c>
      <x:c r="F296" t="str">
        <x:f>IFERROR(B296/D296,"")</x:f>
      </x:c>
      <x:c r="G296" t="n">
        <x:f>IPO_Data_Collection!J296</x:f>
        <x:v>0</x:v>
      </x:c>
      <x:c r="H296" t="n">
        <x:f>IPO_Data_Collection!K296</x:f>
        <x:v>0</x:v>
      </x:c>
      <x:c r="I296" t="n">
        <x:f>IPO_Data_Collection!Q296</x:f>
        <x:v>0</x:v>
      </x:c>
      <x:c r="J296" t="n">
        <x:f>IPO_Data_Collection!S296</x:f>
        <x:v>0</x:v>
      </x:c>
      <x:c r="K296" t="n">
        <x:f>IPO_Data_Collection!T296</x:f>
        <x:v>0</x:v>
      </x:c>
      <x:c r="L296" t="n">
        <x:f>IPO_Data_Collection!U296</x:f>
        <x:v>0</x:v>
      </x:c>
      <x:c r="M296" t="str">
        <x:f>IF(COUNTA(B296:I296)&gt;=7,"Ready","Missing")</x:f>
        <x:v>Ready</x:v>
      </x:c>
    </x:row>
    <x:row r="297">
      <x:c r="A297" t="str">
        <x:f>IPO_Data_Collection!B297</x:f>
        <x:v>WeWork India Management Ltd</x:v>
      </x:c>
      <x:c r="B297" t="n">
        <x:f>IPO_Data_Collection!D297</x:f>
        <x:v>0</x:v>
      </x:c>
      <x:c r="C297" t="n">
        <x:f>IPO_Data_Collection!E297</x:f>
        <x:v>0</x:v>
      </x:c>
      <x:c r="D297" t="n">
        <x:f>IPO_Data_Collection!F297</x:f>
        <x:v>0</x:v>
      </x:c>
      <x:c r="E297" t="n">
        <x:f>IPO_Data_Collection!G297</x:f>
        <x:v>0</x:v>
      </x:c>
      <x:c r="F297" t="str">
        <x:f>IFERROR(B297/D297,"")</x:f>
      </x:c>
      <x:c r="G297" t="n">
        <x:f>IPO_Data_Collection!J297</x:f>
        <x:v>0</x:v>
      </x:c>
      <x:c r="H297" t="n">
        <x:f>IPO_Data_Collection!K297</x:f>
        <x:v>0</x:v>
      </x:c>
      <x:c r="I297" t="n">
        <x:f>IPO_Data_Collection!Q297</x:f>
        <x:v>0</x:v>
      </x:c>
      <x:c r="J297" t="n">
        <x:f>IPO_Data_Collection!S297</x:f>
        <x:v>0</x:v>
      </x:c>
      <x:c r="K297" t="n">
        <x:f>IPO_Data_Collection!T297</x:f>
        <x:v>0</x:v>
      </x:c>
      <x:c r="L297" t="n">
        <x:f>IPO_Data_Collection!U297</x:f>
        <x:v>0</x:v>
      </x:c>
      <x:c r="M297" t="str">
        <x:f>IF(COUNTA(B297:I297)&gt;=7,"Ready","Missing")</x:f>
        <x:v>Ready</x:v>
      </x:c>
    </x:row>
    <x:row r="298">
      <x:c r="A298" t="str">
        <x:f>IPO_Data_Collection!B298</x:f>
        <x:v>Windlas Biotech</x:v>
      </x:c>
      <x:c r="B298" t="n">
        <x:f>IPO_Data_Collection!D298</x:f>
        <x:v>0</x:v>
      </x:c>
      <x:c r="C298" t="n">
        <x:f>IPO_Data_Collection!E298</x:f>
        <x:v>0</x:v>
      </x:c>
      <x:c r="D298" t="n">
        <x:f>IPO_Data_Collection!F298</x:f>
        <x:v>0</x:v>
      </x:c>
      <x:c r="E298" t="n">
        <x:f>IPO_Data_Collection!G298</x:f>
        <x:v>0</x:v>
      </x:c>
      <x:c r="F298" t="str">
        <x:f>IFERROR(B298/D298,"")</x:f>
      </x:c>
      <x:c r="G298" t="n">
        <x:f>IPO_Data_Collection!J298</x:f>
        <x:v>0</x:v>
      </x:c>
      <x:c r="H298" t="n">
        <x:f>IPO_Data_Collection!K298</x:f>
        <x:v>0</x:v>
      </x:c>
      <x:c r="I298" t="n">
        <x:f>IPO_Data_Collection!Q298</x:f>
        <x:v>0</x:v>
      </x:c>
      <x:c r="J298" t="n">
        <x:f>IPO_Data_Collection!S298</x:f>
        <x:v>0</x:v>
      </x:c>
      <x:c r="K298" t="n">
        <x:f>IPO_Data_Collection!T298</x:f>
        <x:v>0</x:v>
      </x:c>
      <x:c r="L298" t="n">
        <x:f>IPO_Data_Collection!U298</x:f>
        <x:v>0</x:v>
      </x:c>
      <x:c r="M298" t="str">
        <x:f>IF(COUNTA(B298:I298)&gt;=7,"Ready","Missing")</x:f>
        <x:v>Ready</x:v>
      </x:c>
    </x:row>
    <x:row r="299">
      <x:c r="A299" t="str">
        <x:f>IPO_Data_Collection!B299</x:f>
        <x:v>Yatharth Hospital</x:v>
      </x:c>
      <x:c r="B299" t="n">
        <x:f>IPO_Data_Collection!D299</x:f>
        <x:v>0</x:v>
      </x:c>
      <x:c r="C299" t="n">
        <x:f>IPO_Data_Collection!E299</x:f>
        <x:v>0</x:v>
      </x:c>
      <x:c r="D299" t="n">
        <x:f>IPO_Data_Collection!F299</x:f>
        <x:v>0</x:v>
      </x:c>
      <x:c r="E299" t="n">
        <x:f>IPO_Data_Collection!G299</x:f>
        <x:v>0</x:v>
      </x:c>
      <x:c r="F299" t="str">
        <x:f>IFERROR(B299/D299,"")</x:f>
      </x:c>
      <x:c r="G299" t="n">
        <x:f>IPO_Data_Collection!J299</x:f>
        <x:v>0</x:v>
      </x:c>
      <x:c r="H299" t="n">
        <x:f>IPO_Data_Collection!K299</x:f>
        <x:v>0</x:v>
      </x:c>
      <x:c r="I299" t="n">
        <x:f>IPO_Data_Collection!Q299</x:f>
        <x:v>0</x:v>
      </x:c>
      <x:c r="J299" t="n">
        <x:f>IPO_Data_Collection!S299</x:f>
        <x:v>0</x:v>
      </x:c>
      <x:c r="K299" t="n">
        <x:f>IPO_Data_Collection!T299</x:f>
        <x:v>0</x:v>
      </x:c>
      <x:c r="L299" t="n">
        <x:f>IPO_Data_Collection!U299</x:f>
        <x:v>0</x:v>
      </x:c>
      <x:c r="M299" t="str">
        <x:f>IF(COUNTA(B299:I299)&gt;=7,"Ready","Missing")</x:f>
        <x:v>Ready</x:v>
      </x:c>
    </x:row>
    <x:row r="300">
      <x:c r="A300" t="str">
        <x:f>IPO_Data_Collection!B300</x:f>
        <x:v>Yatra Online</x:v>
      </x:c>
      <x:c r="B300" t="n">
        <x:f>IPO_Data_Collection!D300</x:f>
        <x:v>0</x:v>
      </x:c>
      <x:c r="C300" t="n">
        <x:f>IPO_Data_Collection!E300</x:f>
        <x:v>0</x:v>
      </x:c>
      <x:c r="D300" t="n">
        <x:f>IPO_Data_Collection!F300</x:f>
        <x:v>0</x:v>
      </x:c>
      <x:c r="E300" t="n">
        <x:f>IPO_Data_Collection!G300</x:f>
        <x:v>0</x:v>
      </x:c>
      <x:c r="F300" t="str">
        <x:f>IFERROR(B300/D300,"")</x:f>
      </x:c>
      <x:c r="G300" t="n">
        <x:f>IPO_Data_Collection!J300</x:f>
        <x:v>0</x:v>
      </x:c>
      <x:c r="H300" t="n">
        <x:f>IPO_Data_Collection!K300</x:f>
        <x:v>0</x:v>
      </x:c>
      <x:c r="I300" t="n">
        <x:f>IPO_Data_Collection!Q300</x:f>
        <x:v>0</x:v>
      </x:c>
      <x:c r="J300" t="n">
        <x:f>IPO_Data_Collection!S300</x:f>
        <x:v>0</x:v>
      </x:c>
      <x:c r="K300" t="n">
        <x:f>IPO_Data_Collection!T300</x:f>
        <x:v>0</x:v>
      </x:c>
      <x:c r="L300" t="n">
        <x:f>IPO_Data_Collection!U300</x:f>
        <x:v>0</x:v>
      </x:c>
      <x:c r="M300" t="str">
        <x:f>IF(COUNTA(B300:I300)&gt;=7,"Ready","Missing")</x:f>
        <x:v>Ready</x:v>
      </x:c>
    </x:row>
    <x:row r="301">
      <x:c r="A301" t="str">
        <x:f>IPO_Data_Collection!B301</x:f>
        <x:v>Zaggle Prepaid</x:v>
      </x:c>
      <x:c r="B301" t="n">
        <x:f>IPO_Data_Collection!D301</x:f>
        <x:v>0</x:v>
      </x:c>
      <x:c r="C301" t="n">
        <x:f>IPO_Data_Collection!E301</x:f>
        <x:v>0</x:v>
      </x:c>
      <x:c r="D301" t="n">
        <x:f>IPO_Data_Collection!F301</x:f>
        <x:v>0</x:v>
      </x:c>
      <x:c r="E301" t="n">
        <x:f>IPO_Data_Collection!G301</x:f>
        <x:v>0</x:v>
      </x:c>
      <x:c r="F301" t="str">
        <x:f>IFERROR(B301/D301,"")</x:f>
      </x:c>
      <x:c r="G301" t="n">
        <x:f>IPO_Data_Collection!J301</x:f>
        <x:v>0</x:v>
      </x:c>
      <x:c r="H301" t="n">
        <x:f>IPO_Data_Collection!K301</x:f>
        <x:v>0</x:v>
      </x:c>
      <x:c r="I301" t="n">
        <x:f>IPO_Data_Collection!Q301</x:f>
        <x:v>0</x:v>
      </x:c>
      <x:c r="J301" t="n">
        <x:f>IPO_Data_Collection!S301</x:f>
        <x:v>0</x:v>
      </x:c>
      <x:c r="K301" t="n">
        <x:f>IPO_Data_Collection!T301</x:f>
        <x:v>0</x:v>
      </x:c>
      <x:c r="L301" t="n">
        <x:f>IPO_Data_Collection!U301</x:f>
        <x:v>0</x:v>
      </x:c>
      <x:c r="M301" t="str">
        <x:f>IF(COUNTA(B301:I301)&gt;=7,"Ready","Missing")</x:f>
        <x:v>Ready</x:v>
      </x:c>
    </x:row>
    <x:row r="302">
      <x:c r="A302" t="str">
        <x:f>IPO_Data_Collection!B302</x:f>
        <x:v>Zomato</x:v>
      </x:c>
      <x:c r="B302" t="n">
        <x:f>IPO_Data_Collection!D302</x:f>
        <x:v>0</x:v>
      </x:c>
      <x:c r="C302" t="n">
        <x:f>IPO_Data_Collection!E302</x:f>
        <x:v>0</x:v>
      </x:c>
      <x:c r="D302" t="n">
        <x:f>IPO_Data_Collection!F302</x:f>
        <x:v>0</x:v>
      </x:c>
      <x:c r="E302" t="n">
        <x:f>IPO_Data_Collection!G302</x:f>
        <x:v>0</x:v>
      </x:c>
      <x:c r="F302" t="str">
        <x:f>IFERROR(B302/D302,"")</x:f>
      </x:c>
      <x:c r="G302" t="n">
        <x:f>IPO_Data_Collection!J302</x:f>
        <x:v>0</x:v>
      </x:c>
      <x:c r="H302" t="n">
        <x:f>IPO_Data_Collection!K302</x:f>
        <x:v>0</x:v>
      </x:c>
      <x:c r="I302" t="n">
        <x:f>IPO_Data_Collection!Q302</x:f>
        <x:v>0</x:v>
      </x:c>
      <x:c r="J302" t="n">
        <x:f>IPO_Data_Collection!S302</x:f>
        <x:v>0</x:v>
      </x:c>
      <x:c r="K302" t="n">
        <x:f>IPO_Data_Collection!T302</x:f>
        <x:v>0</x:v>
      </x:c>
      <x:c r="L302" t="n">
        <x:f>IPO_Data_Collection!U302</x:f>
        <x:v>0</x:v>
      </x:c>
      <x:c r="M302" t="str">
        <x:f>IF(COUNTA(B302:I302)&gt;=7,"Ready","Missing")</x:f>
        <x:v>Ready</x:v>
      </x:c>
    </x:row>
    <x:row r="303">
      <x:c r="A303" t="str">
        <x:f>IPO_Data_Collection!B303</x:f>
        <x:v>eMudhra</x:v>
      </x:c>
      <x:c r="B303" t="n">
        <x:f>IPO_Data_Collection!D303</x:f>
        <x:v>0</x:v>
      </x:c>
      <x:c r="C303" t="n">
        <x:f>IPO_Data_Collection!E303</x:f>
        <x:v>0</x:v>
      </x:c>
      <x:c r="D303" t="n">
        <x:f>IPO_Data_Collection!F303</x:f>
        <x:v>0</x:v>
      </x:c>
      <x:c r="E303" t="n">
        <x:f>IPO_Data_Collection!G303</x:f>
        <x:v>0</x:v>
      </x:c>
      <x:c r="F303" t="str">
        <x:f>IFERROR(B303/D303,"")</x:f>
      </x:c>
      <x:c r="G303" t="n">
        <x:f>IPO_Data_Collection!J303</x:f>
        <x:v>0</x:v>
      </x:c>
      <x:c r="H303" t="n">
        <x:f>IPO_Data_Collection!K303</x:f>
        <x:v>0</x:v>
      </x:c>
      <x:c r="I303" t="n">
        <x:f>IPO_Data_Collection!Q303</x:f>
        <x:v>0</x:v>
      </x:c>
      <x:c r="J303" t="n">
        <x:f>IPO_Data_Collection!S303</x:f>
        <x:v>0</x:v>
      </x:c>
      <x:c r="K303" t="n">
        <x:f>IPO_Data_Collection!T303</x:f>
        <x:v>0</x:v>
      </x:c>
      <x:c r="L303" t="n">
        <x:f>IPO_Data_Collection!U303</x:f>
        <x:v>0</x:v>
      </x:c>
      <x:c r="M303" t="str">
        <x:f>IF(COUNTA(B303:I303)&gt;=7,"Ready","Missing")</x:f>
        <x:v>Ready</x:v>
      </x:c>
    </x:row>
    <x:row r="304">
      <x:c r="A304" t="str">
        <x:f>IPO_Data_Collection!B304</x:f>
        <x:v>ixigo</x:v>
      </x:c>
      <x:c r="B304" t="n">
        <x:f>IPO_Data_Collection!D304</x:f>
        <x:v>0</x:v>
      </x:c>
      <x:c r="C304" t="n">
        <x:f>IPO_Data_Collection!E304</x:f>
        <x:v>0</x:v>
      </x:c>
      <x:c r="D304" t="n">
        <x:f>IPO_Data_Collection!F304</x:f>
        <x:v>0</x:v>
      </x:c>
      <x:c r="E304" t="n">
        <x:f>IPO_Data_Collection!G304</x:f>
        <x:v>0</x:v>
      </x:c>
      <x:c r="F304" t="str">
        <x:f>IFERROR(B304/D304,"")</x:f>
      </x:c>
      <x:c r="G304" t="n">
        <x:f>IPO_Data_Collection!J304</x:f>
        <x:v>0</x:v>
      </x:c>
      <x:c r="H304" t="n">
        <x:f>IPO_Data_Collection!K304</x:f>
        <x:v>0</x:v>
      </x:c>
      <x:c r="I304" t="n">
        <x:f>IPO_Data_Collection!Q304</x:f>
        <x:v>0</x:v>
      </x:c>
      <x:c r="J304" t="n">
        <x:f>IPO_Data_Collection!S304</x:f>
        <x:v>0</x:v>
      </x:c>
      <x:c r="K304" t="n">
        <x:f>IPO_Data_Collection!T304</x:f>
        <x:v>0</x:v>
      </x:c>
      <x:c r="L304" t="n">
        <x:f>IPO_Data_Collection!U304</x:f>
        <x:v>0</x:v>
      </x:c>
      <x:c r="M304" t="str">
        <x:f>IF(COUNTA(B304:I304)&gt;=7,"Ready","Missing")</x:f>
        <x:v>Ready</x:v>
      </x:c>
    </x:row>
    <x:row r="305">
      <x:c r="A305" t="str">
        <x:f>IPO_Data_Collection!B305</x:f>
        <x:v>Aadhar Housing</x:v>
      </x:c>
      <x:c r="B305" t="n">
        <x:f>IPO_Data_Collection!D305</x:f>
        <x:v>0</x:v>
      </x:c>
      <x:c r="C305" t="n">
        <x:f>IPO_Data_Collection!E305</x:f>
        <x:v>0</x:v>
      </x:c>
      <x:c r="D305" t="n">
        <x:f>IPO_Data_Collection!F305</x:f>
        <x:v>0</x:v>
      </x:c>
      <x:c r="E305" t="n">
        <x:f>IPO_Data_Collection!G305</x:f>
        <x:v>0</x:v>
      </x:c>
      <x:c r="F305" t="str">
        <x:f>IFERROR(B305/D305,"")</x:f>
      </x:c>
      <x:c r="G305" t="n">
        <x:f>IPO_Data_Collection!J305</x:f>
        <x:v>0</x:v>
      </x:c>
      <x:c r="H305" t="n">
        <x:f>IPO_Data_Collection!K305</x:f>
        <x:v>0</x:v>
      </x:c>
      <x:c r="I305" t="n">
        <x:f>IPO_Data_Collection!Q305</x:f>
        <x:v>0</x:v>
      </x:c>
      <x:c r="J305" t="n">
        <x:f>IPO_Data_Collection!S305</x:f>
        <x:v>0</x:v>
      </x:c>
      <x:c r="K305" t="n">
        <x:f>IPO_Data_Collection!T305</x:f>
        <x:v>0</x:v>
      </x:c>
      <x:c r="L305" t="n">
        <x:f>IPO_Data_Collection!U305</x:f>
        <x:v>0</x:v>
      </x:c>
      <x:c r="M305" t="str">
        <x:f>IF(COUNTA(B305:I305)&gt;=7,"Ready","Missing")</x:f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319e970bb8224fab"/>
  </x:tableParts>
</x:worksheet>
</file>